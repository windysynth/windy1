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3.xml" ContentType="application/vnd.openxmlformats-officedocument.drawing+xml"/>
  <Override PartName="/xl/charts/chart12.xml" ContentType="application/vnd.openxmlformats-officedocument.drawingml.chart+xml"/>
  <Override PartName="/xl/drawings/drawing4.xml" ContentType="application/vnd.openxmlformats-officedocument.drawingml.chartshape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drawings/drawing5.xml" ContentType="application/vnd.openxmlformats-officedocument.drawing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drawings/drawing6.xml" ContentType="application/vnd.openxmlformats-officedocument.drawing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charts/chart79.xml" ContentType="application/vnd.openxmlformats-officedocument.drawingml.chart+xml"/>
  <Override PartName="/xl/charts/chart80.xml" ContentType="application/vnd.openxmlformats-officedocument.drawingml.chart+xml"/>
  <Override PartName="/xl/charts/chart81.xml" ContentType="application/vnd.openxmlformats-officedocument.drawingml.chart+xml"/>
  <Override PartName="/xl/charts/chart82.xml" ContentType="application/vnd.openxmlformats-officedocument.drawingml.chart+xml"/>
  <Override PartName="/xl/charts/chart83.xml" ContentType="application/vnd.openxmlformats-officedocument.drawingml.chart+xml"/>
  <Override PartName="/xl/charts/chart84.xml" ContentType="application/vnd.openxmlformats-officedocument.drawingml.chart+xml"/>
  <Override PartName="/xl/drawings/drawing7.xml" ContentType="application/vnd.openxmlformats-officedocument.drawing+xml"/>
  <Override PartName="/xl/charts/chart85.xml" ContentType="application/vnd.openxmlformats-officedocument.drawingml.chart+xml"/>
  <Override PartName="/xl/charts/chart86.xml" ContentType="application/vnd.openxmlformats-officedocument.drawingml.chart+xml"/>
  <Override PartName="/xl/charts/chart87.xml" ContentType="application/vnd.openxmlformats-officedocument.drawingml.chart+xml"/>
  <Override PartName="/xl/drawings/drawing8.xml" ContentType="application/vnd.openxmlformats-officedocument.drawing+xml"/>
  <Override PartName="/xl/queryTables/queryTable1.xml" ContentType="application/vnd.openxmlformats-officedocument.spreadsheetml.queryTable+xml"/>
  <Override PartName="/xl/charts/chart88.xml" ContentType="application/vnd.openxmlformats-officedocument.drawingml.chart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harts/chart89.xml" ContentType="application/vnd.openxmlformats-officedocument.drawingml.chart+xml"/>
  <Override PartName="/xl/charts/chart90.xml" ContentType="application/vnd.openxmlformats-officedocument.drawingml.chart+xml"/>
  <Override PartName="/xl/charts/chart91.xml" ContentType="application/vnd.openxmlformats-officedocument.drawingml.chart+xml"/>
  <Override PartName="/xl/drawings/drawing11.xml" ContentType="application/vnd.openxmlformats-officedocument.drawing+xml"/>
  <Override PartName="/xl/charts/chart92.xml" ContentType="application/vnd.openxmlformats-officedocument.drawingml.chart+xml"/>
  <Override PartName="/xl/charts/chart93.xml" ContentType="application/vnd.openxmlformats-officedocument.drawingml.chart+xml"/>
  <Override PartName="/xl/drawings/drawing12.xml" ContentType="application/vnd.openxmlformats-officedocument.drawing+xml"/>
  <Override PartName="/xl/charts/chart94.xml" ContentType="application/vnd.openxmlformats-officedocument.drawingml.chart+xml"/>
  <Override PartName="/xl/drawings/drawing13.xml" ContentType="application/vnd.openxmlformats-officedocument.drawing+xml"/>
  <Override PartName="/xl/charts/chart95.xml" ContentType="application/vnd.openxmlformats-officedocument.drawingml.chart+xml"/>
  <Override PartName="/xl/drawings/drawing14.xml" ContentType="application/vnd.openxmlformats-officedocument.drawing+xml"/>
  <Override PartName="/xl/charts/chart96.xml" ContentType="application/vnd.openxmlformats-officedocument.drawingml.chart+xml"/>
  <Override PartName="/xl/drawings/drawing15.xml" ContentType="application/vnd.openxmlformats-officedocument.drawing+xml"/>
  <Override PartName="/xl/charts/chart9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80" windowWidth="8290" windowHeight="7090" tabRatio="620" firstSheet="1" activeTab="13"/>
  </bookViews>
  <sheets>
    <sheet name="SweepTimeNoiseFilter" sheetId="4" r:id="rId1"/>
    <sheet name="NoiseTime" sheetId="1" r:id="rId2"/>
    <sheet name="FiltBC" sheetId="10" r:id="rId3"/>
    <sheet name="OscBC" sheetId="5" r:id="rId4"/>
    <sheet name="OscBC2" sheetId="11" r:id="rId5"/>
    <sheet name="OscBC3" sheetId="3" r:id="rId6"/>
    <sheet name="KnobCurveData" sheetId="8" r:id="rId7"/>
    <sheet name="sallenKey" sheetId="9" r:id="rId8"/>
    <sheet name="NoiseBreathCurve" sheetId="12" r:id="rId9"/>
    <sheet name="Osc1Level" sheetId="16" r:id="rId10"/>
    <sheet name="NoiseLevelCurve" sheetId="13" r:id="rId11"/>
    <sheet name="DlyLevel" sheetId="14" r:id="rId12"/>
    <sheet name="MIDI Seq" sheetId="15" r:id="rId13"/>
    <sheet name="Beat" sheetId="17" r:id="rId14"/>
    <sheet name="OscClipping" sheetId="18" r:id="rId15"/>
    <sheet name="log_pot_curve" sheetId="19" r:id="rId16"/>
  </sheets>
  <definedNames>
    <definedName name="BC_noSysex" localSheetId="6">KnobCurveData!$A$1:$B$955</definedName>
  </definedNames>
  <calcPr calcId="145621"/>
</workbook>
</file>

<file path=xl/calcChain.xml><?xml version="1.0" encoding="utf-8"?>
<calcChain xmlns="http://schemas.openxmlformats.org/spreadsheetml/2006/main">
  <c r="D2" i="19" l="1"/>
  <c r="B5" i="19"/>
  <c r="B6" i="19"/>
  <c r="B7" i="19"/>
  <c r="B8" i="19"/>
  <c r="B9" i="19"/>
  <c r="B10" i="19"/>
  <c r="B11" i="19"/>
  <c r="B12" i="19"/>
  <c r="B13" i="19"/>
  <c r="B14" i="19"/>
  <c r="B15" i="19"/>
  <c r="B16" i="19"/>
  <c r="B17" i="19"/>
  <c r="B18" i="19"/>
  <c r="B19" i="19"/>
  <c r="B20" i="19"/>
  <c r="B21" i="19"/>
  <c r="B22" i="19"/>
  <c r="B23" i="19"/>
  <c r="B24" i="19"/>
  <c r="B25" i="19"/>
  <c r="B26" i="19"/>
  <c r="B27" i="19"/>
  <c r="B28" i="19"/>
  <c r="B29" i="19"/>
  <c r="B30" i="19"/>
  <c r="B31" i="19"/>
  <c r="B32" i="19"/>
  <c r="B33" i="19"/>
  <c r="B34" i="19"/>
  <c r="B35" i="19"/>
  <c r="B36" i="19"/>
  <c r="B37" i="19"/>
  <c r="B38" i="19"/>
  <c r="B39" i="19"/>
  <c r="B40" i="19"/>
  <c r="B41" i="19"/>
  <c r="B42" i="19"/>
  <c r="B43" i="19"/>
  <c r="B44" i="19"/>
  <c r="B45" i="19"/>
  <c r="B46" i="19"/>
  <c r="B47" i="19"/>
  <c r="B48" i="19"/>
  <c r="B49" i="19"/>
  <c r="B50" i="19"/>
  <c r="B51" i="19"/>
  <c r="B52" i="19"/>
  <c r="B53" i="19"/>
  <c r="B54" i="19"/>
  <c r="B55" i="19"/>
  <c r="B56" i="19"/>
  <c r="B57" i="19"/>
  <c r="B58" i="19"/>
  <c r="B59" i="19"/>
  <c r="B60" i="19"/>
  <c r="B61" i="19"/>
  <c r="B62" i="19"/>
  <c r="B63" i="19"/>
  <c r="B64" i="19"/>
  <c r="B65" i="19"/>
  <c r="B66" i="19"/>
  <c r="B67" i="19"/>
  <c r="B68" i="19"/>
  <c r="B69" i="19"/>
  <c r="B70" i="19"/>
  <c r="B71" i="19"/>
  <c r="B72" i="19"/>
  <c r="B73" i="19"/>
  <c r="B74" i="19"/>
  <c r="B75" i="19"/>
  <c r="B76" i="19"/>
  <c r="B77" i="19"/>
  <c r="B78" i="19"/>
  <c r="B79" i="19"/>
  <c r="B80" i="19"/>
  <c r="B81" i="19"/>
  <c r="B82" i="19"/>
  <c r="B83" i="19"/>
  <c r="B84" i="19"/>
  <c r="B85" i="19"/>
  <c r="B86" i="19"/>
  <c r="B87" i="19"/>
  <c r="B88" i="19"/>
  <c r="B89" i="19"/>
  <c r="B90" i="19"/>
  <c r="B91" i="19"/>
  <c r="B92" i="19"/>
  <c r="B93" i="19"/>
  <c r="B94" i="19"/>
  <c r="B95" i="19"/>
  <c r="B96" i="19"/>
  <c r="B97" i="19"/>
  <c r="B98" i="19"/>
  <c r="B99" i="19"/>
  <c r="B100" i="19"/>
  <c r="B101" i="19"/>
  <c r="B102" i="19"/>
  <c r="B103" i="19"/>
  <c r="B104" i="19"/>
  <c r="B105" i="19"/>
  <c r="B106" i="19"/>
  <c r="B107" i="19"/>
  <c r="B108" i="19"/>
  <c r="B109" i="19"/>
  <c r="B110" i="19"/>
  <c r="B111" i="19"/>
  <c r="B112" i="19"/>
  <c r="B113" i="19"/>
  <c r="B114" i="19"/>
  <c r="B115" i="19"/>
  <c r="B116" i="19"/>
  <c r="B117" i="19"/>
  <c r="B118" i="19"/>
  <c r="B119" i="19"/>
  <c r="B120" i="19"/>
  <c r="B121" i="19"/>
  <c r="B122" i="19"/>
  <c r="B123" i="19"/>
  <c r="B124" i="19"/>
  <c r="B125" i="19"/>
  <c r="B126" i="19"/>
  <c r="B127" i="19"/>
  <c r="B128" i="19"/>
  <c r="B129" i="19"/>
  <c r="B130" i="19"/>
  <c r="B4" i="19"/>
  <c r="A5" i="19"/>
  <c r="A6" i="19"/>
  <c r="A7" i="19"/>
  <c r="A8" i="19"/>
  <c r="A9" i="19" s="1"/>
  <c r="A10" i="19" s="1"/>
  <c r="A11" i="19" s="1"/>
  <c r="A12" i="19" s="1"/>
  <c r="A13" i="19" s="1"/>
  <c r="A14" i="19" s="1"/>
  <c r="A15" i="19" s="1"/>
  <c r="A16" i="19" s="1"/>
  <c r="A17" i="19" s="1"/>
  <c r="A18" i="19" s="1"/>
  <c r="A19" i="19" s="1"/>
  <c r="A20" i="19" s="1"/>
  <c r="A21" i="19" s="1"/>
  <c r="A22" i="19" s="1"/>
  <c r="A23" i="19" s="1"/>
  <c r="A24" i="19" s="1"/>
  <c r="A25" i="19" s="1"/>
  <c r="A26" i="19" s="1"/>
  <c r="A27" i="19" s="1"/>
  <c r="A28" i="19" s="1"/>
  <c r="A29" i="19" s="1"/>
  <c r="A30" i="19" s="1"/>
  <c r="A31" i="19" s="1"/>
  <c r="A32" i="19" s="1"/>
  <c r="A33" i="19" s="1"/>
  <c r="A34" i="19" s="1"/>
  <c r="A35" i="19" s="1"/>
  <c r="A36" i="19" s="1"/>
  <c r="A37" i="19" s="1"/>
  <c r="A38" i="19" s="1"/>
  <c r="A39" i="19" s="1"/>
  <c r="A40" i="19" s="1"/>
  <c r="A41" i="19" s="1"/>
  <c r="A42" i="19" s="1"/>
  <c r="A43" i="19" s="1"/>
  <c r="A44" i="19" s="1"/>
  <c r="A45" i="19" s="1"/>
  <c r="A46" i="19" s="1"/>
  <c r="A47" i="19" s="1"/>
  <c r="A48" i="19" s="1"/>
  <c r="A49" i="19" s="1"/>
  <c r="A50" i="19" s="1"/>
  <c r="A51" i="19" s="1"/>
  <c r="A52" i="19" s="1"/>
  <c r="A53" i="19" s="1"/>
  <c r="A54" i="19" s="1"/>
  <c r="A55" i="19" s="1"/>
  <c r="A56" i="19" s="1"/>
  <c r="A57" i="19" s="1"/>
  <c r="A58" i="19" s="1"/>
  <c r="A59" i="19" s="1"/>
  <c r="A60" i="19" s="1"/>
  <c r="A61" i="19" s="1"/>
  <c r="A62" i="19" s="1"/>
  <c r="A63" i="19" s="1"/>
  <c r="A64" i="19" s="1"/>
  <c r="A65" i="19" s="1"/>
  <c r="A66" i="19" s="1"/>
  <c r="A67" i="19" s="1"/>
  <c r="A68" i="19" s="1"/>
  <c r="A69" i="19" s="1"/>
  <c r="A70" i="19" s="1"/>
  <c r="A71" i="19" s="1"/>
  <c r="A72" i="19" s="1"/>
  <c r="A73" i="19" s="1"/>
  <c r="A74" i="19" s="1"/>
  <c r="A75" i="19" s="1"/>
  <c r="A76" i="19" s="1"/>
  <c r="A77" i="19" s="1"/>
  <c r="A78" i="19" s="1"/>
  <c r="A79" i="19" s="1"/>
  <c r="A80" i="19" s="1"/>
  <c r="A81" i="19" s="1"/>
  <c r="A82" i="19" s="1"/>
  <c r="A83" i="19" s="1"/>
  <c r="A84" i="19" s="1"/>
  <c r="A85" i="19" s="1"/>
  <c r="A86" i="19" s="1"/>
  <c r="A87" i="19" s="1"/>
  <c r="A88" i="19" s="1"/>
  <c r="A89" i="19" s="1"/>
  <c r="A90" i="19" s="1"/>
  <c r="A91" i="19" s="1"/>
  <c r="A92" i="19" s="1"/>
  <c r="A93" i="19" s="1"/>
  <c r="A94" i="19" s="1"/>
  <c r="A95" i="19" s="1"/>
  <c r="A96" i="19" s="1"/>
  <c r="A97" i="19" s="1"/>
  <c r="A98" i="19" s="1"/>
  <c r="A99" i="19" s="1"/>
  <c r="A100" i="19" s="1"/>
  <c r="A101" i="19" s="1"/>
  <c r="A102" i="19" s="1"/>
  <c r="A103" i="19" s="1"/>
  <c r="A104" i="19" s="1"/>
  <c r="A105" i="19" s="1"/>
  <c r="A106" i="19" s="1"/>
  <c r="A107" i="19" s="1"/>
  <c r="A108" i="19" s="1"/>
  <c r="A109" i="19" s="1"/>
  <c r="A110" i="19" s="1"/>
  <c r="A111" i="19" s="1"/>
  <c r="A112" i="19" s="1"/>
  <c r="A113" i="19" s="1"/>
  <c r="A114" i="19" s="1"/>
  <c r="A115" i="19" s="1"/>
  <c r="A116" i="19" s="1"/>
  <c r="A117" i="19" s="1"/>
  <c r="A118" i="19" s="1"/>
  <c r="A119" i="19" s="1"/>
  <c r="A120" i="19" s="1"/>
  <c r="A121" i="19" s="1"/>
  <c r="A122" i="19" s="1"/>
  <c r="A123" i="19" s="1"/>
  <c r="A124" i="19" s="1"/>
  <c r="A125" i="19" s="1"/>
  <c r="A126" i="19" s="1"/>
  <c r="A127" i="19" s="1"/>
  <c r="A128" i="19" s="1"/>
  <c r="A129" i="19" s="1"/>
  <c r="A130" i="19" s="1"/>
  <c r="A4" i="19"/>
  <c r="E2" i="19" l="1"/>
  <c r="F75" i="19" s="1"/>
  <c r="F108" i="19"/>
  <c r="F84" i="19"/>
  <c r="F24" i="19"/>
  <c r="F119" i="19"/>
  <c r="F85" i="19"/>
  <c r="F49" i="19"/>
  <c r="F120" i="19"/>
  <c r="F130" i="19"/>
  <c r="F106" i="19"/>
  <c r="F58" i="19"/>
  <c r="F9" i="19"/>
  <c r="F104" i="19"/>
  <c r="F92" i="19"/>
  <c r="F80" i="19"/>
  <c r="F56" i="19"/>
  <c r="F8" i="19"/>
  <c r="F55" i="19"/>
  <c r="F126" i="19"/>
  <c r="F114" i="19"/>
  <c r="F102" i="19"/>
  <c r="F90" i="19"/>
  <c r="F66" i="19"/>
  <c r="F6" i="19"/>
  <c r="F101" i="19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29" i="4"/>
  <c r="F22" i="19" l="1"/>
  <c r="F97" i="19"/>
  <c r="F73" i="19"/>
  <c r="F103" i="19"/>
  <c r="F45" i="19"/>
  <c r="F11" i="19"/>
  <c r="F61" i="19"/>
  <c r="F41" i="19"/>
  <c r="F115" i="19"/>
  <c r="F93" i="19"/>
  <c r="F59" i="19"/>
  <c r="F98" i="19"/>
  <c r="F65" i="19"/>
  <c r="F7" i="19"/>
  <c r="F117" i="19"/>
  <c r="F83" i="19"/>
  <c r="F26" i="19"/>
  <c r="F77" i="19"/>
  <c r="F19" i="19"/>
  <c r="F129" i="19"/>
  <c r="F95" i="19"/>
  <c r="F110" i="19"/>
  <c r="F89" i="19"/>
  <c r="F31" i="19"/>
  <c r="F10" i="19"/>
  <c r="F107" i="19"/>
  <c r="F51" i="19"/>
  <c r="F30" i="19"/>
  <c r="F128" i="19"/>
  <c r="F20" i="19"/>
  <c r="F57" i="19"/>
  <c r="F70" i="19"/>
  <c r="F23" i="19"/>
  <c r="F48" i="19"/>
  <c r="F13" i="19"/>
  <c r="F15" i="19"/>
  <c r="F17" i="19"/>
  <c r="F42" i="19"/>
  <c r="F18" i="19"/>
  <c r="F32" i="19"/>
  <c r="F69" i="19"/>
  <c r="F82" i="19"/>
  <c r="F35" i="19"/>
  <c r="F60" i="19"/>
  <c r="F25" i="19"/>
  <c r="F27" i="19"/>
  <c r="F29" i="19"/>
  <c r="F54" i="19"/>
  <c r="F67" i="19"/>
  <c r="F44" i="19"/>
  <c r="F81" i="19"/>
  <c r="F94" i="19"/>
  <c r="F47" i="19"/>
  <c r="F72" i="19"/>
  <c r="F37" i="19"/>
  <c r="F39" i="19"/>
  <c r="F53" i="19"/>
  <c r="F78" i="19"/>
  <c r="F116" i="19"/>
  <c r="F68" i="19"/>
  <c r="F105" i="19"/>
  <c r="F118" i="19"/>
  <c r="F71" i="19"/>
  <c r="F96" i="19"/>
  <c r="F109" i="19"/>
  <c r="F63" i="19"/>
  <c r="F4" i="19"/>
  <c r="F64" i="19"/>
  <c r="F100" i="19"/>
  <c r="F28" i="19"/>
  <c r="F88" i="19"/>
  <c r="F40" i="19"/>
  <c r="F76" i="19"/>
  <c r="F124" i="19"/>
  <c r="F16" i="19"/>
  <c r="F52" i="19"/>
  <c r="F112" i="19"/>
  <c r="F14" i="19"/>
  <c r="F87" i="19"/>
  <c r="F99" i="19"/>
  <c r="F74" i="19"/>
  <c r="F38" i="19"/>
  <c r="F111" i="19"/>
  <c r="F113" i="19"/>
  <c r="F43" i="19"/>
  <c r="F91" i="19"/>
  <c r="F21" i="19"/>
  <c r="F34" i="19"/>
  <c r="F121" i="19"/>
  <c r="F3" i="19"/>
  <c r="F122" i="19"/>
  <c r="F50" i="19"/>
  <c r="F123" i="19"/>
  <c r="F125" i="19"/>
  <c r="F79" i="19"/>
  <c r="F127" i="19"/>
  <c r="F33" i="19"/>
  <c r="F46" i="19"/>
  <c r="F86" i="19"/>
  <c r="F12" i="19"/>
  <c r="F36" i="19"/>
  <c r="F62" i="19"/>
  <c r="F5" i="19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29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H36" i="4"/>
  <c r="H41" i="4" l="1"/>
  <c r="H50" i="4"/>
  <c r="H46" i="4"/>
  <c r="H45" i="4"/>
  <c r="H33" i="4"/>
  <c r="H43" i="4"/>
  <c r="H31" i="4"/>
  <c r="H49" i="4"/>
  <c r="H37" i="4"/>
  <c r="H47" i="4"/>
  <c r="H48" i="4"/>
  <c r="H32" i="4"/>
  <c r="H42" i="4"/>
  <c r="H30" i="4"/>
  <c r="H40" i="4"/>
  <c r="H51" i="4"/>
  <c r="H39" i="4"/>
  <c r="H29" i="4"/>
  <c r="H34" i="4"/>
  <c r="H38" i="4"/>
  <c r="H35" i="4"/>
  <c r="H52" i="4"/>
  <c r="H44" i="4"/>
  <c r="S203" i="10" l="1"/>
  <c r="S204" i="10"/>
  <c r="S205" i="10"/>
  <c r="S206" i="10"/>
  <c r="S207" i="10"/>
  <c r="S208" i="10"/>
  <c r="S209" i="10"/>
  <c r="S210" i="10"/>
  <c r="S202" i="10"/>
  <c r="I186" i="10"/>
  <c r="I187" i="10"/>
  <c r="I188" i="10"/>
  <c r="I189" i="10"/>
  <c r="I190" i="10"/>
  <c r="I191" i="10"/>
  <c r="I192" i="10"/>
  <c r="I193" i="10"/>
  <c r="I194" i="10"/>
  <c r="I195" i="10"/>
  <c r="I196" i="10"/>
  <c r="I197" i="10"/>
  <c r="I198" i="10"/>
  <c r="I199" i="10"/>
  <c r="I200" i="10"/>
  <c r="I201" i="10"/>
  <c r="I202" i="10"/>
  <c r="I203" i="10"/>
  <c r="I204" i="10"/>
  <c r="I205" i="10"/>
  <c r="I206" i="10"/>
  <c r="I207" i="10"/>
  <c r="I208" i="10"/>
  <c r="I209" i="10"/>
  <c r="I210" i="10"/>
  <c r="I211" i="10"/>
  <c r="I212" i="10"/>
  <c r="I213" i="10"/>
  <c r="I214" i="10"/>
  <c r="I215" i="10"/>
  <c r="I216" i="10"/>
  <c r="I217" i="10"/>
  <c r="I218" i="10"/>
  <c r="I219" i="10"/>
  <c r="I220" i="10"/>
  <c r="I221" i="10"/>
  <c r="I222" i="10"/>
  <c r="I223" i="10"/>
  <c r="I224" i="10"/>
  <c r="I225" i="10"/>
  <c r="I226" i="10"/>
  <c r="I227" i="10"/>
  <c r="I228" i="10"/>
  <c r="I229" i="10"/>
  <c r="I230" i="10"/>
  <c r="I231" i="10"/>
  <c r="I232" i="10"/>
  <c r="I233" i="10"/>
  <c r="I234" i="10"/>
  <c r="I235" i="10"/>
  <c r="I236" i="10"/>
  <c r="I237" i="10"/>
  <c r="I238" i="10"/>
  <c r="I239" i="10"/>
  <c r="I240" i="10"/>
  <c r="I241" i="10"/>
  <c r="I242" i="10"/>
  <c r="I243" i="10"/>
  <c r="I244" i="10"/>
  <c r="I245" i="10"/>
  <c r="I246" i="10"/>
  <c r="I247" i="10"/>
  <c r="I248" i="10"/>
  <c r="I249" i="10"/>
  <c r="I250" i="10"/>
  <c r="I251" i="10"/>
  <c r="I252" i="10"/>
  <c r="I253" i="10"/>
  <c r="I254" i="10"/>
  <c r="I255" i="10"/>
  <c r="I256" i="10"/>
  <c r="I257" i="10"/>
  <c r="I258" i="10"/>
  <c r="I259" i="10"/>
  <c r="I260" i="10"/>
  <c r="I261" i="10"/>
  <c r="I262" i="10"/>
  <c r="I263" i="10"/>
  <c r="I264" i="10"/>
  <c r="I265" i="10"/>
  <c r="I266" i="10"/>
  <c r="I267" i="10"/>
  <c r="I268" i="10"/>
  <c r="I269" i="10"/>
  <c r="I270" i="10"/>
  <c r="I271" i="10"/>
  <c r="I272" i="10"/>
  <c r="I273" i="10"/>
  <c r="I274" i="10"/>
  <c r="I275" i="10"/>
  <c r="I276" i="10"/>
  <c r="I277" i="10"/>
  <c r="I278" i="10"/>
  <c r="I279" i="10"/>
  <c r="I280" i="10"/>
  <c r="I281" i="10"/>
  <c r="I282" i="10"/>
  <c r="I283" i="10"/>
  <c r="I284" i="10"/>
  <c r="I285" i="10"/>
  <c r="I286" i="10"/>
  <c r="I287" i="10"/>
  <c r="I288" i="10"/>
  <c r="I289" i="10"/>
  <c r="I290" i="10"/>
  <c r="I291" i="10"/>
  <c r="I292" i="10"/>
  <c r="I293" i="10"/>
  <c r="I294" i="10"/>
  <c r="I295" i="10"/>
  <c r="I296" i="10"/>
  <c r="I297" i="10"/>
  <c r="I298" i="10"/>
  <c r="I299" i="10"/>
  <c r="I300" i="10"/>
  <c r="I301" i="10"/>
  <c r="I302" i="10"/>
  <c r="I303" i="10"/>
  <c r="I304" i="10"/>
  <c r="I305" i="10"/>
  <c r="I306" i="10"/>
  <c r="I307" i="10"/>
  <c r="I308" i="10"/>
  <c r="I309" i="10"/>
  <c r="I310" i="10"/>
  <c r="I311" i="10"/>
  <c r="I312" i="10"/>
  <c r="I185" i="10"/>
  <c r="B184" i="10"/>
  <c r="C184" i="10" l="1"/>
  <c r="J307" i="10" s="1"/>
  <c r="F184" i="10"/>
  <c r="E184" i="10"/>
  <c r="L279" i="10" s="1"/>
  <c r="B186" i="10"/>
  <c r="B187" i="10"/>
  <c r="B188" i="10"/>
  <c r="B189" i="10"/>
  <c r="B190" i="10"/>
  <c r="B191" i="10"/>
  <c r="B192" i="10"/>
  <c r="B193" i="10"/>
  <c r="B194" i="10"/>
  <c r="B195" i="10"/>
  <c r="B196" i="10"/>
  <c r="B197" i="10"/>
  <c r="B198" i="10"/>
  <c r="B199" i="10"/>
  <c r="B200" i="10"/>
  <c r="B201" i="10"/>
  <c r="B202" i="10"/>
  <c r="B203" i="10"/>
  <c r="B204" i="10"/>
  <c r="B205" i="10"/>
  <c r="B206" i="10"/>
  <c r="B207" i="10"/>
  <c r="B208" i="10"/>
  <c r="B209" i="10"/>
  <c r="B210" i="10"/>
  <c r="B211" i="10"/>
  <c r="B212" i="10"/>
  <c r="B213" i="10"/>
  <c r="B214" i="10"/>
  <c r="B215" i="10"/>
  <c r="B216" i="10"/>
  <c r="B217" i="10"/>
  <c r="B218" i="10"/>
  <c r="B219" i="10"/>
  <c r="B220" i="10"/>
  <c r="B221" i="10"/>
  <c r="B222" i="10"/>
  <c r="B223" i="10"/>
  <c r="B224" i="10"/>
  <c r="B225" i="10"/>
  <c r="B226" i="10"/>
  <c r="B227" i="10"/>
  <c r="B228" i="10"/>
  <c r="B229" i="10"/>
  <c r="B230" i="10"/>
  <c r="B231" i="10"/>
  <c r="B232" i="10"/>
  <c r="B233" i="10"/>
  <c r="B234" i="10"/>
  <c r="B235" i="10"/>
  <c r="B236" i="10"/>
  <c r="B237" i="10"/>
  <c r="B238" i="10"/>
  <c r="B239" i="10"/>
  <c r="B240" i="10"/>
  <c r="B241" i="10"/>
  <c r="B242" i="10"/>
  <c r="B243" i="10"/>
  <c r="B244" i="10"/>
  <c r="B245" i="10"/>
  <c r="B246" i="10"/>
  <c r="B247" i="10"/>
  <c r="B248" i="10"/>
  <c r="B249" i="10"/>
  <c r="B250" i="10"/>
  <c r="B251" i="10"/>
  <c r="B252" i="10"/>
  <c r="B253" i="10"/>
  <c r="B254" i="10"/>
  <c r="B255" i="10"/>
  <c r="B256" i="10"/>
  <c r="B257" i="10"/>
  <c r="B258" i="10"/>
  <c r="B259" i="10"/>
  <c r="B260" i="10"/>
  <c r="B261" i="10"/>
  <c r="B262" i="10"/>
  <c r="B263" i="10"/>
  <c r="B264" i="10"/>
  <c r="B265" i="10"/>
  <c r="B266" i="10"/>
  <c r="B267" i="10"/>
  <c r="B268" i="10"/>
  <c r="B269" i="10"/>
  <c r="B270" i="10"/>
  <c r="B271" i="10"/>
  <c r="B272" i="10"/>
  <c r="B273" i="10"/>
  <c r="B274" i="10"/>
  <c r="B275" i="10"/>
  <c r="B276" i="10"/>
  <c r="B277" i="10"/>
  <c r="B278" i="10"/>
  <c r="B279" i="10"/>
  <c r="B280" i="10"/>
  <c r="B281" i="10"/>
  <c r="B282" i="10"/>
  <c r="B283" i="10"/>
  <c r="B284" i="10"/>
  <c r="B285" i="10"/>
  <c r="B286" i="10"/>
  <c r="B287" i="10"/>
  <c r="B288" i="10"/>
  <c r="B289" i="10"/>
  <c r="B290" i="10"/>
  <c r="B291" i="10"/>
  <c r="B292" i="10"/>
  <c r="B293" i="10"/>
  <c r="B294" i="10"/>
  <c r="B295" i="10"/>
  <c r="B296" i="10"/>
  <c r="B297" i="10"/>
  <c r="B298" i="10"/>
  <c r="B299" i="10"/>
  <c r="B300" i="10"/>
  <c r="B301" i="10"/>
  <c r="B302" i="10"/>
  <c r="B303" i="10"/>
  <c r="B304" i="10"/>
  <c r="B305" i="10"/>
  <c r="B306" i="10"/>
  <c r="B307" i="10"/>
  <c r="B308" i="10"/>
  <c r="B309" i="10"/>
  <c r="B310" i="10"/>
  <c r="B311" i="10"/>
  <c r="B312" i="10"/>
  <c r="B185" i="10"/>
  <c r="A250" i="10"/>
  <c r="A251" i="10" s="1"/>
  <c r="A252" i="10" s="1"/>
  <c r="A253" i="10" s="1"/>
  <c r="A254" i="10" s="1"/>
  <c r="A255" i="10" s="1"/>
  <c r="A256" i="10" s="1"/>
  <c r="A257" i="10" s="1"/>
  <c r="A258" i="10" s="1"/>
  <c r="A259" i="10" s="1"/>
  <c r="A260" i="10" s="1"/>
  <c r="A261" i="10" s="1"/>
  <c r="A262" i="10" s="1"/>
  <c r="A263" i="10" s="1"/>
  <c r="A264" i="10" s="1"/>
  <c r="A265" i="10" s="1"/>
  <c r="A266" i="10" s="1"/>
  <c r="A267" i="10" s="1"/>
  <c r="A268" i="10" s="1"/>
  <c r="A269" i="10" s="1"/>
  <c r="A270" i="10" s="1"/>
  <c r="A271" i="10" s="1"/>
  <c r="A272" i="10" s="1"/>
  <c r="A273" i="10" s="1"/>
  <c r="A274" i="10" s="1"/>
  <c r="A275" i="10" s="1"/>
  <c r="A276" i="10" s="1"/>
  <c r="A277" i="10" s="1"/>
  <c r="A278" i="10" s="1"/>
  <c r="A279" i="10" s="1"/>
  <c r="A280" i="10" s="1"/>
  <c r="A281" i="10" s="1"/>
  <c r="A282" i="10" s="1"/>
  <c r="A283" i="10" s="1"/>
  <c r="A284" i="10" s="1"/>
  <c r="A285" i="10" s="1"/>
  <c r="A286" i="10" s="1"/>
  <c r="A287" i="10" s="1"/>
  <c r="A288" i="10" s="1"/>
  <c r="A289" i="10" s="1"/>
  <c r="A290" i="10" s="1"/>
  <c r="A291" i="10" s="1"/>
  <c r="A292" i="10" s="1"/>
  <c r="A293" i="10" s="1"/>
  <c r="A294" i="10" s="1"/>
  <c r="A295" i="10" s="1"/>
  <c r="A296" i="10" s="1"/>
  <c r="A297" i="10" s="1"/>
  <c r="A298" i="10" s="1"/>
  <c r="A299" i="10" s="1"/>
  <c r="A300" i="10" s="1"/>
  <c r="A301" i="10" s="1"/>
  <c r="A302" i="10" s="1"/>
  <c r="A303" i="10" s="1"/>
  <c r="A304" i="10" s="1"/>
  <c r="A305" i="10" s="1"/>
  <c r="A306" i="10" s="1"/>
  <c r="A307" i="10" s="1"/>
  <c r="A308" i="10" s="1"/>
  <c r="A309" i="10" s="1"/>
  <c r="A310" i="10" s="1"/>
  <c r="A311" i="10" s="1"/>
  <c r="A312" i="10" s="1"/>
  <c r="A187" i="10"/>
  <c r="A188" i="10" s="1"/>
  <c r="A189" i="10" s="1"/>
  <c r="A190" i="10" s="1"/>
  <c r="A191" i="10" s="1"/>
  <c r="A192" i="10" s="1"/>
  <c r="A193" i="10" s="1"/>
  <c r="A194" i="10" s="1"/>
  <c r="A195" i="10" s="1"/>
  <c r="A196" i="10" s="1"/>
  <c r="A197" i="10" s="1"/>
  <c r="A198" i="10" s="1"/>
  <c r="A199" i="10" s="1"/>
  <c r="A200" i="10" s="1"/>
  <c r="A201" i="10" s="1"/>
  <c r="A202" i="10" s="1"/>
  <c r="A203" i="10" s="1"/>
  <c r="A204" i="10" s="1"/>
  <c r="A205" i="10" s="1"/>
  <c r="A206" i="10" s="1"/>
  <c r="A207" i="10" s="1"/>
  <c r="A208" i="10" s="1"/>
  <c r="A209" i="10" s="1"/>
  <c r="A210" i="10" s="1"/>
  <c r="A211" i="10" s="1"/>
  <c r="A212" i="10" s="1"/>
  <c r="A213" i="10" s="1"/>
  <c r="A214" i="10" s="1"/>
  <c r="A215" i="10" s="1"/>
  <c r="A216" i="10" s="1"/>
  <c r="A217" i="10" s="1"/>
  <c r="A218" i="10" s="1"/>
  <c r="A219" i="10" s="1"/>
  <c r="A220" i="10" s="1"/>
  <c r="A221" i="10" s="1"/>
  <c r="A222" i="10" s="1"/>
  <c r="A223" i="10" s="1"/>
  <c r="A224" i="10" s="1"/>
  <c r="A225" i="10" s="1"/>
  <c r="A226" i="10" s="1"/>
  <c r="A227" i="10" s="1"/>
  <c r="A228" i="10" s="1"/>
  <c r="A229" i="10" s="1"/>
  <c r="A230" i="10" s="1"/>
  <c r="A231" i="10" s="1"/>
  <c r="A232" i="10" s="1"/>
  <c r="A233" i="10" s="1"/>
  <c r="A234" i="10" s="1"/>
  <c r="A235" i="10" s="1"/>
  <c r="A236" i="10" s="1"/>
  <c r="A237" i="10" s="1"/>
  <c r="A238" i="10" s="1"/>
  <c r="A239" i="10" s="1"/>
  <c r="A240" i="10" s="1"/>
  <c r="A241" i="10" s="1"/>
  <c r="A242" i="10" s="1"/>
  <c r="A243" i="10" s="1"/>
  <c r="A244" i="10" s="1"/>
  <c r="A245" i="10" s="1"/>
  <c r="A246" i="10" s="1"/>
  <c r="A247" i="10" s="1"/>
  <c r="A248" i="10" s="1"/>
  <c r="A249" i="10" s="1"/>
  <c r="A186" i="10"/>
  <c r="L284" i="10" l="1"/>
  <c r="L289" i="10"/>
  <c r="L301" i="10"/>
  <c r="L308" i="10"/>
  <c r="L193" i="10"/>
  <c r="L205" i="10"/>
  <c r="L249" i="10"/>
  <c r="L188" i="10"/>
  <c r="L261" i="10"/>
  <c r="L200" i="10"/>
  <c r="L194" i="10"/>
  <c r="L189" i="10"/>
  <c r="L237" i="10"/>
  <c r="L212" i="10"/>
  <c r="L290" i="10"/>
  <c r="L219" i="10"/>
  <c r="J219" i="10"/>
  <c r="J312" i="10"/>
  <c r="J204" i="10"/>
  <c r="J216" i="10"/>
  <c r="J303" i="10"/>
  <c r="J234" i="10"/>
  <c r="J222" i="10"/>
  <c r="J261" i="10"/>
  <c r="L206" i="10"/>
  <c r="L190" i="10"/>
  <c r="J270" i="10"/>
  <c r="J258" i="10"/>
  <c r="J225" i="10"/>
  <c r="L224" i="10"/>
  <c r="L217" i="10"/>
  <c r="L218" i="10"/>
  <c r="L202" i="10"/>
  <c r="J198" i="10"/>
  <c r="J230" i="10"/>
  <c r="J306" i="10"/>
  <c r="J193" i="10"/>
  <c r="J291" i="10"/>
  <c r="L236" i="10"/>
  <c r="L229" i="10"/>
  <c r="L230" i="10"/>
  <c r="L214" i="10"/>
  <c r="L195" i="10"/>
  <c r="J186" i="10"/>
  <c r="J206" i="10"/>
  <c r="J294" i="10"/>
  <c r="J249" i="10"/>
  <c r="L241" i="10"/>
  <c r="L226" i="10"/>
  <c r="J194" i="10"/>
  <c r="L260" i="10"/>
  <c r="L253" i="10"/>
  <c r="L266" i="10"/>
  <c r="L262" i="10"/>
  <c r="J282" i="10"/>
  <c r="J237" i="10"/>
  <c r="J278" i="10"/>
  <c r="J276" i="10"/>
  <c r="L248" i="10"/>
  <c r="L254" i="10"/>
  <c r="J246" i="10"/>
  <c r="J242" i="10"/>
  <c r="L272" i="10"/>
  <c r="L277" i="10"/>
  <c r="L278" i="10"/>
  <c r="L286" i="10"/>
  <c r="J205" i="10"/>
  <c r="L231" i="10"/>
  <c r="J199" i="10"/>
  <c r="J231" i="10"/>
  <c r="J192" i="10"/>
  <c r="J241" i="10"/>
  <c r="J288" i="10"/>
  <c r="L243" i="10"/>
  <c r="J247" i="10"/>
  <c r="L296" i="10"/>
  <c r="L225" i="10"/>
  <c r="L302" i="10"/>
  <c r="J213" i="10"/>
  <c r="J254" i="10"/>
  <c r="J283" i="10"/>
  <c r="J235" i="10"/>
  <c r="J243" i="10"/>
  <c r="J223" i="10"/>
  <c r="J229" i="10"/>
  <c r="J252" i="10"/>
  <c r="L267" i="10"/>
  <c r="J211" i="10"/>
  <c r="L207" i="10"/>
  <c r="J255" i="10"/>
  <c r="L274" i="10"/>
  <c r="L255" i="10"/>
  <c r="J265" i="10"/>
  <c r="J277" i="10"/>
  <c r="J240" i="10"/>
  <c r="J271" i="10"/>
  <c r="L265" i="10"/>
  <c r="L242" i="10"/>
  <c r="L238" i="10"/>
  <c r="J259" i="10"/>
  <c r="J295" i="10"/>
  <c r="J218" i="10"/>
  <c r="J301" i="10"/>
  <c r="J217" i="10"/>
  <c r="L186" i="10"/>
  <c r="L208" i="10"/>
  <c r="L233" i="10"/>
  <c r="L244" i="10"/>
  <c r="L269" i="10"/>
  <c r="L280" i="10"/>
  <c r="L197" i="10"/>
  <c r="L223" i="10"/>
  <c r="L228" i="10"/>
  <c r="L259" i="10"/>
  <c r="L264" i="10"/>
  <c r="L294" i="10"/>
  <c r="L312" i="10"/>
  <c r="L187" i="10"/>
  <c r="L192" i="10"/>
  <c r="L203" i="10"/>
  <c r="L239" i="10"/>
  <c r="L270" i="10"/>
  <c r="L275" i="10"/>
  <c r="L285" i="10"/>
  <c r="L304" i="10"/>
  <c r="L199" i="10"/>
  <c r="L204" i="10"/>
  <c r="L235" i="10"/>
  <c r="L240" i="10"/>
  <c r="L276" i="10"/>
  <c r="L215" i="10"/>
  <c r="L251" i="10"/>
  <c r="L282" i="10"/>
  <c r="L300" i="10"/>
  <c r="L305" i="10"/>
  <c r="L191" i="10"/>
  <c r="L222" i="10"/>
  <c r="L258" i="10"/>
  <c r="L288" i="10"/>
  <c r="L293" i="10"/>
  <c r="H312" i="10"/>
  <c r="L287" i="10"/>
  <c r="L295" i="10"/>
  <c r="L309" i="10"/>
  <c r="L209" i="10"/>
  <c r="L216" i="10"/>
  <c r="L245" i="10"/>
  <c r="L252" i="10"/>
  <c r="L281" i="10"/>
  <c r="L210" i="10"/>
  <c r="L246" i="10"/>
  <c r="L232" i="10"/>
  <c r="L283" i="10"/>
  <c r="L268" i="10"/>
  <c r="L196" i="10"/>
  <c r="L211" i="10"/>
  <c r="L247" i="10"/>
  <c r="L297" i="10"/>
  <c r="L311" i="10"/>
  <c r="L220" i="10"/>
  <c r="L256" i="10"/>
  <c r="L292" i="10"/>
  <c r="L306" i="10"/>
  <c r="L227" i="10"/>
  <c r="L271" i="10"/>
  <c r="L307" i="10"/>
  <c r="N312" i="10"/>
  <c r="L257" i="10"/>
  <c r="L198" i="10"/>
  <c r="L234" i="10"/>
  <c r="L263" i="10"/>
  <c r="L299" i="10"/>
  <c r="L185" i="10"/>
  <c r="L221" i="10"/>
  <c r="L201" i="10"/>
  <c r="L273" i="10"/>
  <c r="J195" i="10"/>
  <c r="J267" i="10"/>
  <c r="L298" i="10"/>
  <c r="L250" i="10"/>
  <c r="J289" i="10"/>
  <c r="J189" i="10"/>
  <c r="J228" i="10"/>
  <c r="J201" i="10"/>
  <c r="J253" i="10"/>
  <c r="L291" i="10"/>
  <c r="F205" i="10"/>
  <c r="M186" i="10"/>
  <c r="M203" i="10"/>
  <c r="M212" i="10"/>
  <c r="M227" i="10"/>
  <c r="M236" i="10"/>
  <c r="M251" i="10"/>
  <c r="M260" i="10"/>
  <c r="M275" i="10"/>
  <c r="M284" i="10"/>
  <c r="M299" i="10"/>
  <c r="M308" i="10"/>
  <c r="M187" i="10"/>
  <c r="M196" i="10"/>
  <c r="M204" i="10"/>
  <c r="M220" i="10"/>
  <c r="M228" i="10"/>
  <c r="M244" i="10"/>
  <c r="M252" i="10"/>
  <c r="M268" i="10"/>
  <c r="M276" i="10"/>
  <c r="M292" i="10"/>
  <c r="M300" i="10"/>
  <c r="M188" i="10"/>
  <c r="M205" i="10"/>
  <c r="M213" i="10"/>
  <c r="M229" i="10"/>
  <c r="M237" i="10"/>
  <c r="M253" i="10"/>
  <c r="M261" i="10"/>
  <c r="M277" i="10"/>
  <c r="M285" i="10"/>
  <c r="M301" i="10"/>
  <c r="M309" i="10"/>
  <c r="M189" i="10"/>
  <c r="M197" i="10"/>
  <c r="M206" i="10"/>
  <c r="M221" i="10"/>
  <c r="M230" i="10"/>
  <c r="M245" i="10"/>
  <c r="M254" i="10"/>
  <c r="M269" i="10"/>
  <c r="M278" i="10"/>
  <c r="M293" i="10"/>
  <c r="M302" i="10"/>
  <c r="M198" i="10"/>
  <c r="M214" i="10"/>
  <c r="M222" i="10"/>
  <c r="M238" i="10"/>
  <c r="M246" i="10"/>
  <c r="M262" i="10"/>
  <c r="M270" i="10"/>
  <c r="M190" i="10"/>
  <c r="M199" i="10"/>
  <c r="M207" i="10"/>
  <c r="M223" i="10"/>
  <c r="M231" i="10"/>
  <c r="M247" i="10"/>
  <c r="M255" i="10"/>
  <c r="M271" i="10"/>
  <c r="M279" i="10"/>
  <c r="M295" i="10"/>
  <c r="M303" i="10"/>
  <c r="M200" i="10"/>
  <c r="M215" i="10"/>
  <c r="M224" i="10"/>
  <c r="M239" i="10"/>
  <c r="M248" i="10"/>
  <c r="M263" i="10"/>
  <c r="M272" i="10"/>
  <c r="M287" i="10"/>
  <c r="M296" i="10"/>
  <c r="M311" i="10"/>
  <c r="M192" i="10"/>
  <c r="M201" i="10"/>
  <c r="M217" i="10"/>
  <c r="M225" i="10"/>
  <c r="M241" i="10"/>
  <c r="M249" i="10"/>
  <c r="M193" i="10"/>
  <c r="M209" i="10"/>
  <c r="M218" i="10"/>
  <c r="M233" i="10"/>
  <c r="M242" i="10"/>
  <c r="M257" i="10"/>
  <c r="M266" i="10"/>
  <c r="M194" i="10"/>
  <c r="M202" i="10"/>
  <c r="M210" i="10"/>
  <c r="M226" i="10"/>
  <c r="M234" i="10"/>
  <c r="M250" i="10"/>
  <c r="M258" i="10"/>
  <c r="M274" i="10"/>
  <c r="M282" i="10"/>
  <c r="M298" i="10"/>
  <c r="M195" i="10"/>
  <c r="M211" i="10"/>
  <c r="M219" i="10"/>
  <c r="M235" i="10"/>
  <c r="M243" i="10"/>
  <c r="M259" i="10"/>
  <c r="M267" i="10"/>
  <c r="M283" i="10"/>
  <c r="M291" i="10"/>
  <c r="M307" i="10"/>
  <c r="M191" i="10"/>
  <c r="M273" i="10"/>
  <c r="M297" i="10"/>
  <c r="M208" i="10"/>
  <c r="M216" i="10"/>
  <c r="M280" i="10"/>
  <c r="M304" i="10"/>
  <c r="M232" i="10"/>
  <c r="M240" i="10"/>
  <c r="M281" i="10"/>
  <c r="M305" i="10"/>
  <c r="M286" i="10"/>
  <c r="M306" i="10"/>
  <c r="M256" i="10"/>
  <c r="M288" i="10"/>
  <c r="N287" i="10" s="1"/>
  <c r="M290" i="10"/>
  <c r="M312" i="10"/>
  <c r="M294" i="10"/>
  <c r="M289" i="10"/>
  <c r="M310" i="10"/>
  <c r="M185" i="10"/>
  <c r="M264" i="10"/>
  <c r="M265" i="10"/>
  <c r="D182" i="10"/>
  <c r="J203" i="10"/>
  <c r="J239" i="10"/>
  <c r="J275" i="10"/>
  <c r="J285" i="10"/>
  <c r="J304" i="10"/>
  <c r="J308" i="10"/>
  <c r="J299" i="10"/>
  <c r="J209" i="10"/>
  <c r="J214" i="10"/>
  <c r="J220" i="10"/>
  <c r="J245" i="10"/>
  <c r="J256" i="10"/>
  <c r="J281" i="10"/>
  <c r="J290" i="10"/>
  <c r="J309" i="10"/>
  <c r="J250" i="10"/>
  <c r="J292" i="10"/>
  <c r="J296" i="10"/>
  <c r="J185" i="10"/>
  <c r="J221" i="10"/>
  <c r="J226" i="10"/>
  <c r="J232" i="10"/>
  <c r="J257" i="10"/>
  <c r="J262" i="10"/>
  <c r="J268" i="10"/>
  <c r="J272" i="10"/>
  <c r="J287" i="10"/>
  <c r="J310" i="10"/>
  <c r="J197" i="10"/>
  <c r="J212" i="10"/>
  <c r="J248" i="10"/>
  <c r="J298" i="10"/>
  <c r="J200" i="10"/>
  <c r="J236" i="10"/>
  <c r="J273" i="10"/>
  <c r="J302" i="10"/>
  <c r="J202" i="10"/>
  <c r="J238" i="10"/>
  <c r="J274" i="10"/>
  <c r="J188" i="10"/>
  <c r="J196" i="10"/>
  <c r="J224" i="10"/>
  <c r="J260" i="10"/>
  <c r="J297" i="10"/>
  <c r="J311" i="10"/>
  <c r="J305" i="10"/>
  <c r="J190" i="10"/>
  <c r="J233" i="10"/>
  <c r="J269" i="10"/>
  <c r="J284" i="10"/>
  <c r="J227" i="10"/>
  <c r="J263" i="10"/>
  <c r="J293" i="10"/>
  <c r="J215" i="10"/>
  <c r="J244" i="10"/>
  <c r="J280" i="10"/>
  <c r="J191" i="10"/>
  <c r="J286" i="10"/>
  <c r="J208" i="10"/>
  <c r="J251" i="10"/>
  <c r="L213" i="10"/>
  <c r="J207" i="10"/>
  <c r="J279" i="10"/>
  <c r="L310" i="10"/>
  <c r="J187" i="10"/>
  <c r="J210" i="10"/>
  <c r="J264" i="10"/>
  <c r="J266" i="10"/>
  <c r="L303" i="10"/>
  <c r="J300" i="10"/>
  <c r="E188" i="10"/>
  <c r="C189" i="10"/>
  <c r="G312" i="10"/>
  <c r="C275" i="10"/>
  <c r="E244" i="10"/>
  <c r="E305" i="10"/>
  <c r="E278" i="10"/>
  <c r="E234" i="10"/>
  <c r="C311" i="10"/>
  <c r="C251" i="10"/>
  <c r="E279" i="10"/>
  <c r="E304" i="10"/>
  <c r="E277" i="10"/>
  <c r="E225" i="10"/>
  <c r="C308" i="10"/>
  <c r="C248" i="10"/>
  <c r="C260" i="10"/>
  <c r="E303" i="10"/>
  <c r="E273" i="10"/>
  <c r="E220" i="10"/>
  <c r="C302" i="10"/>
  <c r="C239" i="10"/>
  <c r="C236" i="10"/>
  <c r="E219" i="10"/>
  <c r="E299" i="10"/>
  <c r="E264" i="10"/>
  <c r="E217" i="10"/>
  <c r="C296" i="10"/>
  <c r="C227" i="10"/>
  <c r="E288" i="10"/>
  <c r="E307" i="10"/>
  <c r="E301" i="10"/>
  <c r="E267" i="10"/>
  <c r="C299" i="10"/>
  <c r="E293" i="10"/>
  <c r="E259" i="10"/>
  <c r="E216" i="10"/>
  <c r="C290" i="10"/>
  <c r="C224" i="10"/>
  <c r="E292" i="10"/>
  <c r="E256" i="10"/>
  <c r="E203" i="10"/>
  <c r="C287" i="10"/>
  <c r="C212" i="10"/>
  <c r="E290" i="10"/>
  <c r="E251" i="10"/>
  <c r="E202" i="10"/>
  <c r="C284" i="10"/>
  <c r="C200" i="10"/>
  <c r="E250" i="10"/>
  <c r="C188" i="10"/>
  <c r="E189" i="10"/>
  <c r="E281" i="10"/>
  <c r="E249" i="10"/>
  <c r="C272" i="10"/>
  <c r="E312" i="10"/>
  <c r="E280" i="10"/>
  <c r="E246" i="10"/>
  <c r="C263" i="10"/>
  <c r="E233" i="10"/>
  <c r="E186" i="10"/>
  <c r="C307" i="10"/>
  <c r="C295" i="10"/>
  <c r="C283" i="10"/>
  <c r="C271" i="10"/>
  <c r="C259" i="10"/>
  <c r="C247" i="10"/>
  <c r="C235" i="10"/>
  <c r="C223" i="10"/>
  <c r="C211" i="10"/>
  <c r="C199" i="10"/>
  <c r="C187" i="10"/>
  <c r="E263" i="10"/>
  <c r="E306" i="10"/>
  <c r="E286" i="10"/>
  <c r="E262" i="10"/>
  <c r="E232" i="10"/>
  <c r="F276" i="10"/>
  <c r="C306" i="10"/>
  <c r="C294" i="10"/>
  <c r="C282" i="10"/>
  <c r="C270" i="10"/>
  <c r="C258" i="10"/>
  <c r="C246" i="10"/>
  <c r="C234" i="10"/>
  <c r="C222" i="10"/>
  <c r="C210" i="10"/>
  <c r="C198" i="10"/>
  <c r="C186" i="10"/>
  <c r="F256" i="10"/>
  <c r="C305" i="10"/>
  <c r="C293" i="10"/>
  <c r="C281" i="10"/>
  <c r="C269" i="10"/>
  <c r="C257" i="10"/>
  <c r="C245" i="10"/>
  <c r="C233" i="10"/>
  <c r="C221" i="10"/>
  <c r="C209" i="10"/>
  <c r="C197" i="10"/>
  <c r="F233" i="10"/>
  <c r="C304" i="10"/>
  <c r="C292" i="10"/>
  <c r="C280" i="10"/>
  <c r="C268" i="10"/>
  <c r="C256" i="10"/>
  <c r="C244" i="10"/>
  <c r="C232" i="10"/>
  <c r="C220" i="10"/>
  <c r="C208" i="10"/>
  <c r="C196" i="10"/>
  <c r="C303" i="10"/>
  <c r="C291" i="10"/>
  <c r="C279" i="10"/>
  <c r="C267" i="10"/>
  <c r="C255" i="10"/>
  <c r="C243" i="10"/>
  <c r="C231" i="10"/>
  <c r="C219" i="10"/>
  <c r="C207" i="10"/>
  <c r="C195" i="10"/>
  <c r="C278" i="10"/>
  <c r="C266" i="10"/>
  <c r="C254" i="10"/>
  <c r="C242" i="10"/>
  <c r="C230" i="10"/>
  <c r="C218" i="10"/>
  <c r="C206" i="10"/>
  <c r="C194" i="10"/>
  <c r="C301" i="10"/>
  <c r="C277" i="10"/>
  <c r="C253" i="10"/>
  <c r="C229" i="10"/>
  <c r="C205" i="10"/>
  <c r="C289" i="10"/>
  <c r="C265" i="10"/>
  <c r="C241" i="10"/>
  <c r="C217" i="10"/>
  <c r="C193" i="10"/>
  <c r="E294" i="10"/>
  <c r="E275" i="10"/>
  <c r="E247" i="10"/>
  <c r="E204" i="10"/>
  <c r="C312" i="10"/>
  <c r="C300" i="10"/>
  <c r="C288" i="10"/>
  <c r="C276" i="10"/>
  <c r="C264" i="10"/>
  <c r="C252" i="10"/>
  <c r="C240" i="10"/>
  <c r="C228" i="10"/>
  <c r="C216" i="10"/>
  <c r="C204" i="10"/>
  <c r="C192" i="10"/>
  <c r="C215" i="10"/>
  <c r="C203" i="10"/>
  <c r="C191" i="10"/>
  <c r="C310" i="10"/>
  <c r="C298" i="10"/>
  <c r="C274" i="10"/>
  <c r="C262" i="10"/>
  <c r="C250" i="10"/>
  <c r="C238" i="10"/>
  <c r="C226" i="10"/>
  <c r="C214" i="10"/>
  <c r="C202" i="10"/>
  <c r="C190" i="10"/>
  <c r="C286" i="10"/>
  <c r="E291" i="10"/>
  <c r="E265" i="10"/>
  <c r="E235" i="10"/>
  <c r="E201" i="10"/>
  <c r="C309" i="10"/>
  <c r="C297" i="10"/>
  <c r="C285" i="10"/>
  <c r="C273" i="10"/>
  <c r="C261" i="10"/>
  <c r="C249" i="10"/>
  <c r="C237" i="10"/>
  <c r="C225" i="10"/>
  <c r="C213" i="10"/>
  <c r="C201" i="10"/>
  <c r="E227" i="10"/>
  <c r="E211" i="10"/>
  <c r="E196" i="10"/>
  <c r="F299" i="10"/>
  <c r="F258" i="10"/>
  <c r="F218" i="10"/>
  <c r="E185" i="10"/>
  <c r="E300" i="10"/>
  <c r="E287" i="10"/>
  <c r="E274" i="10"/>
  <c r="E258" i="10"/>
  <c r="E241" i="10"/>
  <c r="E226" i="10"/>
  <c r="E210" i="10"/>
  <c r="E195" i="10"/>
  <c r="F298" i="10"/>
  <c r="F257" i="10"/>
  <c r="F217" i="10"/>
  <c r="F214" i="10"/>
  <c r="E209" i="10"/>
  <c r="F297" i="10"/>
  <c r="E311" i="10"/>
  <c r="E298" i="10"/>
  <c r="E285" i="10"/>
  <c r="E270" i="10"/>
  <c r="E255" i="10"/>
  <c r="E239" i="10"/>
  <c r="E223" i="10"/>
  <c r="E208" i="10"/>
  <c r="E192" i="10"/>
  <c r="F295" i="10"/>
  <c r="F253" i="10"/>
  <c r="F204" i="10"/>
  <c r="E240" i="10"/>
  <c r="E193" i="10"/>
  <c r="E310" i="10"/>
  <c r="E297" i="10"/>
  <c r="E283" i="10"/>
  <c r="E269" i="10"/>
  <c r="E253" i="10"/>
  <c r="E238" i="10"/>
  <c r="E222" i="10"/>
  <c r="E207" i="10"/>
  <c r="E191" i="10"/>
  <c r="F292" i="10"/>
  <c r="F243" i="10"/>
  <c r="F200" i="10"/>
  <c r="E309" i="10"/>
  <c r="E295" i="10"/>
  <c r="E282" i="10"/>
  <c r="E268" i="10"/>
  <c r="E252" i="10"/>
  <c r="E237" i="10"/>
  <c r="E221" i="10"/>
  <c r="E205" i="10"/>
  <c r="E190" i="10"/>
  <c r="F282" i="10"/>
  <c r="F239" i="10"/>
  <c r="F198" i="10"/>
  <c r="F279" i="10"/>
  <c r="F237" i="10"/>
  <c r="F197" i="10"/>
  <c r="E187" i="10"/>
  <c r="F277" i="10"/>
  <c r="F236" i="10"/>
  <c r="F194" i="10"/>
  <c r="F272" i="10"/>
  <c r="F222" i="10"/>
  <c r="F196" i="10"/>
  <c r="E231" i="10"/>
  <c r="E215" i="10"/>
  <c r="E198" i="10"/>
  <c r="F312" i="10"/>
  <c r="F260" i="10"/>
  <c r="F220" i="10"/>
  <c r="E302" i="10"/>
  <c r="E289" i="10"/>
  <c r="E276" i="10"/>
  <c r="E261" i="10"/>
  <c r="E245" i="10"/>
  <c r="E229" i="10"/>
  <c r="E213" i="10"/>
  <c r="E197" i="10"/>
  <c r="F300" i="10"/>
  <c r="F259" i="10"/>
  <c r="F219" i="10"/>
  <c r="E308" i="10"/>
  <c r="E296" i="10"/>
  <c r="E284" i="10"/>
  <c r="E271" i="10"/>
  <c r="E257" i="10"/>
  <c r="E243" i="10"/>
  <c r="E228" i="10"/>
  <c r="E214" i="10"/>
  <c r="E199" i="10"/>
  <c r="F273" i="10"/>
  <c r="F234" i="10"/>
  <c r="F195" i="10"/>
  <c r="F231" i="10"/>
  <c r="F290" i="10"/>
  <c r="F232" i="10"/>
  <c r="F310" i="10"/>
  <c r="F289" i="10"/>
  <c r="F249" i="10"/>
  <c r="F210" i="10"/>
  <c r="F192" i="10"/>
  <c r="F309" i="10"/>
  <c r="F287" i="10"/>
  <c r="F269" i="10"/>
  <c r="F247" i="10"/>
  <c r="F230" i="10"/>
  <c r="F208" i="10"/>
  <c r="F191" i="10"/>
  <c r="F311" i="10"/>
  <c r="F250" i="10"/>
  <c r="F212" i="10"/>
  <c r="F270" i="10"/>
  <c r="F305" i="10"/>
  <c r="F286" i="10"/>
  <c r="F266" i="10"/>
  <c r="F246" i="10"/>
  <c r="F227" i="10"/>
  <c r="F207" i="10"/>
  <c r="F187" i="10"/>
  <c r="F303" i="10"/>
  <c r="F284" i="10"/>
  <c r="F264" i="10"/>
  <c r="F245" i="10"/>
  <c r="F225" i="10"/>
  <c r="F206" i="10"/>
  <c r="F190" i="10"/>
  <c r="F271" i="10"/>
  <c r="F193" i="10"/>
  <c r="F185" i="10"/>
  <c r="F302" i="10"/>
  <c r="F283" i="10"/>
  <c r="F262" i="10"/>
  <c r="F244" i="10"/>
  <c r="F224" i="10"/>
  <c r="F308" i="10"/>
  <c r="F294" i="10"/>
  <c r="F281" i="10"/>
  <c r="F268" i="10"/>
  <c r="F255" i="10"/>
  <c r="F242" i="10"/>
  <c r="F229" i="10"/>
  <c r="F216" i="10"/>
  <c r="F203" i="10"/>
  <c r="F189" i="10"/>
  <c r="F306" i="10"/>
  <c r="F293" i="10"/>
  <c r="F280" i="10"/>
  <c r="F267" i="10"/>
  <c r="F254" i="10"/>
  <c r="F241" i="10"/>
  <c r="F228" i="10"/>
  <c r="F215" i="10"/>
  <c r="F202" i="10"/>
  <c r="F188" i="10"/>
  <c r="F304" i="10"/>
  <c r="F291" i="10"/>
  <c r="F278" i="10"/>
  <c r="F265" i="10"/>
  <c r="F251" i="10"/>
  <c r="F238" i="10"/>
  <c r="F226" i="10"/>
  <c r="F213" i="10"/>
  <c r="F199" i="10"/>
  <c r="F186" i="10"/>
  <c r="F301" i="10"/>
  <c r="F288" i="10"/>
  <c r="F275" i="10"/>
  <c r="F261" i="10"/>
  <c r="F248" i="10"/>
  <c r="F235" i="10"/>
  <c r="F223" i="10"/>
  <c r="F209" i="10"/>
  <c r="C185" i="10"/>
  <c r="E272" i="10"/>
  <c r="E266" i="10"/>
  <c r="E260" i="10"/>
  <c r="E254" i="10"/>
  <c r="E248" i="10"/>
  <c r="E242" i="10"/>
  <c r="E236" i="10"/>
  <c r="E230" i="10"/>
  <c r="E224" i="10"/>
  <c r="E218" i="10"/>
  <c r="E212" i="10"/>
  <c r="E206" i="10"/>
  <c r="E200" i="10"/>
  <c r="E194" i="10"/>
  <c r="F307" i="10"/>
  <c r="F296" i="10"/>
  <c r="F285" i="10"/>
  <c r="F274" i="10"/>
  <c r="F263" i="10"/>
  <c r="F252" i="10"/>
  <c r="F240" i="10"/>
  <c r="F221" i="10"/>
  <c r="F211" i="10"/>
  <c r="F201" i="10"/>
  <c r="N205" i="10" l="1"/>
  <c r="N204" i="10"/>
  <c r="N194" i="10"/>
  <c r="K209" i="10"/>
  <c r="D274" i="10"/>
  <c r="H273" i="10" s="1"/>
  <c r="D264" i="10"/>
  <c r="H263" i="10" s="1"/>
  <c r="D265" i="10"/>
  <c r="H264" i="10" s="1"/>
  <c r="D254" i="10"/>
  <c r="H253" i="10" s="1"/>
  <c r="D303" i="10"/>
  <c r="H302" i="10" s="1"/>
  <c r="D213" i="10"/>
  <c r="H212" i="10" s="1"/>
  <c r="D300" i="10"/>
  <c r="H299" i="10" s="1"/>
  <c r="D229" i="10"/>
  <c r="H228" i="10" s="1"/>
  <c r="D195" i="10"/>
  <c r="H194" i="10" s="1"/>
  <c r="D220" i="10"/>
  <c r="H219" i="10" s="1"/>
  <c r="D233" i="10"/>
  <c r="H232" i="10" s="1"/>
  <c r="D234" i="10"/>
  <c r="H233" i="10" s="1"/>
  <c r="D185" i="10"/>
  <c r="D191" i="10"/>
  <c r="H190" i="10" s="1"/>
  <c r="N264" i="10"/>
  <c r="D225" i="10"/>
  <c r="H224" i="10" s="1"/>
  <c r="D286" i="10"/>
  <c r="H285" i="10" s="1"/>
  <c r="D203" i="10"/>
  <c r="H202" i="10" s="1"/>
  <c r="D312" i="10"/>
  <c r="H311" i="10" s="1"/>
  <c r="D253" i="10"/>
  <c r="H252" i="10" s="1"/>
  <c r="D207" i="10"/>
  <c r="H206" i="10" s="1"/>
  <c r="D232" i="10"/>
  <c r="H231" i="10" s="1"/>
  <c r="D245" i="10"/>
  <c r="H244" i="10" s="1"/>
  <c r="D246" i="10"/>
  <c r="H245" i="10" s="1"/>
  <c r="D187" i="10"/>
  <c r="H186" i="10" s="1"/>
  <c r="D284" i="10"/>
  <c r="H283" i="10" s="1"/>
  <c r="N192" i="10"/>
  <c r="K299" i="10"/>
  <c r="K192" i="10"/>
  <c r="D226" i="10"/>
  <c r="H225" i="10" s="1"/>
  <c r="D199" i="10"/>
  <c r="H198" i="10" s="1"/>
  <c r="N272" i="10"/>
  <c r="K253" i="10"/>
  <c r="N302" i="10"/>
  <c r="K270" i="10"/>
  <c r="K266" i="10"/>
  <c r="N262" i="10"/>
  <c r="N289" i="10"/>
  <c r="N253" i="10"/>
  <c r="N227" i="10"/>
  <c r="N309" i="10"/>
  <c r="N221" i="10"/>
  <c r="N255" i="10"/>
  <c r="K239" i="10"/>
  <c r="N306" i="10"/>
  <c r="N244" i="10"/>
  <c r="N300" i="10"/>
  <c r="N275" i="10"/>
  <c r="N219" i="10"/>
  <c r="N239" i="10"/>
  <c r="N248" i="10"/>
  <c r="N276" i="10"/>
  <c r="N279" i="10"/>
  <c r="N234" i="10"/>
  <c r="N236" i="10"/>
  <c r="N195" i="10"/>
  <c r="N278" i="10"/>
  <c r="N191" i="10"/>
  <c r="N185" i="10"/>
  <c r="N212" i="10"/>
  <c r="N201" i="10"/>
  <c r="N305" i="10"/>
  <c r="N217" i="10"/>
  <c r="N256" i="10"/>
  <c r="N230" i="10"/>
  <c r="N310" i="10"/>
  <c r="N297" i="10"/>
  <c r="N240" i="10"/>
  <c r="N260" i="10"/>
  <c r="N277" i="10"/>
  <c r="N296" i="10"/>
  <c r="N258" i="10"/>
  <c r="N266" i="10"/>
  <c r="N288" i="10"/>
  <c r="N224" i="10"/>
  <c r="N290" i="10"/>
  <c r="N214" i="10"/>
  <c r="N196" i="10"/>
  <c r="N218" i="10"/>
  <c r="N229" i="10"/>
  <c r="N294" i="10"/>
  <c r="N210" i="10"/>
  <c r="N206" i="10"/>
  <c r="N226" i="10"/>
  <c r="N274" i="10"/>
  <c r="N237" i="10"/>
  <c r="N238" i="10"/>
  <c r="N220" i="10"/>
  <c r="N249" i="10"/>
  <c r="N268" i="10"/>
  <c r="N267" i="10"/>
  <c r="N280" i="10"/>
  <c r="N202" i="10"/>
  <c r="N190" i="10"/>
  <c r="N281" i="10"/>
  <c r="N213" i="10"/>
  <c r="N188" i="10"/>
  <c r="N299" i="10"/>
  <c r="N284" i="10"/>
  <c r="N250" i="10"/>
  <c r="N261" i="10"/>
  <c r="N285" i="10"/>
  <c r="N273" i="10"/>
  <c r="N197" i="10"/>
  <c r="N308" i="10"/>
  <c r="N283" i="10"/>
  <c r="N200" i="10"/>
  <c r="N207" i="10"/>
  <c r="N271" i="10"/>
  <c r="N241" i="10"/>
  <c r="N295" i="10"/>
  <c r="N307" i="10"/>
  <c r="N208" i="10"/>
  <c r="N246" i="10"/>
  <c r="N189" i="10"/>
  <c r="N292" i="10"/>
  <c r="N304" i="10"/>
  <c r="N231" i="10"/>
  <c r="N251" i="10"/>
  <c r="K263" i="10"/>
  <c r="K269" i="10"/>
  <c r="N225" i="10"/>
  <c r="N223" i="10"/>
  <c r="N198" i="10"/>
  <c r="N235" i="10"/>
  <c r="N243" i="10"/>
  <c r="N298" i="10"/>
  <c r="N242" i="10"/>
  <c r="N199" i="10"/>
  <c r="N269" i="10"/>
  <c r="K305" i="10"/>
  <c r="N291" i="10"/>
  <c r="N303" i="10"/>
  <c r="N193" i="10"/>
  <c r="N265" i="10"/>
  <c r="N245" i="10"/>
  <c r="N186" i="10"/>
  <c r="N286" i="10"/>
  <c r="N254" i="10"/>
  <c r="N232" i="10"/>
  <c r="D197" i="10"/>
  <c r="H196" i="10" s="1"/>
  <c r="D296" i="10"/>
  <c r="H295" i="10" s="1"/>
  <c r="D275" i="10"/>
  <c r="H274" i="10" s="1"/>
  <c r="K262" i="10"/>
  <c r="D276" i="10"/>
  <c r="H275" i="10" s="1"/>
  <c r="D266" i="10"/>
  <c r="H265" i="10" s="1"/>
  <c r="D209" i="10"/>
  <c r="H208" i="10" s="1"/>
  <c r="D295" i="10"/>
  <c r="H294" i="10" s="1"/>
  <c r="D224" i="10"/>
  <c r="H223" i="10" s="1"/>
  <c r="K204" i="10"/>
  <c r="K222" i="10"/>
  <c r="K203" i="10"/>
  <c r="K312" i="10"/>
  <c r="K190" i="10"/>
  <c r="K231" i="10"/>
  <c r="D198" i="10"/>
  <c r="H197" i="10" s="1"/>
  <c r="D283" i="10"/>
  <c r="H282" i="10" s="1"/>
  <c r="D248" i="10"/>
  <c r="H247" i="10" s="1"/>
  <c r="K248" i="10"/>
  <c r="K247" i="10"/>
  <c r="K252" i="10"/>
  <c r="D298" i="10"/>
  <c r="H297" i="10" s="1"/>
  <c r="D289" i="10"/>
  <c r="H288" i="10" s="1"/>
  <c r="D196" i="10"/>
  <c r="H195" i="10" s="1"/>
  <c r="D210" i="10"/>
  <c r="H209" i="10" s="1"/>
  <c r="D188" i="10"/>
  <c r="H187" i="10" s="1"/>
  <c r="D308" i="10"/>
  <c r="H307" i="10" s="1"/>
  <c r="K306" i="10"/>
  <c r="D201" i="10"/>
  <c r="H200" i="10" s="1"/>
  <c r="D310" i="10"/>
  <c r="H309" i="10" s="1"/>
  <c r="D288" i="10"/>
  <c r="H287" i="10" s="1"/>
  <c r="D205" i="10"/>
  <c r="H204" i="10" s="1"/>
  <c r="D278" i="10"/>
  <c r="H277" i="10" s="1"/>
  <c r="D208" i="10"/>
  <c r="H207" i="10" s="1"/>
  <c r="D221" i="10"/>
  <c r="H220" i="10" s="1"/>
  <c r="D222" i="10"/>
  <c r="H221" i="10" s="1"/>
  <c r="D307" i="10"/>
  <c r="H306" i="10" s="1"/>
  <c r="D290" i="10"/>
  <c r="H289" i="10" s="1"/>
  <c r="D189" i="10"/>
  <c r="H188" i="10" s="1"/>
  <c r="K294" i="10"/>
  <c r="N270" i="10"/>
  <c r="N187" i="10"/>
  <c r="K216" i="10"/>
  <c r="K280" i="10"/>
  <c r="K268" i="10"/>
  <c r="K288" i="10"/>
  <c r="K287" i="10"/>
  <c r="K244" i="10"/>
  <c r="K292" i="10"/>
  <c r="D202" i="10"/>
  <c r="H201" i="10" s="1"/>
  <c r="D231" i="10"/>
  <c r="H230" i="10" s="1"/>
  <c r="D270" i="10"/>
  <c r="H269" i="10" s="1"/>
  <c r="D239" i="10"/>
  <c r="H238" i="10" s="1"/>
  <c r="D211" i="10"/>
  <c r="H210" i="10" s="1"/>
  <c r="K267" i="10"/>
  <c r="N263" i="10"/>
  <c r="N282" i="10"/>
  <c r="N247" i="10"/>
  <c r="N222" i="10"/>
  <c r="N259" i="10"/>
  <c r="K191" i="10"/>
  <c r="K196" i="10"/>
  <c r="K232" i="10"/>
  <c r="K258" i="10"/>
  <c r="K233" i="10"/>
  <c r="K251" i="10"/>
  <c r="K285" i="10"/>
  <c r="K282" i="10"/>
  <c r="K300" i="10"/>
  <c r="K304" i="10"/>
  <c r="K264" i="10"/>
  <c r="K284" i="10"/>
  <c r="K194" i="10"/>
  <c r="D237" i="10"/>
  <c r="H236" i="10" s="1"/>
  <c r="D190" i="10"/>
  <c r="H189" i="10" s="1"/>
  <c r="D215" i="10"/>
  <c r="H214" i="10" s="1"/>
  <c r="D219" i="10"/>
  <c r="H218" i="10" s="1"/>
  <c r="D244" i="10"/>
  <c r="H243" i="10" s="1"/>
  <c r="D257" i="10"/>
  <c r="H256" i="10" s="1"/>
  <c r="D258" i="10"/>
  <c r="H257" i="10" s="1"/>
  <c r="D263" i="10"/>
  <c r="H262" i="10" s="1"/>
  <c r="D236" i="10"/>
  <c r="H235" i="10" s="1"/>
  <c r="D301" i="10"/>
  <c r="H300" i="10" s="1"/>
  <c r="N257" i="10"/>
  <c r="N301" i="10"/>
  <c r="K241" i="10"/>
  <c r="K221" i="10"/>
  <c r="K227" i="10"/>
  <c r="K281" i="10"/>
  <c r="D249" i="10"/>
  <c r="H248" i="10" s="1"/>
  <c r="D192" i="10"/>
  <c r="H191" i="10" s="1"/>
  <c r="D256" i="10"/>
  <c r="H255" i="10" s="1"/>
  <c r="D269" i="10"/>
  <c r="H268" i="10" s="1"/>
  <c r="D299" i="10"/>
  <c r="H298" i="10" s="1"/>
  <c r="D251" i="10"/>
  <c r="H250" i="10" s="1"/>
  <c r="D261" i="10"/>
  <c r="H260" i="10" s="1"/>
  <c r="D214" i="10"/>
  <c r="H213" i="10" s="1"/>
  <c r="D204" i="10"/>
  <c r="H203" i="10" s="1"/>
  <c r="D194" i="10"/>
  <c r="H193" i="10" s="1"/>
  <c r="D243" i="10"/>
  <c r="H242" i="10" s="1"/>
  <c r="D268" i="10"/>
  <c r="H267" i="10" s="1"/>
  <c r="D281" i="10"/>
  <c r="H280" i="10" s="1"/>
  <c r="D282" i="10"/>
  <c r="H281" i="10" s="1"/>
  <c r="D223" i="10"/>
  <c r="H222" i="10" s="1"/>
  <c r="D302" i="10"/>
  <c r="H301" i="10" s="1"/>
  <c r="D311" i="10"/>
  <c r="H310" i="10" s="1"/>
  <c r="D294" i="10"/>
  <c r="H293" i="10" s="1"/>
  <c r="N233" i="10"/>
  <c r="K311" i="10"/>
  <c r="K245" i="10"/>
  <c r="K275" i="10"/>
  <c r="K228" i="10"/>
  <c r="D273" i="10"/>
  <c r="H272" i="10" s="1"/>
  <c r="D206" i="10"/>
  <c r="H205" i="10" s="1"/>
  <c r="D280" i="10"/>
  <c r="H279" i="10" s="1"/>
  <c r="D277" i="10"/>
  <c r="H276" i="10" s="1"/>
  <c r="K256" i="10"/>
  <c r="K297" i="10"/>
  <c r="K208" i="10"/>
  <c r="K246" i="10"/>
  <c r="K234" i="10"/>
  <c r="K188" i="10"/>
  <c r="K236" i="10"/>
  <c r="D247" i="10"/>
  <c r="H246" i="10" s="1"/>
  <c r="K273" i="10"/>
  <c r="D240" i="10"/>
  <c r="H239" i="10" s="1"/>
  <c r="D304" i="10"/>
  <c r="H303" i="10" s="1"/>
  <c r="K259" i="10"/>
  <c r="N293" i="10"/>
  <c r="N216" i="10"/>
  <c r="N211" i="10"/>
  <c r="K186" i="10"/>
  <c r="K210" i="10"/>
  <c r="K206" i="10"/>
  <c r="K212" i="10"/>
  <c r="K296" i="10"/>
  <c r="K303" i="10"/>
  <c r="K274" i="10"/>
  <c r="K202" i="10"/>
  <c r="K278" i="10"/>
  <c r="K189" i="10"/>
  <c r="K260" i="10"/>
  <c r="K250" i="10"/>
  <c r="K261" i="10"/>
  <c r="K211" i="10"/>
  <c r="K214" i="10"/>
  <c r="K242" i="10"/>
  <c r="K200" i="10"/>
  <c r="K277" i="10"/>
  <c r="K307" i="10"/>
  <c r="K235" i="10"/>
  <c r="K301" i="10"/>
  <c r="K229" i="10"/>
  <c r="K255" i="10"/>
  <c r="K254" i="10"/>
  <c r="K225" i="10"/>
  <c r="K207" i="10"/>
  <c r="K205" i="10"/>
  <c r="K218" i="10"/>
  <c r="K219" i="10"/>
  <c r="K243" i="10"/>
  <c r="K295" i="10"/>
  <c r="K223" i="10"/>
  <c r="K249" i="10"/>
  <c r="K289" i="10"/>
  <c r="K217" i="10"/>
  <c r="K224" i="10"/>
  <c r="K310" i="10"/>
  <c r="K238" i="10"/>
  <c r="K237" i="10"/>
  <c r="K283" i="10"/>
  <c r="K290" i="10"/>
  <c r="K298" i="10"/>
  <c r="K226" i="10"/>
  <c r="K230" i="10"/>
  <c r="K213" i="10"/>
  <c r="K198" i="10"/>
  <c r="K272" i="10"/>
  <c r="K195" i="10"/>
  <c r="K199" i="10"/>
  <c r="K201" i="10"/>
  <c r="K265" i="10"/>
  <c r="K193" i="10"/>
  <c r="K302" i="10"/>
  <c r="K291" i="10"/>
  <c r="K271" i="10"/>
  <c r="K308" i="10"/>
  <c r="K286" i="10"/>
  <c r="D216" i="10"/>
  <c r="H215" i="10" s="1"/>
  <c r="D255" i="10"/>
  <c r="H254" i="10" s="1"/>
  <c r="D293" i="10"/>
  <c r="H292" i="10" s="1"/>
  <c r="D235" i="10"/>
  <c r="H234" i="10" s="1"/>
  <c r="D212" i="10"/>
  <c r="H211" i="10" s="1"/>
  <c r="D285" i="10"/>
  <c r="H284" i="10" s="1"/>
  <c r="D238" i="10"/>
  <c r="H237" i="10" s="1"/>
  <c r="D228" i="10"/>
  <c r="H227" i="10" s="1"/>
  <c r="D193" i="10"/>
  <c r="H192" i="10" s="1"/>
  <c r="D218" i="10"/>
  <c r="H217" i="10" s="1"/>
  <c r="D267" i="10"/>
  <c r="H266" i="10" s="1"/>
  <c r="D292" i="10"/>
  <c r="H291" i="10" s="1"/>
  <c r="D305" i="10"/>
  <c r="H304" i="10" s="1"/>
  <c r="D306" i="10"/>
  <c r="H305" i="10" s="1"/>
  <c r="D272" i="10"/>
  <c r="H271" i="10" s="1"/>
  <c r="D287" i="10"/>
  <c r="H286" i="10" s="1"/>
  <c r="D200" i="10"/>
  <c r="H199" i="10" s="1"/>
  <c r="N209" i="10"/>
  <c r="N252" i="10"/>
  <c r="K293" i="10"/>
  <c r="K257" i="10"/>
  <c r="K220" i="10"/>
  <c r="K276" i="10"/>
  <c r="K215" i="10"/>
  <c r="K197" i="10"/>
  <c r="D297" i="10"/>
  <c r="H296" i="10" s="1"/>
  <c r="D250" i="10"/>
  <c r="H249" i="10" s="1"/>
  <c r="D217" i="10"/>
  <c r="H216" i="10" s="1"/>
  <c r="D230" i="10"/>
  <c r="H229" i="10" s="1"/>
  <c r="D279" i="10"/>
  <c r="H278" i="10" s="1"/>
  <c r="D259" i="10"/>
  <c r="H258" i="10" s="1"/>
  <c r="D309" i="10"/>
  <c r="H308" i="10" s="1"/>
  <c r="D262" i="10"/>
  <c r="H261" i="10" s="1"/>
  <c r="D252" i="10"/>
  <c r="H251" i="10" s="1"/>
  <c r="D241" i="10"/>
  <c r="H240" i="10" s="1"/>
  <c r="D242" i="10"/>
  <c r="H241" i="10" s="1"/>
  <c r="D291" i="10"/>
  <c r="H290" i="10" s="1"/>
  <c r="D186" i="10"/>
  <c r="H185" i="10" s="1"/>
  <c r="D271" i="10"/>
  <c r="H270" i="10" s="1"/>
  <c r="D227" i="10"/>
  <c r="H226" i="10" s="1"/>
  <c r="D260" i="10"/>
  <c r="H259" i="10" s="1"/>
  <c r="K187" i="10"/>
  <c r="N311" i="10"/>
  <c r="N215" i="10"/>
  <c r="N228" i="10"/>
  <c r="N203" i="10"/>
  <c r="K185" i="10"/>
  <c r="K240" i="10"/>
  <c r="K309" i="10"/>
  <c r="K279" i="10"/>
  <c r="G196" i="10"/>
  <c r="G302" i="10"/>
  <c r="G278" i="10"/>
  <c r="G206" i="10"/>
  <c r="G186" i="10"/>
  <c r="G255" i="10"/>
  <c r="G192" i="10"/>
  <c r="G219" i="10"/>
  <c r="G232" i="10"/>
  <c r="G233" i="10"/>
  <c r="G311" i="10"/>
  <c r="G208" i="10"/>
  <c r="G266" i="10"/>
  <c r="G291" i="10"/>
  <c r="G195" i="10"/>
  <c r="G201" i="10"/>
  <c r="G191" i="10"/>
  <c r="G300" i="10"/>
  <c r="G230" i="10"/>
  <c r="G268" i="10"/>
  <c r="G269" i="10"/>
  <c r="G210" i="10"/>
  <c r="G292" i="10"/>
  <c r="G303" i="10"/>
  <c r="G287" i="10"/>
  <c r="G204" i="10"/>
  <c r="G306" i="10"/>
  <c r="G242" i="10"/>
  <c r="G267" i="10"/>
  <c r="G280" i="10"/>
  <c r="G254" i="10"/>
  <c r="G279" i="10"/>
  <c r="G304" i="10"/>
  <c r="G216" i="10"/>
  <c r="G290" i="10"/>
  <c r="G200" i="10"/>
  <c r="G277" i="10"/>
  <c r="G207" i="10"/>
  <c r="G220" i="10"/>
  <c r="G221" i="10"/>
  <c r="G289" i="10"/>
  <c r="G198" i="10"/>
  <c r="G190" i="10"/>
  <c r="G228" i="10"/>
  <c r="G194" i="10"/>
  <c r="G231" i="10"/>
  <c r="G244" i="10"/>
  <c r="G236" i="10"/>
  <c r="G218" i="10"/>
  <c r="G243" i="10"/>
  <c r="G256" i="10"/>
  <c r="G212" i="10"/>
  <c r="G299" i="10"/>
  <c r="G199" i="10"/>
  <c r="G224" i="10"/>
  <c r="G285" i="10"/>
  <c r="G202" i="10"/>
  <c r="G252" i="10"/>
  <c r="G245" i="10"/>
  <c r="G283" i="10"/>
  <c r="G189" i="10"/>
  <c r="G214" i="10"/>
  <c r="G276" i="10"/>
  <c r="G257" i="10"/>
  <c r="G262" i="10"/>
  <c r="G235" i="10"/>
  <c r="G298" i="10"/>
  <c r="G238" i="10"/>
  <c r="G250" i="10"/>
  <c r="G260" i="10"/>
  <c r="G213" i="10"/>
  <c r="G203" i="10"/>
  <c r="G193" i="10"/>
  <c r="G281" i="10"/>
  <c r="G222" i="10"/>
  <c r="G301" i="10"/>
  <c r="G310" i="10"/>
  <c r="G272" i="10"/>
  <c r="G225" i="10"/>
  <c r="G215" i="10"/>
  <c r="G205" i="10"/>
  <c r="G293" i="10"/>
  <c r="G234" i="10"/>
  <c r="G211" i="10"/>
  <c r="G284" i="10"/>
  <c r="G237" i="10"/>
  <c r="G227" i="10"/>
  <c r="G217" i="10"/>
  <c r="G305" i="10"/>
  <c r="G246" i="10"/>
  <c r="G271" i="10"/>
  <c r="G286" i="10"/>
  <c r="G309" i="10"/>
  <c r="G296" i="10"/>
  <c r="G249" i="10"/>
  <c r="G239" i="10"/>
  <c r="G229" i="10"/>
  <c r="G258" i="10"/>
  <c r="G248" i="10"/>
  <c r="G308" i="10"/>
  <c r="G261" i="10"/>
  <c r="G251" i="10"/>
  <c r="G240" i="10"/>
  <c r="G241" i="10"/>
  <c r="G185" i="10"/>
  <c r="G270" i="10"/>
  <c r="G226" i="10"/>
  <c r="G259" i="10"/>
  <c r="G273" i="10"/>
  <c r="G263" i="10"/>
  <c r="G264" i="10"/>
  <c r="G253" i="10"/>
  <c r="G197" i="10"/>
  <c r="G282" i="10"/>
  <c r="G188" i="10"/>
  <c r="G295" i="10"/>
  <c r="G247" i="10"/>
  <c r="G274" i="10"/>
  <c r="G297" i="10"/>
  <c r="G275" i="10"/>
  <c r="G288" i="10"/>
  <c r="G265" i="10"/>
  <c r="G209" i="10"/>
  <c r="G294" i="10"/>
  <c r="G187" i="10"/>
  <c r="G223" i="10"/>
  <c r="G307" i="10"/>
  <c r="F5" i="18" l="1"/>
  <c r="F6" i="18"/>
  <c r="F7" i="18"/>
  <c r="F8" i="18"/>
  <c r="F9" i="18"/>
  <c r="F10" i="18"/>
  <c r="F11" i="18"/>
  <c r="F12" i="18"/>
  <c r="F13" i="18"/>
  <c r="F14" i="18"/>
  <c r="F15" i="18"/>
  <c r="F16" i="18"/>
  <c r="F17" i="18"/>
  <c r="F18" i="18"/>
  <c r="F19" i="18"/>
  <c r="F20" i="18"/>
  <c r="F21" i="18"/>
  <c r="F22" i="18"/>
  <c r="F23" i="18"/>
  <c r="F24" i="18"/>
  <c r="F25" i="18"/>
  <c r="F26" i="18"/>
  <c r="F27" i="18"/>
  <c r="F28" i="18"/>
  <c r="F29" i="18"/>
  <c r="F30" i="18"/>
  <c r="F31" i="18"/>
  <c r="F32" i="18"/>
  <c r="F33" i="18"/>
  <c r="F34" i="18"/>
  <c r="F35" i="18"/>
  <c r="F36" i="18"/>
  <c r="F37" i="18"/>
  <c r="F38" i="18"/>
  <c r="F39" i="18"/>
  <c r="F40" i="18"/>
  <c r="F41" i="18"/>
  <c r="F42" i="18"/>
  <c r="F43" i="18"/>
  <c r="F44" i="18"/>
  <c r="F45" i="18"/>
  <c r="F46" i="18"/>
  <c r="F47" i="18"/>
  <c r="F48" i="18"/>
  <c r="F49" i="18"/>
  <c r="F50" i="18"/>
  <c r="F51" i="18"/>
  <c r="F52" i="18"/>
  <c r="F53" i="18"/>
  <c r="F54" i="18"/>
  <c r="F55" i="18"/>
  <c r="F56" i="18"/>
  <c r="F57" i="18"/>
  <c r="F58" i="18"/>
  <c r="F59" i="18"/>
  <c r="F60" i="18"/>
  <c r="F61" i="18"/>
  <c r="F62" i="18"/>
  <c r="F63" i="18"/>
  <c r="F64" i="18"/>
  <c r="F65" i="18"/>
  <c r="F66" i="18"/>
  <c r="F67" i="18"/>
  <c r="F68" i="18"/>
  <c r="F69" i="18"/>
  <c r="F70" i="18"/>
  <c r="F71" i="18"/>
  <c r="F72" i="18"/>
  <c r="F73" i="18"/>
  <c r="F74" i="18"/>
  <c r="F75" i="18"/>
  <c r="F76" i="18"/>
  <c r="F77" i="18"/>
  <c r="F78" i="18"/>
  <c r="F79" i="18"/>
  <c r="F80" i="18"/>
  <c r="F81" i="18"/>
  <c r="F82" i="18"/>
  <c r="F83" i="18"/>
  <c r="F84" i="18"/>
  <c r="F85" i="18"/>
  <c r="F86" i="18"/>
  <c r="F87" i="18"/>
  <c r="F88" i="18"/>
  <c r="F89" i="18"/>
  <c r="F90" i="18"/>
  <c r="F91" i="18"/>
  <c r="F92" i="18"/>
  <c r="F93" i="18"/>
  <c r="F94" i="18"/>
  <c r="F95" i="18"/>
  <c r="F96" i="18"/>
  <c r="F97" i="18"/>
  <c r="F98" i="18"/>
  <c r="F99" i="18"/>
  <c r="F100" i="18"/>
  <c r="F101" i="18"/>
  <c r="F102" i="18"/>
  <c r="F103" i="18"/>
  <c r="F104" i="18"/>
  <c r="F105" i="18"/>
  <c r="F106" i="18"/>
  <c r="F107" i="18"/>
  <c r="F108" i="18"/>
  <c r="F109" i="18"/>
  <c r="F110" i="18"/>
  <c r="F111" i="18"/>
  <c r="F112" i="18"/>
  <c r="F113" i="18"/>
  <c r="F114" i="18"/>
  <c r="F115" i="18"/>
  <c r="F116" i="18"/>
  <c r="F117" i="18"/>
  <c r="F118" i="18"/>
  <c r="F119" i="18"/>
  <c r="F120" i="18"/>
  <c r="F121" i="18"/>
  <c r="F122" i="18"/>
  <c r="F123" i="18"/>
  <c r="F124" i="18"/>
  <c r="F125" i="18"/>
  <c r="F126" i="18"/>
  <c r="F127" i="18"/>
  <c r="F128" i="18"/>
  <c r="F129" i="18"/>
  <c r="F130" i="18"/>
  <c r="F131" i="18"/>
  <c r="F132" i="18"/>
  <c r="F133" i="18"/>
  <c r="F134" i="18"/>
  <c r="F135" i="18"/>
  <c r="F136" i="18"/>
  <c r="F137" i="18"/>
  <c r="F138" i="18"/>
  <c r="F139" i="18"/>
  <c r="F140" i="18"/>
  <c r="F141" i="18"/>
  <c r="F142" i="18"/>
  <c r="F143" i="18"/>
  <c r="F144" i="18"/>
  <c r="F145" i="18"/>
  <c r="F146" i="18"/>
  <c r="F147" i="18"/>
  <c r="F148" i="18"/>
  <c r="F149" i="18"/>
  <c r="F150" i="18"/>
  <c r="F151" i="18"/>
  <c r="F152" i="18"/>
  <c r="F153" i="18"/>
  <c r="F154" i="18"/>
  <c r="F155" i="18"/>
  <c r="F156" i="18"/>
  <c r="F157" i="18"/>
  <c r="F158" i="18"/>
  <c r="F159" i="18"/>
  <c r="F160" i="18"/>
  <c r="F161" i="18"/>
  <c r="F162" i="18"/>
  <c r="F163" i="18"/>
  <c r="F164" i="18"/>
  <c r="F165" i="18"/>
  <c r="F166" i="18"/>
  <c r="F167" i="18"/>
  <c r="F168" i="18"/>
  <c r="F169" i="18"/>
  <c r="F170" i="18"/>
  <c r="F171" i="18"/>
  <c r="F172" i="18"/>
  <c r="F173" i="18"/>
  <c r="F174" i="18"/>
  <c r="F175" i="18"/>
  <c r="F176" i="18"/>
  <c r="F177" i="18"/>
  <c r="F178" i="18"/>
  <c r="F179" i="18"/>
  <c r="F180" i="18"/>
  <c r="F181" i="18"/>
  <c r="F182" i="18"/>
  <c r="F183" i="18"/>
  <c r="F184" i="18"/>
  <c r="F185" i="18"/>
  <c r="F186" i="18"/>
  <c r="F187" i="18"/>
  <c r="F188" i="18"/>
  <c r="F189" i="18"/>
  <c r="F190" i="18"/>
  <c r="F191" i="18"/>
  <c r="F192" i="18"/>
  <c r="F193" i="18"/>
  <c r="F194" i="18"/>
  <c r="F195" i="18"/>
  <c r="F196" i="18"/>
  <c r="F197" i="18"/>
  <c r="F198" i="18"/>
  <c r="F199" i="18"/>
  <c r="F200" i="18"/>
  <c r="F201" i="18"/>
  <c r="F202" i="18"/>
  <c r="F203" i="18"/>
  <c r="F204" i="18"/>
  <c r="F205" i="18"/>
  <c r="F206" i="18"/>
  <c r="F207" i="18"/>
  <c r="F208" i="18"/>
  <c r="F209" i="18"/>
  <c r="F210" i="18"/>
  <c r="F211" i="18"/>
  <c r="F212" i="18"/>
  <c r="F213" i="18"/>
  <c r="F214" i="18"/>
  <c r="F215" i="18"/>
  <c r="F216" i="18"/>
  <c r="F217" i="18"/>
  <c r="F218" i="18"/>
  <c r="F219" i="18"/>
  <c r="F220" i="18"/>
  <c r="F221" i="18"/>
  <c r="F222" i="18"/>
  <c r="F223" i="18"/>
  <c r="F224" i="18"/>
  <c r="F225" i="18"/>
  <c r="F226" i="18"/>
  <c r="F227" i="18"/>
  <c r="F228" i="18"/>
  <c r="F229" i="18"/>
  <c r="F230" i="18"/>
  <c r="F231" i="18"/>
  <c r="F232" i="18"/>
  <c r="F233" i="18"/>
  <c r="F234" i="18"/>
  <c r="F235" i="18"/>
  <c r="F236" i="18"/>
  <c r="F237" i="18"/>
  <c r="F238" i="18"/>
  <c r="F239" i="18"/>
  <c r="F240" i="18"/>
  <c r="F241" i="18"/>
  <c r="F242" i="18"/>
  <c r="F243" i="18"/>
  <c r="F244" i="18"/>
  <c r="F245" i="18"/>
  <c r="F246" i="18"/>
  <c r="F247" i="18"/>
  <c r="F248" i="18"/>
  <c r="F249" i="18"/>
  <c r="F250" i="18"/>
  <c r="F251" i="18"/>
  <c r="F252" i="18"/>
  <c r="F253" i="18"/>
  <c r="F254" i="18"/>
  <c r="F255" i="18"/>
  <c r="F256" i="18"/>
  <c r="F257" i="18"/>
  <c r="F258" i="18"/>
  <c r="F259" i="18"/>
  <c r="F260" i="18"/>
  <c r="F261" i="18"/>
  <c r="F262" i="18"/>
  <c r="F263" i="18"/>
  <c r="F264" i="18"/>
  <c r="F265" i="18"/>
  <c r="F266" i="18"/>
  <c r="F267" i="18"/>
  <c r="F268" i="18"/>
  <c r="F269" i="18"/>
  <c r="F270" i="18"/>
  <c r="F271" i="18"/>
  <c r="F272" i="18"/>
  <c r="F273" i="18"/>
  <c r="F274" i="18"/>
  <c r="F275" i="18"/>
  <c r="F276" i="18"/>
  <c r="F277" i="18"/>
  <c r="F278" i="18"/>
  <c r="F279" i="18"/>
  <c r="F280" i="18"/>
  <c r="F281" i="18"/>
  <c r="F282" i="18"/>
  <c r="F283" i="18"/>
  <c r="F284" i="18"/>
  <c r="F285" i="18"/>
  <c r="F286" i="18"/>
  <c r="F287" i="18"/>
  <c r="F288" i="18"/>
  <c r="F289" i="18"/>
  <c r="F290" i="18"/>
  <c r="F291" i="18"/>
  <c r="F292" i="18"/>
  <c r="F293" i="18"/>
  <c r="F294" i="18"/>
  <c r="F295" i="18"/>
  <c r="F296" i="18"/>
  <c r="F297" i="18"/>
  <c r="F298" i="18"/>
  <c r="F299" i="18"/>
  <c r="F300" i="18"/>
  <c r="F301" i="18"/>
  <c r="F302" i="18"/>
  <c r="F303" i="18"/>
  <c r="F304" i="18"/>
  <c r="F305" i="18"/>
  <c r="F306" i="18"/>
  <c r="F307" i="18"/>
  <c r="F308" i="18"/>
  <c r="F309" i="18"/>
  <c r="F310" i="18"/>
  <c r="F311" i="18"/>
  <c r="F312" i="18"/>
  <c r="F313" i="18"/>
  <c r="F314" i="18"/>
  <c r="F315" i="18"/>
  <c r="F316" i="18"/>
  <c r="F317" i="18"/>
  <c r="F318" i="18"/>
  <c r="F319" i="18"/>
  <c r="F320" i="18"/>
  <c r="F321" i="18"/>
  <c r="F322" i="18"/>
  <c r="F323" i="18"/>
  <c r="F324" i="18"/>
  <c r="F325" i="18"/>
  <c r="F326" i="18"/>
  <c r="F327" i="18"/>
  <c r="F328" i="18"/>
  <c r="F329" i="18"/>
  <c r="F330" i="18"/>
  <c r="F331" i="18"/>
  <c r="F332" i="18"/>
  <c r="F333" i="18"/>
  <c r="F334" i="18"/>
  <c r="F335" i="18"/>
  <c r="F336" i="18"/>
  <c r="F337" i="18"/>
  <c r="F338" i="18"/>
  <c r="F339" i="18"/>
  <c r="F340" i="18"/>
  <c r="F341" i="18"/>
  <c r="F342" i="18"/>
  <c r="F343" i="18"/>
  <c r="F344" i="18"/>
  <c r="F345" i="18"/>
  <c r="F346" i="18"/>
  <c r="F347" i="18"/>
  <c r="F348" i="18"/>
  <c r="F349" i="18"/>
  <c r="F350" i="18"/>
  <c r="F351" i="18"/>
  <c r="F352" i="18"/>
  <c r="F353" i="18"/>
  <c r="F354" i="18"/>
  <c r="F355" i="18"/>
  <c r="F356" i="18"/>
  <c r="F357" i="18"/>
  <c r="F358" i="18"/>
  <c r="F359" i="18"/>
  <c r="F360" i="18"/>
  <c r="F361" i="18"/>
  <c r="F362" i="18"/>
  <c r="F363" i="18"/>
  <c r="F364" i="18"/>
  <c r="F365" i="18"/>
  <c r="F366" i="18"/>
  <c r="F367" i="18"/>
  <c r="F368" i="18"/>
  <c r="F369" i="18"/>
  <c r="F370" i="18"/>
  <c r="F371" i="18"/>
  <c r="F372" i="18"/>
  <c r="F373" i="18"/>
  <c r="F374" i="18"/>
  <c r="F375" i="18"/>
  <c r="F376" i="18"/>
  <c r="F377" i="18"/>
  <c r="F378" i="18"/>
  <c r="F379" i="18"/>
  <c r="F380" i="18"/>
  <c r="F381" i="18"/>
  <c r="F382" i="18"/>
  <c r="F383" i="18"/>
  <c r="F384" i="18"/>
  <c r="F385" i="18"/>
  <c r="F386" i="18"/>
  <c r="F387" i="18"/>
  <c r="F388" i="18"/>
  <c r="F389" i="18"/>
  <c r="F390" i="18"/>
  <c r="F391" i="18"/>
  <c r="F392" i="18"/>
  <c r="F393" i="18"/>
  <c r="F394" i="18"/>
  <c r="F395" i="18"/>
  <c r="F396" i="18"/>
  <c r="F397" i="18"/>
  <c r="F398" i="18"/>
  <c r="F399" i="18"/>
  <c r="F400" i="18"/>
  <c r="F401" i="18"/>
  <c r="F402" i="18"/>
  <c r="F403" i="18"/>
  <c r="F404" i="18"/>
  <c r="F405" i="18"/>
  <c r="F406" i="18"/>
  <c r="F407" i="18"/>
  <c r="F408" i="18"/>
  <c r="F409" i="18"/>
  <c r="F410" i="18"/>
  <c r="F411" i="18"/>
  <c r="F412" i="18"/>
  <c r="F413" i="18"/>
  <c r="F414" i="18"/>
  <c r="F415" i="18"/>
  <c r="F416" i="18"/>
  <c r="F417" i="18"/>
  <c r="F418" i="18"/>
  <c r="F419" i="18"/>
  <c r="F420" i="18"/>
  <c r="F421" i="18"/>
  <c r="F422" i="18"/>
  <c r="F423" i="18"/>
  <c r="F424" i="18"/>
  <c r="F425" i="18"/>
  <c r="F426" i="18"/>
  <c r="F427" i="18"/>
  <c r="F428" i="18"/>
  <c r="F429" i="18"/>
  <c r="F430" i="18"/>
  <c r="F431" i="18"/>
  <c r="F432" i="18"/>
  <c r="F433" i="18"/>
  <c r="F434" i="18"/>
  <c r="F435" i="18"/>
  <c r="F436" i="18"/>
  <c r="F437" i="18"/>
  <c r="F438" i="18"/>
  <c r="F439" i="18"/>
  <c r="F440" i="18"/>
  <c r="F441" i="18"/>
  <c r="F442" i="18"/>
  <c r="F443" i="18"/>
  <c r="F444" i="18"/>
  <c r="F445" i="18"/>
  <c r="F446" i="18"/>
  <c r="F447" i="18"/>
  <c r="F448" i="18"/>
  <c r="F449" i="18"/>
  <c r="F450" i="18"/>
  <c r="F451" i="18"/>
  <c r="F452" i="18"/>
  <c r="F453" i="18"/>
  <c r="F454" i="18"/>
  <c r="F455" i="18"/>
  <c r="F456" i="18"/>
  <c r="F457" i="18"/>
  <c r="F458" i="18"/>
  <c r="F459" i="18"/>
  <c r="F460" i="18"/>
  <c r="F461" i="18"/>
  <c r="F462" i="18"/>
  <c r="F463" i="18"/>
  <c r="F464" i="18"/>
  <c r="F465" i="18"/>
  <c r="F466" i="18"/>
  <c r="F467" i="18"/>
  <c r="F468" i="18"/>
  <c r="F469" i="18"/>
  <c r="F470" i="18"/>
  <c r="F471" i="18"/>
  <c r="F472" i="18"/>
  <c r="F473" i="18"/>
  <c r="F474" i="18"/>
  <c r="F475" i="18"/>
  <c r="F476" i="18"/>
  <c r="F477" i="18"/>
  <c r="F478" i="18"/>
  <c r="F479" i="18"/>
  <c r="F480" i="18"/>
  <c r="F481" i="18"/>
  <c r="F482" i="18"/>
  <c r="F483" i="18"/>
  <c r="F484" i="18"/>
  <c r="F485" i="18"/>
  <c r="F486" i="18"/>
  <c r="F487" i="18"/>
  <c r="F488" i="18"/>
  <c r="F489" i="18"/>
  <c r="F490" i="18"/>
  <c r="F491" i="18"/>
  <c r="F492" i="18"/>
  <c r="F493" i="18"/>
  <c r="F494" i="18"/>
  <c r="F495" i="18"/>
  <c r="F496" i="18"/>
  <c r="F497" i="18"/>
  <c r="F498" i="18"/>
  <c r="F499" i="18"/>
  <c r="F500" i="18"/>
  <c r="F501" i="18"/>
  <c r="F502" i="18"/>
  <c r="F503" i="18"/>
  <c r="F504" i="18"/>
  <c r="F505" i="18"/>
  <c r="F506" i="18"/>
  <c r="F507" i="18"/>
  <c r="F508" i="18"/>
  <c r="F509" i="18"/>
  <c r="F510" i="18"/>
  <c r="F511" i="18"/>
  <c r="F512" i="18"/>
  <c r="F513" i="18"/>
  <c r="F514" i="18"/>
  <c r="F515" i="18"/>
  <c r="F516" i="18"/>
  <c r="F4" i="18"/>
  <c r="B2" i="18"/>
  <c r="F2" i="18"/>
  <c r="E14" i="18"/>
  <c r="C5" i="18"/>
  <c r="D5" i="18"/>
  <c r="C6" i="18"/>
  <c r="D6" i="18"/>
  <c r="C7" i="18"/>
  <c r="D7" i="18"/>
  <c r="C8" i="18"/>
  <c r="D8" i="18"/>
  <c r="C9" i="18"/>
  <c r="D9" i="18"/>
  <c r="C10" i="18"/>
  <c r="D10" i="18"/>
  <c r="C11" i="18"/>
  <c r="D11" i="18"/>
  <c r="C12" i="18"/>
  <c r="D12" i="18"/>
  <c r="C13" i="18"/>
  <c r="D13" i="18"/>
  <c r="C14" i="18"/>
  <c r="D14" i="18"/>
  <c r="C15" i="18"/>
  <c r="D15" i="18"/>
  <c r="C16" i="18"/>
  <c r="D16" i="18"/>
  <c r="C17" i="18"/>
  <c r="D17" i="18"/>
  <c r="C18" i="18"/>
  <c r="D18" i="18"/>
  <c r="C19" i="18"/>
  <c r="D19" i="18"/>
  <c r="C20" i="18"/>
  <c r="D20" i="18"/>
  <c r="C21" i="18"/>
  <c r="D21" i="18"/>
  <c r="C22" i="18"/>
  <c r="D22" i="18"/>
  <c r="C23" i="18"/>
  <c r="D23" i="18"/>
  <c r="C24" i="18"/>
  <c r="D24" i="18"/>
  <c r="C25" i="18"/>
  <c r="D25" i="18"/>
  <c r="C26" i="18"/>
  <c r="D26" i="18"/>
  <c r="C27" i="18"/>
  <c r="D27" i="18"/>
  <c r="E27" i="18"/>
  <c r="C28" i="18"/>
  <c r="D28" i="18"/>
  <c r="C29" i="18"/>
  <c r="D29" i="18"/>
  <c r="C30" i="18"/>
  <c r="D30" i="18"/>
  <c r="C31" i="18"/>
  <c r="D31" i="18"/>
  <c r="C32" i="18"/>
  <c r="D32" i="18"/>
  <c r="C33" i="18"/>
  <c r="D33" i="18"/>
  <c r="C34" i="18"/>
  <c r="D34" i="18"/>
  <c r="C35" i="18"/>
  <c r="D35" i="18"/>
  <c r="C36" i="18"/>
  <c r="D36" i="18"/>
  <c r="C37" i="18"/>
  <c r="D37" i="18"/>
  <c r="C38" i="18"/>
  <c r="D38" i="18"/>
  <c r="C39" i="18"/>
  <c r="D39" i="18"/>
  <c r="C40" i="18"/>
  <c r="D40" i="18"/>
  <c r="C41" i="18"/>
  <c r="D41" i="18"/>
  <c r="C42" i="18"/>
  <c r="D42" i="18"/>
  <c r="C43" i="18"/>
  <c r="D43" i="18"/>
  <c r="C44" i="18"/>
  <c r="D44" i="18"/>
  <c r="C45" i="18"/>
  <c r="D45" i="18"/>
  <c r="C46" i="18"/>
  <c r="D46" i="18"/>
  <c r="C47" i="18"/>
  <c r="D47" i="18"/>
  <c r="C48" i="18"/>
  <c r="D48" i="18"/>
  <c r="C49" i="18"/>
  <c r="D49" i="18"/>
  <c r="C50" i="18"/>
  <c r="D50" i="18"/>
  <c r="E50" i="18"/>
  <c r="C51" i="18"/>
  <c r="D51" i="18"/>
  <c r="C52" i="18"/>
  <c r="D52" i="18"/>
  <c r="C53" i="18"/>
  <c r="D53" i="18"/>
  <c r="C54" i="18"/>
  <c r="D54" i="18"/>
  <c r="C55" i="18"/>
  <c r="D55" i="18"/>
  <c r="C56" i="18"/>
  <c r="D56" i="18"/>
  <c r="C57" i="18"/>
  <c r="D57" i="18"/>
  <c r="C58" i="18"/>
  <c r="D58" i="18"/>
  <c r="C59" i="18"/>
  <c r="D59" i="18"/>
  <c r="C60" i="18"/>
  <c r="D60" i="18"/>
  <c r="C61" i="18"/>
  <c r="D61" i="18"/>
  <c r="C62" i="18"/>
  <c r="D62" i="18"/>
  <c r="C63" i="18"/>
  <c r="D63" i="18"/>
  <c r="C64" i="18"/>
  <c r="D64" i="18"/>
  <c r="C65" i="18"/>
  <c r="D65" i="18"/>
  <c r="C66" i="18"/>
  <c r="D66" i="18"/>
  <c r="C67" i="18"/>
  <c r="D67" i="18"/>
  <c r="C68" i="18"/>
  <c r="D68" i="18"/>
  <c r="C69" i="18"/>
  <c r="D69" i="18"/>
  <c r="C70" i="18"/>
  <c r="D70" i="18"/>
  <c r="C71" i="18"/>
  <c r="D71" i="18"/>
  <c r="C72" i="18"/>
  <c r="D72" i="18"/>
  <c r="C73" i="18"/>
  <c r="D73" i="18"/>
  <c r="C74" i="18"/>
  <c r="D74" i="18"/>
  <c r="C75" i="18"/>
  <c r="D75" i="18"/>
  <c r="C76" i="18"/>
  <c r="D76" i="18"/>
  <c r="C77" i="18"/>
  <c r="D77" i="18"/>
  <c r="C78" i="18"/>
  <c r="D78" i="18"/>
  <c r="C79" i="18"/>
  <c r="D79" i="18"/>
  <c r="C80" i="18"/>
  <c r="D80" i="18"/>
  <c r="C81" i="18"/>
  <c r="D81" i="18"/>
  <c r="C82" i="18"/>
  <c r="D82" i="18"/>
  <c r="C83" i="18"/>
  <c r="D83" i="18"/>
  <c r="C84" i="18"/>
  <c r="D84" i="18"/>
  <c r="C85" i="18"/>
  <c r="D85" i="18"/>
  <c r="C86" i="18"/>
  <c r="D86" i="18"/>
  <c r="C87" i="18"/>
  <c r="D87" i="18"/>
  <c r="C88" i="18"/>
  <c r="D88" i="18"/>
  <c r="C89" i="18"/>
  <c r="D89" i="18"/>
  <c r="C90" i="18"/>
  <c r="D90" i="18"/>
  <c r="C91" i="18"/>
  <c r="D91" i="18"/>
  <c r="C92" i="18"/>
  <c r="D92" i="18"/>
  <c r="C93" i="18"/>
  <c r="D93" i="18"/>
  <c r="C94" i="18"/>
  <c r="D94" i="18"/>
  <c r="C95" i="18"/>
  <c r="D95" i="18"/>
  <c r="E95" i="18"/>
  <c r="C96" i="18"/>
  <c r="D96" i="18"/>
  <c r="C97" i="18"/>
  <c r="D97" i="18"/>
  <c r="C98" i="18"/>
  <c r="D98" i="18"/>
  <c r="C99" i="18"/>
  <c r="D99" i="18"/>
  <c r="C100" i="18"/>
  <c r="D100" i="18"/>
  <c r="C101" i="18"/>
  <c r="D101" i="18"/>
  <c r="C102" i="18"/>
  <c r="D102" i="18"/>
  <c r="C103" i="18"/>
  <c r="D103" i="18"/>
  <c r="C104" i="18"/>
  <c r="D104" i="18"/>
  <c r="C105" i="18"/>
  <c r="D105" i="18"/>
  <c r="C106" i="18"/>
  <c r="D106" i="18"/>
  <c r="C107" i="18"/>
  <c r="D107" i="18"/>
  <c r="C108" i="18"/>
  <c r="D108" i="18"/>
  <c r="C109" i="18"/>
  <c r="D109" i="18"/>
  <c r="C110" i="18"/>
  <c r="D110" i="18"/>
  <c r="C111" i="18"/>
  <c r="D111" i="18"/>
  <c r="C112" i="18"/>
  <c r="D112" i="18"/>
  <c r="C113" i="18"/>
  <c r="D113" i="18"/>
  <c r="C114" i="18"/>
  <c r="D114" i="18"/>
  <c r="C115" i="18"/>
  <c r="D115" i="18"/>
  <c r="C116" i="18"/>
  <c r="D116" i="18"/>
  <c r="C117" i="18"/>
  <c r="D117" i="18"/>
  <c r="C118" i="18"/>
  <c r="D118" i="18"/>
  <c r="C119" i="18"/>
  <c r="D119" i="18"/>
  <c r="C120" i="18"/>
  <c r="D120" i="18"/>
  <c r="C121" i="18"/>
  <c r="D121" i="18"/>
  <c r="C122" i="18"/>
  <c r="D122" i="18"/>
  <c r="C123" i="18"/>
  <c r="D123" i="18"/>
  <c r="E123" i="18"/>
  <c r="C124" i="18"/>
  <c r="D124" i="18"/>
  <c r="C125" i="18"/>
  <c r="D125" i="18"/>
  <c r="C126" i="18"/>
  <c r="D126" i="18"/>
  <c r="C127" i="18"/>
  <c r="D127" i="18"/>
  <c r="C128" i="18"/>
  <c r="D128" i="18"/>
  <c r="C129" i="18"/>
  <c r="D129" i="18"/>
  <c r="C130" i="18"/>
  <c r="D130" i="18"/>
  <c r="C131" i="18"/>
  <c r="D131" i="18"/>
  <c r="C132" i="18"/>
  <c r="D132" i="18"/>
  <c r="C133" i="18"/>
  <c r="D133" i="18"/>
  <c r="C134" i="18"/>
  <c r="D134" i="18"/>
  <c r="C135" i="18"/>
  <c r="D135" i="18"/>
  <c r="C136" i="18"/>
  <c r="D136" i="18"/>
  <c r="C137" i="18"/>
  <c r="D137" i="18"/>
  <c r="C138" i="18"/>
  <c r="D138" i="18"/>
  <c r="C139" i="18"/>
  <c r="D139" i="18"/>
  <c r="C140" i="18"/>
  <c r="D140" i="18"/>
  <c r="C141" i="18"/>
  <c r="D141" i="18"/>
  <c r="C142" i="18"/>
  <c r="D142" i="18"/>
  <c r="C143" i="18"/>
  <c r="D143" i="18"/>
  <c r="C144" i="18"/>
  <c r="D144" i="18"/>
  <c r="C145" i="18"/>
  <c r="D145" i="18"/>
  <c r="C146" i="18"/>
  <c r="D146" i="18"/>
  <c r="E146" i="18"/>
  <c r="C147" i="18"/>
  <c r="D147" i="18"/>
  <c r="C148" i="18"/>
  <c r="D148" i="18"/>
  <c r="C149" i="18"/>
  <c r="D149" i="18"/>
  <c r="C150" i="18"/>
  <c r="D150" i="18"/>
  <c r="C151" i="18"/>
  <c r="D151" i="18"/>
  <c r="C152" i="18"/>
  <c r="D152" i="18"/>
  <c r="C153" i="18"/>
  <c r="D153" i="18"/>
  <c r="C154" i="18"/>
  <c r="D154" i="18"/>
  <c r="C155" i="18"/>
  <c r="D155" i="18"/>
  <c r="C156" i="18"/>
  <c r="D156" i="18"/>
  <c r="C157" i="18"/>
  <c r="D157" i="18"/>
  <c r="C158" i="18"/>
  <c r="D158" i="18"/>
  <c r="C159" i="18"/>
  <c r="D159" i="18"/>
  <c r="C160" i="18"/>
  <c r="D160" i="18"/>
  <c r="C161" i="18"/>
  <c r="D161" i="18"/>
  <c r="C162" i="18"/>
  <c r="D162" i="18"/>
  <c r="C163" i="18"/>
  <c r="D163" i="18"/>
  <c r="C164" i="18"/>
  <c r="D164" i="18"/>
  <c r="C165" i="18"/>
  <c r="D165" i="18"/>
  <c r="C166" i="18"/>
  <c r="D166" i="18"/>
  <c r="C167" i="18"/>
  <c r="D167" i="18"/>
  <c r="C168" i="18"/>
  <c r="D168" i="18"/>
  <c r="C169" i="18"/>
  <c r="D169" i="18"/>
  <c r="C170" i="18"/>
  <c r="D170" i="18"/>
  <c r="C171" i="18"/>
  <c r="D171" i="18"/>
  <c r="C172" i="18"/>
  <c r="D172" i="18"/>
  <c r="C173" i="18"/>
  <c r="D173" i="18"/>
  <c r="C174" i="18"/>
  <c r="D174" i="18"/>
  <c r="C175" i="18"/>
  <c r="D175" i="18"/>
  <c r="C176" i="18"/>
  <c r="D176" i="18"/>
  <c r="C177" i="18"/>
  <c r="D177" i="18"/>
  <c r="C178" i="18"/>
  <c r="D178" i="18"/>
  <c r="C179" i="18"/>
  <c r="D179" i="18"/>
  <c r="C180" i="18"/>
  <c r="D180" i="18"/>
  <c r="C181" i="18"/>
  <c r="D181" i="18"/>
  <c r="C182" i="18"/>
  <c r="D182" i="18"/>
  <c r="C183" i="18"/>
  <c r="D183" i="18"/>
  <c r="C184" i="18"/>
  <c r="D184" i="18"/>
  <c r="C185" i="18"/>
  <c r="D185" i="18"/>
  <c r="C186" i="18"/>
  <c r="D186" i="18"/>
  <c r="C187" i="18"/>
  <c r="D187" i="18"/>
  <c r="C188" i="18"/>
  <c r="D188" i="18"/>
  <c r="C189" i="18"/>
  <c r="D189" i="18"/>
  <c r="C190" i="18"/>
  <c r="D190" i="18"/>
  <c r="C191" i="18"/>
  <c r="D191" i="18"/>
  <c r="E191" i="18"/>
  <c r="C192" i="18"/>
  <c r="D192" i="18"/>
  <c r="C193" i="18"/>
  <c r="D193" i="18"/>
  <c r="C194" i="18"/>
  <c r="D194" i="18"/>
  <c r="C195" i="18"/>
  <c r="D195" i="18"/>
  <c r="C196" i="18"/>
  <c r="D196" i="18"/>
  <c r="C197" i="18"/>
  <c r="D197" i="18"/>
  <c r="C198" i="18"/>
  <c r="D198" i="18"/>
  <c r="C199" i="18"/>
  <c r="D199" i="18"/>
  <c r="C200" i="18"/>
  <c r="D200" i="18"/>
  <c r="C201" i="18"/>
  <c r="D201" i="18"/>
  <c r="C202" i="18"/>
  <c r="D202" i="18"/>
  <c r="C203" i="18"/>
  <c r="D203" i="18"/>
  <c r="E203" i="18"/>
  <c r="C204" i="18"/>
  <c r="D204" i="18"/>
  <c r="C205" i="18"/>
  <c r="D205" i="18"/>
  <c r="C206" i="18"/>
  <c r="D206" i="18"/>
  <c r="C207" i="18"/>
  <c r="D207" i="18"/>
  <c r="C208" i="18"/>
  <c r="D208" i="18"/>
  <c r="C209" i="18"/>
  <c r="D209" i="18"/>
  <c r="C210" i="18"/>
  <c r="D210" i="18"/>
  <c r="C211" i="18"/>
  <c r="D211" i="18"/>
  <c r="C212" i="18"/>
  <c r="D212" i="18"/>
  <c r="C213" i="18"/>
  <c r="D213" i="18"/>
  <c r="E213" i="18"/>
  <c r="C214" i="18"/>
  <c r="D214" i="18"/>
  <c r="C215" i="18"/>
  <c r="D215" i="18"/>
  <c r="C216" i="18"/>
  <c r="D216" i="18"/>
  <c r="C217" i="18"/>
  <c r="D217" i="18"/>
  <c r="C218" i="18"/>
  <c r="D218" i="18"/>
  <c r="C219" i="18"/>
  <c r="D219" i="18"/>
  <c r="C220" i="18"/>
  <c r="D220" i="18"/>
  <c r="C221" i="18"/>
  <c r="D221" i="18"/>
  <c r="C222" i="18"/>
  <c r="D222" i="18"/>
  <c r="C223" i="18"/>
  <c r="D223" i="18"/>
  <c r="C224" i="18"/>
  <c r="D224" i="18"/>
  <c r="C225" i="18"/>
  <c r="D225" i="18"/>
  <c r="E225" i="18"/>
  <c r="C226" i="18"/>
  <c r="D226" i="18"/>
  <c r="C227" i="18"/>
  <c r="D227" i="18"/>
  <c r="C228" i="18"/>
  <c r="D228" i="18"/>
  <c r="C229" i="18"/>
  <c r="D229" i="18"/>
  <c r="C230" i="18"/>
  <c r="D230" i="18"/>
  <c r="C231" i="18"/>
  <c r="D231" i="18"/>
  <c r="C232" i="18"/>
  <c r="D232" i="18"/>
  <c r="C233" i="18"/>
  <c r="D233" i="18"/>
  <c r="C234" i="18"/>
  <c r="D234" i="18"/>
  <c r="C235" i="18"/>
  <c r="D235" i="18"/>
  <c r="C236" i="18"/>
  <c r="D236" i="18"/>
  <c r="C237" i="18"/>
  <c r="D237" i="18"/>
  <c r="C238" i="18"/>
  <c r="D238" i="18"/>
  <c r="C239" i="18"/>
  <c r="D239" i="18"/>
  <c r="C240" i="18"/>
  <c r="D240" i="18"/>
  <c r="C241" i="18"/>
  <c r="D241" i="18"/>
  <c r="C242" i="18"/>
  <c r="D242" i="18"/>
  <c r="C243" i="18"/>
  <c r="D243" i="18"/>
  <c r="C244" i="18"/>
  <c r="D244" i="18"/>
  <c r="C245" i="18"/>
  <c r="D245" i="18"/>
  <c r="C246" i="18"/>
  <c r="D246" i="18"/>
  <c r="C247" i="18"/>
  <c r="D247" i="18"/>
  <c r="C248" i="18"/>
  <c r="D248" i="18"/>
  <c r="C249" i="18"/>
  <c r="D249" i="18"/>
  <c r="C250" i="18"/>
  <c r="D250" i="18"/>
  <c r="C251" i="18"/>
  <c r="D251" i="18"/>
  <c r="C252" i="18"/>
  <c r="D252" i="18"/>
  <c r="C253" i="18"/>
  <c r="D253" i="18"/>
  <c r="C254" i="18"/>
  <c r="D254" i="18"/>
  <c r="C255" i="18"/>
  <c r="D255" i="18"/>
  <c r="C256" i="18"/>
  <c r="D256" i="18"/>
  <c r="C257" i="18"/>
  <c r="D257" i="18"/>
  <c r="C258" i="18"/>
  <c r="D258" i="18"/>
  <c r="C259" i="18"/>
  <c r="D259" i="18"/>
  <c r="C260" i="18"/>
  <c r="D260" i="18"/>
  <c r="C261" i="18"/>
  <c r="D261" i="18"/>
  <c r="C262" i="18"/>
  <c r="D262" i="18"/>
  <c r="C263" i="18"/>
  <c r="D263" i="18"/>
  <c r="C264" i="18"/>
  <c r="D264" i="18"/>
  <c r="C265" i="18"/>
  <c r="D265" i="18"/>
  <c r="C266" i="18"/>
  <c r="D266" i="18"/>
  <c r="C267" i="18"/>
  <c r="D267" i="18"/>
  <c r="C268" i="18"/>
  <c r="D268" i="18"/>
  <c r="C269" i="18"/>
  <c r="D269" i="18"/>
  <c r="C270" i="18"/>
  <c r="D270" i="18"/>
  <c r="C271" i="18"/>
  <c r="D271" i="18"/>
  <c r="C272" i="18"/>
  <c r="D272" i="18"/>
  <c r="C273" i="18"/>
  <c r="D273" i="18"/>
  <c r="C274" i="18"/>
  <c r="D274" i="18"/>
  <c r="E274" i="18"/>
  <c r="C275" i="18"/>
  <c r="D275" i="18"/>
  <c r="C276" i="18"/>
  <c r="D276" i="18"/>
  <c r="C277" i="18"/>
  <c r="D277" i="18"/>
  <c r="C278" i="18"/>
  <c r="D278" i="18"/>
  <c r="C279" i="18"/>
  <c r="D279" i="18"/>
  <c r="E279" i="18"/>
  <c r="C280" i="18"/>
  <c r="D280" i="18"/>
  <c r="C281" i="18"/>
  <c r="D281" i="18"/>
  <c r="C282" i="18"/>
  <c r="D282" i="18"/>
  <c r="C283" i="18"/>
  <c r="D283" i="18"/>
  <c r="C284" i="18"/>
  <c r="D284" i="18"/>
  <c r="C285" i="18"/>
  <c r="D285" i="18"/>
  <c r="C286" i="18"/>
  <c r="D286" i="18"/>
  <c r="C287" i="18"/>
  <c r="D287" i="18"/>
  <c r="C288" i="18"/>
  <c r="D288" i="18"/>
  <c r="C289" i="18"/>
  <c r="D289" i="18"/>
  <c r="C290" i="18"/>
  <c r="D290" i="18"/>
  <c r="C291" i="18"/>
  <c r="D291" i="18"/>
  <c r="C292" i="18"/>
  <c r="D292" i="18"/>
  <c r="C293" i="18"/>
  <c r="D293" i="18"/>
  <c r="C294" i="18"/>
  <c r="D294" i="18"/>
  <c r="C295" i="18"/>
  <c r="D295" i="18"/>
  <c r="C296" i="18"/>
  <c r="D296" i="18"/>
  <c r="C297" i="18"/>
  <c r="D297" i="18"/>
  <c r="C298" i="18"/>
  <c r="D298" i="18"/>
  <c r="C299" i="18"/>
  <c r="D299" i="18"/>
  <c r="C300" i="18"/>
  <c r="D300" i="18"/>
  <c r="C301" i="18"/>
  <c r="D301" i="18"/>
  <c r="E301" i="18"/>
  <c r="C302" i="18"/>
  <c r="D302" i="18"/>
  <c r="C303" i="18"/>
  <c r="D303" i="18"/>
  <c r="C304" i="18"/>
  <c r="D304" i="18"/>
  <c r="C305" i="18"/>
  <c r="D305" i="18"/>
  <c r="C306" i="18"/>
  <c r="D306" i="18"/>
  <c r="C307" i="18"/>
  <c r="D307" i="18"/>
  <c r="C308" i="18"/>
  <c r="D308" i="18"/>
  <c r="C309" i="18"/>
  <c r="D309" i="18"/>
  <c r="C310" i="18"/>
  <c r="D310" i="18"/>
  <c r="C311" i="18"/>
  <c r="D311" i="18"/>
  <c r="C312" i="18"/>
  <c r="D312" i="18"/>
  <c r="C313" i="18"/>
  <c r="D313" i="18"/>
  <c r="C314" i="18"/>
  <c r="D314" i="18"/>
  <c r="C315" i="18"/>
  <c r="D315" i="18"/>
  <c r="C316" i="18"/>
  <c r="D316" i="18"/>
  <c r="C317" i="18"/>
  <c r="D317" i="18"/>
  <c r="C318" i="18"/>
  <c r="D318" i="18"/>
  <c r="C319" i="18"/>
  <c r="D319" i="18"/>
  <c r="C320" i="18"/>
  <c r="D320" i="18"/>
  <c r="C321" i="18"/>
  <c r="D321" i="18"/>
  <c r="C322" i="18"/>
  <c r="D322" i="18"/>
  <c r="C323" i="18"/>
  <c r="D323" i="18"/>
  <c r="C324" i="18"/>
  <c r="D324" i="18"/>
  <c r="C325" i="18"/>
  <c r="D325" i="18"/>
  <c r="C326" i="18"/>
  <c r="D326" i="18"/>
  <c r="C327" i="18"/>
  <c r="D327" i="18"/>
  <c r="C328" i="18"/>
  <c r="D328" i="18"/>
  <c r="C329" i="18"/>
  <c r="D329" i="18"/>
  <c r="C330" i="18"/>
  <c r="D330" i="18"/>
  <c r="C331" i="18"/>
  <c r="D331" i="18"/>
  <c r="C332" i="18"/>
  <c r="D332" i="18"/>
  <c r="C333" i="18"/>
  <c r="D333" i="18"/>
  <c r="C334" i="18"/>
  <c r="D334" i="18"/>
  <c r="E334" i="18"/>
  <c r="C335" i="18"/>
  <c r="D335" i="18"/>
  <c r="C336" i="18"/>
  <c r="D336" i="18"/>
  <c r="C337" i="18"/>
  <c r="D337" i="18"/>
  <c r="C338" i="18"/>
  <c r="D338" i="18"/>
  <c r="C339" i="18"/>
  <c r="D339" i="18"/>
  <c r="C340" i="18"/>
  <c r="D340" i="18"/>
  <c r="C341" i="18"/>
  <c r="D341" i="18"/>
  <c r="C342" i="18"/>
  <c r="D342" i="18"/>
  <c r="C343" i="18"/>
  <c r="D343" i="18"/>
  <c r="C344" i="18"/>
  <c r="D344" i="18"/>
  <c r="C345" i="18"/>
  <c r="D345" i="18"/>
  <c r="C346" i="18"/>
  <c r="D346" i="18"/>
  <c r="C347" i="18"/>
  <c r="D347" i="18"/>
  <c r="C348" i="18"/>
  <c r="D348" i="18"/>
  <c r="C349" i="18"/>
  <c r="D349" i="18"/>
  <c r="C350" i="18"/>
  <c r="D350" i="18"/>
  <c r="C351" i="18"/>
  <c r="D351" i="18"/>
  <c r="C352" i="18"/>
  <c r="D352" i="18"/>
  <c r="C353" i="18"/>
  <c r="D353" i="18"/>
  <c r="C354" i="18"/>
  <c r="D354" i="18"/>
  <c r="C355" i="18"/>
  <c r="D355" i="18"/>
  <c r="C356" i="18"/>
  <c r="D356" i="18"/>
  <c r="C357" i="18"/>
  <c r="D357" i="18"/>
  <c r="C358" i="18"/>
  <c r="D358" i="18"/>
  <c r="C359" i="18"/>
  <c r="D359" i="18"/>
  <c r="C360" i="18"/>
  <c r="D360" i="18"/>
  <c r="C361" i="18"/>
  <c r="D361" i="18"/>
  <c r="C362" i="18"/>
  <c r="D362" i="18"/>
  <c r="C363" i="18"/>
  <c r="D363" i="18"/>
  <c r="C364" i="18"/>
  <c r="D364" i="18"/>
  <c r="C365" i="18"/>
  <c r="D365" i="18"/>
  <c r="C366" i="18"/>
  <c r="D366" i="18"/>
  <c r="C367" i="18"/>
  <c r="D367" i="18"/>
  <c r="C368" i="18"/>
  <c r="D368" i="18"/>
  <c r="C369" i="18"/>
  <c r="D369" i="18"/>
  <c r="C370" i="18"/>
  <c r="D370" i="18"/>
  <c r="C371" i="18"/>
  <c r="D371" i="18"/>
  <c r="C372" i="18"/>
  <c r="D372" i="18"/>
  <c r="C373" i="18"/>
  <c r="D373" i="18"/>
  <c r="C374" i="18"/>
  <c r="D374" i="18"/>
  <c r="C375" i="18"/>
  <c r="D375" i="18"/>
  <c r="E375" i="18"/>
  <c r="C376" i="18"/>
  <c r="D376" i="18"/>
  <c r="C377" i="18"/>
  <c r="D377" i="18"/>
  <c r="C378" i="18"/>
  <c r="D378" i="18"/>
  <c r="C379" i="18"/>
  <c r="D379" i="18"/>
  <c r="C380" i="18"/>
  <c r="D380" i="18"/>
  <c r="C381" i="18"/>
  <c r="D381" i="18"/>
  <c r="C382" i="18"/>
  <c r="D382" i="18"/>
  <c r="C383" i="18"/>
  <c r="D383" i="18"/>
  <c r="C384" i="18"/>
  <c r="D384" i="18"/>
  <c r="C385" i="18"/>
  <c r="D385" i="18"/>
  <c r="C386" i="18"/>
  <c r="D386" i="18"/>
  <c r="C387" i="18"/>
  <c r="D387" i="18"/>
  <c r="C388" i="18"/>
  <c r="D388" i="18"/>
  <c r="C389" i="18"/>
  <c r="D389" i="18"/>
  <c r="C390" i="18"/>
  <c r="D390" i="18"/>
  <c r="C391" i="18"/>
  <c r="D391" i="18"/>
  <c r="E391" i="18"/>
  <c r="C392" i="18"/>
  <c r="D392" i="18"/>
  <c r="C393" i="18"/>
  <c r="D393" i="18"/>
  <c r="C394" i="18"/>
  <c r="D394" i="18"/>
  <c r="C395" i="18"/>
  <c r="D395" i="18"/>
  <c r="C396" i="18"/>
  <c r="D396" i="18"/>
  <c r="E396" i="18"/>
  <c r="C397" i="18"/>
  <c r="D397" i="18"/>
  <c r="C398" i="18"/>
  <c r="D398" i="18"/>
  <c r="C399" i="18"/>
  <c r="D399" i="18"/>
  <c r="C400" i="18"/>
  <c r="D400" i="18"/>
  <c r="E400" i="18"/>
  <c r="C401" i="18"/>
  <c r="D401" i="18"/>
  <c r="C402" i="18"/>
  <c r="D402" i="18"/>
  <c r="C403" i="18"/>
  <c r="D403" i="18"/>
  <c r="C404" i="18"/>
  <c r="D404" i="18"/>
  <c r="C405" i="18"/>
  <c r="D405" i="18"/>
  <c r="C406" i="18"/>
  <c r="D406" i="18"/>
  <c r="C407" i="18"/>
  <c r="D407" i="18"/>
  <c r="C408" i="18"/>
  <c r="D408" i="18"/>
  <c r="C409" i="18"/>
  <c r="D409" i="18"/>
  <c r="C410" i="18"/>
  <c r="D410" i="18"/>
  <c r="C411" i="18"/>
  <c r="D411" i="18"/>
  <c r="C412" i="18"/>
  <c r="D412" i="18"/>
  <c r="E412" i="18"/>
  <c r="C413" i="18"/>
  <c r="D413" i="18"/>
  <c r="C414" i="18"/>
  <c r="D414" i="18"/>
  <c r="C415" i="18"/>
  <c r="D415" i="18"/>
  <c r="E415" i="18"/>
  <c r="C416" i="18"/>
  <c r="D416" i="18"/>
  <c r="C417" i="18"/>
  <c r="D417" i="18"/>
  <c r="C418" i="18"/>
  <c r="D418" i="18"/>
  <c r="C419" i="18"/>
  <c r="D419" i="18"/>
  <c r="C420" i="18"/>
  <c r="D420" i="18"/>
  <c r="E420" i="18"/>
  <c r="C421" i="18"/>
  <c r="D421" i="18"/>
  <c r="C422" i="18"/>
  <c r="D422" i="18"/>
  <c r="C423" i="18"/>
  <c r="D423" i="18"/>
  <c r="C424" i="18"/>
  <c r="D424" i="18"/>
  <c r="E424" i="18"/>
  <c r="C425" i="18"/>
  <c r="D425" i="18"/>
  <c r="C426" i="18"/>
  <c r="D426" i="18"/>
  <c r="C427" i="18"/>
  <c r="D427" i="18"/>
  <c r="C428" i="18"/>
  <c r="D428" i="18"/>
  <c r="C429" i="18"/>
  <c r="D429" i="18"/>
  <c r="C430" i="18"/>
  <c r="D430" i="18"/>
  <c r="C431" i="18"/>
  <c r="D431" i="18"/>
  <c r="C432" i="18"/>
  <c r="D432" i="18"/>
  <c r="C433" i="18"/>
  <c r="D433" i="18"/>
  <c r="C434" i="18"/>
  <c r="D434" i="18"/>
  <c r="C435" i="18"/>
  <c r="D435" i="18"/>
  <c r="C436" i="18"/>
  <c r="D436" i="18"/>
  <c r="E436" i="18"/>
  <c r="C437" i="18"/>
  <c r="D437" i="18"/>
  <c r="C438" i="18"/>
  <c r="D438" i="18"/>
  <c r="C439" i="18"/>
  <c r="D439" i="18"/>
  <c r="E439" i="18"/>
  <c r="C440" i="18"/>
  <c r="D440" i="18"/>
  <c r="C441" i="18"/>
  <c r="D441" i="18"/>
  <c r="C442" i="18"/>
  <c r="D442" i="18"/>
  <c r="C443" i="18"/>
  <c r="D443" i="18"/>
  <c r="C444" i="18"/>
  <c r="D444" i="18"/>
  <c r="E444" i="18"/>
  <c r="C445" i="18"/>
  <c r="D445" i="18"/>
  <c r="C446" i="18"/>
  <c r="D446" i="18"/>
  <c r="C447" i="18"/>
  <c r="D447" i="18"/>
  <c r="C448" i="18"/>
  <c r="D448" i="18"/>
  <c r="E448" i="18"/>
  <c r="C449" i="18"/>
  <c r="D449" i="18"/>
  <c r="C450" i="18"/>
  <c r="D450" i="18"/>
  <c r="C451" i="18"/>
  <c r="D451" i="18"/>
  <c r="C452" i="18"/>
  <c r="D452" i="18"/>
  <c r="C453" i="18"/>
  <c r="D453" i="18"/>
  <c r="C454" i="18"/>
  <c r="D454" i="18"/>
  <c r="C455" i="18"/>
  <c r="D455" i="18"/>
  <c r="C456" i="18"/>
  <c r="D456" i="18"/>
  <c r="C457" i="18"/>
  <c r="D457" i="18"/>
  <c r="C458" i="18"/>
  <c r="D458" i="18"/>
  <c r="E458" i="18"/>
  <c r="C459" i="18"/>
  <c r="D459" i="18"/>
  <c r="C460" i="18"/>
  <c r="D460" i="18"/>
  <c r="C461" i="18"/>
  <c r="D461" i="18"/>
  <c r="C462" i="18"/>
  <c r="D462" i="18"/>
  <c r="E462" i="18"/>
  <c r="C463" i="18"/>
  <c r="D463" i="18"/>
  <c r="C464" i="18"/>
  <c r="D464" i="18"/>
  <c r="E464" i="18"/>
  <c r="C465" i="18"/>
  <c r="D465" i="18"/>
  <c r="C466" i="18"/>
  <c r="D466" i="18"/>
  <c r="C467" i="18"/>
  <c r="D467" i="18"/>
  <c r="E467" i="18"/>
  <c r="C468" i="18"/>
  <c r="D468" i="18"/>
  <c r="C469" i="18"/>
  <c r="D469" i="18"/>
  <c r="C470" i="18"/>
  <c r="D470" i="18"/>
  <c r="C471" i="18"/>
  <c r="D471" i="18"/>
  <c r="E471" i="18"/>
  <c r="C472" i="18"/>
  <c r="D472" i="18"/>
  <c r="C473" i="18"/>
  <c r="D473" i="18"/>
  <c r="C474" i="18"/>
  <c r="D474" i="18"/>
  <c r="C475" i="18"/>
  <c r="D475" i="18"/>
  <c r="E475" i="18"/>
  <c r="C476" i="18"/>
  <c r="D476" i="18"/>
  <c r="C477" i="18"/>
  <c r="D477" i="18"/>
  <c r="C478" i="18"/>
  <c r="D478" i="18"/>
  <c r="C479" i="18"/>
  <c r="D479" i="18"/>
  <c r="C480" i="18"/>
  <c r="D480" i="18"/>
  <c r="E480" i="18"/>
  <c r="C481" i="18"/>
  <c r="D481" i="18"/>
  <c r="C482" i="18"/>
  <c r="D482" i="18"/>
  <c r="C483" i="18"/>
  <c r="D483" i="18"/>
  <c r="C484" i="18"/>
  <c r="D484" i="18"/>
  <c r="E484" i="18"/>
  <c r="C485" i="18"/>
  <c r="D485" i="18"/>
  <c r="C486" i="18"/>
  <c r="D486" i="18"/>
  <c r="E486" i="18"/>
  <c r="C487" i="18"/>
  <c r="D487" i="18"/>
  <c r="C488" i="18"/>
  <c r="D488" i="18"/>
  <c r="E488" i="18"/>
  <c r="C489" i="18"/>
  <c r="D489" i="18"/>
  <c r="C490" i="18"/>
  <c r="D490" i="18"/>
  <c r="C491" i="18"/>
  <c r="D491" i="18"/>
  <c r="C492" i="18"/>
  <c r="D492" i="18"/>
  <c r="C493" i="18"/>
  <c r="D493" i="18"/>
  <c r="C494" i="18"/>
  <c r="D494" i="18"/>
  <c r="C495" i="18"/>
  <c r="D495" i="18"/>
  <c r="C496" i="18"/>
  <c r="D496" i="18"/>
  <c r="C497" i="18"/>
  <c r="D497" i="18"/>
  <c r="C498" i="18"/>
  <c r="D498" i="18"/>
  <c r="C499" i="18"/>
  <c r="D499" i="18"/>
  <c r="E499" i="18"/>
  <c r="C500" i="18"/>
  <c r="D500" i="18"/>
  <c r="C501" i="18"/>
  <c r="D501" i="18"/>
  <c r="C502" i="18"/>
  <c r="D502" i="18"/>
  <c r="E502" i="18"/>
  <c r="C503" i="18"/>
  <c r="D503" i="18"/>
  <c r="C504" i="18"/>
  <c r="D504" i="18"/>
  <c r="C505" i="18"/>
  <c r="D505" i="18"/>
  <c r="C506" i="18"/>
  <c r="D506" i="18"/>
  <c r="E506" i="18"/>
  <c r="C507" i="18"/>
  <c r="D507" i="18"/>
  <c r="C508" i="18"/>
  <c r="D508" i="18"/>
  <c r="C509" i="18"/>
  <c r="D509" i="18"/>
  <c r="C510" i="18"/>
  <c r="D510" i="18"/>
  <c r="E510" i="18"/>
  <c r="C511" i="18"/>
  <c r="D511" i="18"/>
  <c r="C512" i="18"/>
  <c r="D512" i="18"/>
  <c r="E512" i="18"/>
  <c r="C513" i="18"/>
  <c r="D513" i="18"/>
  <c r="C514" i="18"/>
  <c r="D514" i="18"/>
  <c r="C515" i="18"/>
  <c r="D515" i="18"/>
  <c r="E515" i="18"/>
  <c r="C516" i="18"/>
  <c r="D516" i="18"/>
  <c r="D4" i="18"/>
  <c r="C4" i="18"/>
  <c r="G5" i="18"/>
  <c r="G6" i="18"/>
  <c r="G7" i="18"/>
  <c r="G8" i="18"/>
  <c r="G9" i="18"/>
  <c r="G10" i="18"/>
  <c r="G11" i="18"/>
  <c r="G12" i="18"/>
  <c r="G13" i="18"/>
  <c r="G14" i="18"/>
  <c r="G15" i="18"/>
  <c r="G16" i="18"/>
  <c r="G17" i="18"/>
  <c r="G18" i="18"/>
  <c r="G19" i="18"/>
  <c r="G20" i="18"/>
  <c r="G21" i="18"/>
  <c r="G22" i="18"/>
  <c r="G23" i="18"/>
  <c r="G24" i="18"/>
  <c r="G25" i="18"/>
  <c r="G26" i="18"/>
  <c r="G27" i="18"/>
  <c r="G28" i="18"/>
  <c r="G29" i="18"/>
  <c r="G30" i="18"/>
  <c r="G31" i="18"/>
  <c r="G32" i="18"/>
  <c r="G33" i="18"/>
  <c r="G34" i="18"/>
  <c r="G35" i="18"/>
  <c r="G36" i="18"/>
  <c r="G37" i="18"/>
  <c r="G38" i="18"/>
  <c r="G39" i="18"/>
  <c r="G40" i="18"/>
  <c r="G41" i="18"/>
  <c r="G42" i="18"/>
  <c r="G43" i="18"/>
  <c r="G44" i="18"/>
  <c r="G45" i="18"/>
  <c r="G46" i="18"/>
  <c r="G47" i="18"/>
  <c r="G48" i="18"/>
  <c r="G49" i="18"/>
  <c r="G50" i="18"/>
  <c r="G51" i="18"/>
  <c r="G52" i="18"/>
  <c r="G53" i="18"/>
  <c r="G54" i="18"/>
  <c r="G55" i="18"/>
  <c r="G56" i="18"/>
  <c r="G57" i="18"/>
  <c r="G58" i="18"/>
  <c r="G59" i="18"/>
  <c r="G60" i="18"/>
  <c r="G61" i="18"/>
  <c r="G62" i="18"/>
  <c r="G63" i="18"/>
  <c r="G64" i="18"/>
  <c r="G65" i="18"/>
  <c r="G66" i="18"/>
  <c r="G67" i="18"/>
  <c r="G68" i="18"/>
  <c r="G69" i="18"/>
  <c r="G70" i="18"/>
  <c r="G71" i="18"/>
  <c r="G72" i="18"/>
  <c r="G73" i="18"/>
  <c r="G74" i="18"/>
  <c r="G75" i="18"/>
  <c r="G76" i="18"/>
  <c r="G77" i="18"/>
  <c r="G78" i="18"/>
  <c r="G79" i="18"/>
  <c r="G80" i="18"/>
  <c r="G81" i="18"/>
  <c r="G82" i="18"/>
  <c r="G83" i="18"/>
  <c r="G84" i="18"/>
  <c r="G85" i="18"/>
  <c r="G86" i="18"/>
  <c r="G87" i="18"/>
  <c r="G88" i="18"/>
  <c r="G89" i="18"/>
  <c r="G90" i="18"/>
  <c r="G91" i="18"/>
  <c r="G92" i="18"/>
  <c r="G93" i="18"/>
  <c r="G94" i="18"/>
  <c r="G95" i="18"/>
  <c r="G96" i="18"/>
  <c r="G97" i="18"/>
  <c r="G98" i="18"/>
  <c r="G99" i="18"/>
  <c r="G100" i="18"/>
  <c r="G101" i="18"/>
  <c r="G102" i="18"/>
  <c r="G103" i="18"/>
  <c r="G104" i="18"/>
  <c r="G105" i="18"/>
  <c r="G106" i="18"/>
  <c r="G107" i="18"/>
  <c r="G108" i="18"/>
  <c r="G109" i="18"/>
  <c r="G110" i="18"/>
  <c r="G111" i="18"/>
  <c r="G112" i="18"/>
  <c r="G113" i="18"/>
  <c r="G114" i="18"/>
  <c r="G115" i="18"/>
  <c r="G116" i="18"/>
  <c r="G117" i="18"/>
  <c r="G118" i="18"/>
  <c r="G119" i="18"/>
  <c r="G120" i="18"/>
  <c r="G121" i="18"/>
  <c r="G122" i="18"/>
  <c r="G123" i="18"/>
  <c r="G124" i="18"/>
  <c r="G125" i="18"/>
  <c r="G126" i="18"/>
  <c r="G127" i="18"/>
  <c r="G128" i="18"/>
  <c r="G129" i="18"/>
  <c r="G130" i="18"/>
  <c r="G131" i="18"/>
  <c r="G132" i="18"/>
  <c r="G133" i="18"/>
  <c r="G134" i="18"/>
  <c r="G135" i="18"/>
  <c r="G136" i="18"/>
  <c r="G137" i="18"/>
  <c r="G138" i="18"/>
  <c r="G139" i="18"/>
  <c r="G140" i="18"/>
  <c r="G141" i="18"/>
  <c r="G142" i="18"/>
  <c r="G143" i="18"/>
  <c r="G144" i="18"/>
  <c r="G145" i="18"/>
  <c r="G146" i="18"/>
  <c r="G147" i="18"/>
  <c r="G148" i="18"/>
  <c r="G149" i="18"/>
  <c r="G150" i="18"/>
  <c r="G151" i="18"/>
  <c r="G152" i="18"/>
  <c r="G153" i="18"/>
  <c r="G154" i="18"/>
  <c r="G155" i="18"/>
  <c r="G156" i="18"/>
  <c r="G157" i="18"/>
  <c r="G158" i="18"/>
  <c r="G159" i="18"/>
  <c r="G160" i="18"/>
  <c r="G161" i="18"/>
  <c r="G162" i="18"/>
  <c r="G163" i="18"/>
  <c r="G164" i="18"/>
  <c r="G165" i="18"/>
  <c r="G166" i="18"/>
  <c r="G167" i="18"/>
  <c r="G168" i="18"/>
  <c r="G169" i="18"/>
  <c r="G170" i="18"/>
  <c r="G171" i="18"/>
  <c r="G172" i="18"/>
  <c r="G173" i="18"/>
  <c r="G174" i="18"/>
  <c r="G175" i="18"/>
  <c r="G176" i="18"/>
  <c r="G177" i="18"/>
  <c r="G178" i="18"/>
  <c r="G179" i="18"/>
  <c r="G180" i="18"/>
  <c r="G181" i="18"/>
  <c r="G182" i="18"/>
  <c r="G183" i="18"/>
  <c r="G184" i="18"/>
  <c r="G185" i="18"/>
  <c r="G186" i="18"/>
  <c r="G187" i="18"/>
  <c r="G188" i="18"/>
  <c r="G189" i="18"/>
  <c r="G190" i="18"/>
  <c r="G191" i="18"/>
  <c r="G192" i="18"/>
  <c r="G193" i="18"/>
  <c r="G194" i="18"/>
  <c r="G195" i="18"/>
  <c r="G196" i="18"/>
  <c r="G197" i="18"/>
  <c r="G198" i="18"/>
  <c r="G199" i="18"/>
  <c r="G200" i="18"/>
  <c r="G201" i="18"/>
  <c r="G202" i="18"/>
  <c r="G203" i="18"/>
  <c r="G204" i="18"/>
  <c r="G205" i="18"/>
  <c r="G206" i="18"/>
  <c r="G207" i="18"/>
  <c r="G208" i="18"/>
  <c r="G209" i="18"/>
  <c r="G210" i="18"/>
  <c r="G211" i="18"/>
  <c r="G212" i="18"/>
  <c r="G213" i="18"/>
  <c r="G214" i="18"/>
  <c r="G215" i="18"/>
  <c r="G216" i="18"/>
  <c r="G217" i="18"/>
  <c r="G218" i="18"/>
  <c r="G219" i="18"/>
  <c r="G220" i="18"/>
  <c r="G221" i="18"/>
  <c r="G222" i="18"/>
  <c r="G223" i="18"/>
  <c r="G224" i="18"/>
  <c r="G225" i="18"/>
  <c r="G226" i="18"/>
  <c r="G227" i="18"/>
  <c r="G228" i="18"/>
  <c r="G229" i="18"/>
  <c r="G230" i="18"/>
  <c r="G231" i="18"/>
  <c r="G232" i="18"/>
  <c r="G233" i="18"/>
  <c r="G234" i="18"/>
  <c r="G235" i="18"/>
  <c r="G236" i="18"/>
  <c r="G237" i="18"/>
  <c r="G238" i="18"/>
  <c r="G239" i="18"/>
  <c r="G240" i="18"/>
  <c r="G241" i="18"/>
  <c r="G242" i="18"/>
  <c r="G243" i="18"/>
  <c r="G244" i="18"/>
  <c r="G245" i="18"/>
  <c r="G246" i="18"/>
  <c r="G247" i="18"/>
  <c r="G248" i="18"/>
  <c r="G249" i="18"/>
  <c r="G250" i="18"/>
  <c r="G251" i="18"/>
  <c r="G252" i="18"/>
  <c r="G253" i="18"/>
  <c r="G254" i="18"/>
  <c r="G255" i="18"/>
  <c r="G256" i="18"/>
  <c r="G257" i="18"/>
  <c r="G258" i="18"/>
  <c r="G259" i="18"/>
  <c r="G260" i="18"/>
  <c r="G261" i="18"/>
  <c r="G262" i="18"/>
  <c r="G263" i="18"/>
  <c r="G264" i="18"/>
  <c r="G265" i="18"/>
  <c r="G266" i="18"/>
  <c r="G267" i="18"/>
  <c r="G268" i="18"/>
  <c r="G269" i="18"/>
  <c r="G270" i="18"/>
  <c r="G271" i="18"/>
  <c r="G272" i="18"/>
  <c r="G273" i="18"/>
  <c r="G274" i="18"/>
  <c r="G275" i="18"/>
  <c r="G276" i="18"/>
  <c r="G277" i="18"/>
  <c r="G278" i="18"/>
  <c r="G279" i="18"/>
  <c r="G280" i="18"/>
  <c r="G281" i="18"/>
  <c r="G282" i="18"/>
  <c r="G283" i="18"/>
  <c r="G284" i="18"/>
  <c r="G285" i="18"/>
  <c r="G286" i="18"/>
  <c r="G287" i="18"/>
  <c r="G288" i="18"/>
  <c r="G289" i="18"/>
  <c r="G290" i="18"/>
  <c r="G291" i="18"/>
  <c r="G292" i="18"/>
  <c r="G293" i="18"/>
  <c r="G294" i="18"/>
  <c r="G295" i="18"/>
  <c r="G296" i="18"/>
  <c r="G297" i="18"/>
  <c r="G298" i="18"/>
  <c r="G299" i="18"/>
  <c r="G300" i="18"/>
  <c r="G301" i="18"/>
  <c r="G302" i="18"/>
  <c r="G303" i="18"/>
  <c r="G304" i="18"/>
  <c r="G305" i="18"/>
  <c r="G306" i="18"/>
  <c r="G307" i="18"/>
  <c r="G308" i="18"/>
  <c r="G309" i="18"/>
  <c r="G310" i="18"/>
  <c r="G311" i="18"/>
  <c r="G312" i="18"/>
  <c r="G313" i="18"/>
  <c r="G314" i="18"/>
  <c r="G315" i="18"/>
  <c r="G316" i="18"/>
  <c r="G317" i="18"/>
  <c r="G318" i="18"/>
  <c r="G319" i="18"/>
  <c r="G320" i="18"/>
  <c r="G321" i="18"/>
  <c r="G322" i="18"/>
  <c r="G323" i="18"/>
  <c r="G324" i="18"/>
  <c r="G325" i="18"/>
  <c r="G326" i="18"/>
  <c r="G327" i="18"/>
  <c r="G328" i="18"/>
  <c r="G329" i="18"/>
  <c r="G330" i="18"/>
  <c r="G331" i="18"/>
  <c r="G332" i="18"/>
  <c r="G333" i="18"/>
  <c r="G334" i="18"/>
  <c r="G335" i="18"/>
  <c r="G336" i="18"/>
  <c r="G337" i="18"/>
  <c r="G338" i="18"/>
  <c r="G339" i="18"/>
  <c r="G340" i="18"/>
  <c r="G341" i="18"/>
  <c r="G342" i="18"/>
  <c r="G343" i="18"/>
  <c r="G344" i="18"/>
  <c r="G345" i="18"/>
  <c r="G346" i="18"/>
  <c r="G347" i="18"/>
  <c r="G348" i="18"/>
  <c r="G349" i="18"/>
  <c r="G350" i="18"/>
  <c r="G351" i="18"/>
  <c r="G352" i="18"/>
  <c r="G353" i="18"/>
  <c r="G354" i="18"/>
  <c r="G355" i="18"/>
  <c r="G356" i="18"/>
  <c r="G357" i="18"/>
  <c r="G358" i="18"/>
  <c r="G359" i="18"/>
  <c r="G360" i="18"/>
  <c r="G361" i="18"/>
  <c r="G362" i="18"/>
  <c r="G363" i="18"/>
  <c r="G364" i="18"/>
  <c r="G365" i="18"/>
  <c r="G366" i="18"/>
  <c r="G367" i="18"/>
  <c r="G368" i="18"/>
  <c r="G369" i="18"/>
  <c r="G370" i="18"/>
  <c r="G371" i="18"/>
  <c r="G372" i="18"/>
  <c r="G373" i="18"/>
  <c r="G374" i="18"/>
  <c r="G375" i="18"/>
  <c r="G376" i="18"/>
  <c r="G377" i="18"/>
  <c r="G378" i="18"/>
  <c r="G379" i="18"/>
  <c r="G380" i="18"/>
  <c r="G381" i="18"/>
  <c r="G382" i="18"/>
  <c r="G383" i="18"/>
  <c r="G384" i="18"/>
  <c r="G385" i="18"/>
  <c r="G386" i="18"/>
  <c r="G387" i="18"/>
  <c r="G388" i="18"/>
  <c r="G389" i="18"/>
  <c r="G390" i="18"/>
  <c r="G391" i="18"/>
  <c r="G392" i="18"/>
  <c r="G393" i="18"/>
  <c r="G394" i="18"/>
  <c r="G395" i="18"/>
  <c r="G396" i="18"/>
  <c r="G397" i="18"/>
  <c r="G398" i="18"/>
  <c r="G399" i="18"/>
  <c r="G400" i="18"/>
  <c r="G401" i="18"/>
  <c r="G402" i="18"/>
  <c r="G403" i="18"/>
  <c r="G404" i="18"/>
  <c r="G405" i="18"/>
  <c r="G406" i="18"/>
  <c r="G407" i="18"/>
  <c r="G408" i="18"/>
  <c r="G409" i="18"/>
  <c r="G410" i="18"/>
  <c r="G411" i="18"/>
  <c r="G412" i="18"/>
  <c r="G413" i="18"/>
  <c r="G414" i="18"/>
  <c r="G415" i="18"/>
  <c r="G416" i="18"/>
  <c r="G417" i="18"/>
  <c r="G418" i="18"/>
  <c r="G419" i="18"/>
  <c r="G420" i="18"/>
  <c r="G421" i="18"/>
  <c r="G422" i="18"/>
  <c r="G423" i="18"/>
  <c r="G424" i="18"/>
  <c r="G425" i="18"/>
  <c r="G426" i="18"/>
  <c r="G427" i="18"/>
  <c r="G428" i="18"/>
  <c r="G429" i="18"/>
  <c r="G430" i="18"/>
  <c r="G431" i="18"/>
  <c r="G432" i="18"/>
  <c r="G433" i="18"/>
  <c r="G434" i="18"/>
  <c r="G435" i="18"/>
  <c r="G436" i="18"/>
  <c r="G437" i="18"/>
  <c r="G438" i="18"/>
  <c r="G439" i="18"/>
  <c r="G440" i="18"/>
  <c r="G441" i="18"/>
  <c r="G442" i="18"/>
  <c r="G443" i="18"/>
  <c r="G444" i="18"/>
  <c r="G445" i="18"/>
  <c r="G446" i="18"/>
  <c r="G447" i="18"/>
  <c r="G448" i="18"/>
  <c r="G449" i="18"/>
  <c r="G450" i="18"/>
  <c r="G451" i="18"/>
  <c r="G452" i="18"/>
  <c r="G453" i="18"/>
  <c r="G454" i="18"/>
  <c r="G455" i="18"/>
  <c r="G456" i="18"/>
  <c r="G457" i="18"/>
  <c r="G458" i="18"/>
  <c r="G459" i="18"/>
  <c r="G460" i="18"/>
  <c r="G461" i="18"/>
  <c r="G462" i="18"/>
  <c r="G463" i="18"/>
  <c r="G464" i="18"/>
  <c r="G465" i="18"/>
  <c r="G466" i="18"/>
  <c r="G467" i="18"/>
  <c r="G468" i="18"/>
  <c r="G469" i="18"/>
  <c r="G470" i="18"/>
  <c r="G471" i="18"/>
  <c r="G472" i="18"/>
  <c r="G473" i="18"/>
  <c r="G474" i="18"/>
  <c r="G475" i="18"/>
  <c r="G476" i="18"/>
  <c r="G477" i="18"/>
  <c r="G478" i="18"/>
  <c r="G479" i="18"/>
  <c r="G480" i="18"/>
  <c r="G481" i="18"/>
  <c r="G482" i="18"/>
  <c r="G483" i="18"/>
  <c r="G484" i="18"/>
  <c r="G485" i="18"/>
  <c r="G486" i="18"/>
  <c r="G487" i="18"/>
  <c r="G488" i="18"/>
  <c r="G489" i="18"/>
  <c r="G490" i="18"/>
  <c r="G491" i="18"/>
  <c r="G492" i="18"/>
  <c r="G493" i="18"/>
  <c r="G494" i="18"/>
  <c r="G495" i="18"/>
  <c r="G496" i="18"/>
  <c r="G497" i="18"/>
  <c r="G498" i="18"/>
  <c r="G499" i="18"/>
  <c r="G500" i="18"/>
  <c r="G501" i="18"/>
  <c r="G502" i="18"/>
  <c r="G503" i="18"/>
  <c r="G504" i="18"/>
  <c r="G505" i="18"/>
  <c r="G506" i="18"/>
  <c r="G507" i="18"/>
  <c r="G508" i="18"/>
  <c r="G509" i="18"/>
  <c r="G510" i="18"/>
  <c r="G511" i="18"/>
  <c r="G512" i="18"/>
  <c r="G513" i="18"/>
  <c r="G514" i="18"/>
  <c r="G515" i="18"/>
  <c r="G516" i="18"/>
  <c r="G4" i="18"/>
  <c r="M25" i="18"/>
  <c r="M26" i="18"/>
  <c r="M27" i="18"/>
  <c r="M28" i="18"/>
  <c r="M29" i="18"/>
  <c r="M24" i="18"/>
  <c r="K26" i="18"/>
  <c r="L26" i="18"/>
  <c r="K25" i="18"/>
  <c r="L25" i="18" s="1"/>
  <c r="K27" i="18"/>
  <c r="L27" i="18" s="1"/>
  <c r="K28" i="18"/>
  <c r="L28" i="18" s="1"/>
  <c r="K29" i="18"/>
  <c r="L29" i="18" s="1"/>
  <c r="K24" i="18"/>
  <c r="L24" i="18"/>
  <c r="B4" i="18"/>
  <c r="A5" i="18"/>
  <c r="A6" i="18" s="1"/>
  <c r="B6" i="18" s="1"/>
  <c r="E514" i="18" l="1"/>
  <c r="E479" i="18"/>
  <c r="E466" i="18"/>
  <c r="E443" i="18"/>
  <c r="E419" i="18"/>
  <c r="E395" i="18"/>
  <c r="E322" i="18"/>
  <c r="E273" i="18"/>
  <c r="E251" i="18"/>
  <c r="E218" i="18"/>
  <c r="E122" i="18"/>
  <c r="E99" i="18"/>
  <c r="E496" i="18"/>
  <c r="E483" i="18"/>
  <c r="E470" i="18"/>
  <c r="E452" i="18"/>
  <c r="E428" i="18"/>
  <c r="E404" i="18"/>
  <c r="E379" i="18"/>
  <c r="E327" i="18"/>
  <c r="E239" i="18"/>
  <c r="E167" i="18"/>
  <c r="E71" i="18"/>
  <c r="E492" i="18"/>
  <c r="E500" i="18"/>
  <c r="E487" i="18"/>
  <c r="E474" i="18"/>
  <c r="E447" i="18"/>
  <c r="E423" i="18"/>
  <c r="E399" i="18"/>
  <c r="E261" i="18"/>
  <c r="E504" i="18"/>
  <c r="E491" i="18"/>
  <c r="E478" i="18"/>
  <c r="E456" i="18"/>
  <c r="E432" i="18"/>
  <c r="E408" i="18"/>
  <c r="E321" i="18"/>
  <c r="E299" i="18"/>
  <c r="E266" i="18"/>
  <c r="E171" i="18"/>
  <c r="E98" i="18"/>
  <c r="E75" i="18"/>
  <c r="E508" i="18"/>
  <c r="E495" i="18"/>
  <c r="E482" i="18"/>
  <c r="E460" i="18"/>
  <c r="E451" i="18"/>
  <c r="E427" i="18"/>
  <c r="E403" i="18"/>
  <c r="E383" i="18"/>
  <c r="E287" i="18"/>
  <c r="E238" i="18"/>
  <c r="E205" i="18"/>
  <c r="E143" i="18"/>
  <c r="E47" i="18"/>
  <c r="E516" i="18"/>
  <c r="E503" i="18"/>
  <c r="E490" i="18"/>
  <c r="E468" i="18"/>
  <c r="E455" i="18"/>
  <c r="E431" i="18"/>
  <c r="E407" i="18"/>
  <c r="E314" i="18"/>
  <c r="E226" i="18"/>
  <c r="E170" i="18"/>
  <c r="E147" i="18"/>
  <c r="E74" i="18"/>
  <c r="E51" i="18"/>
  <c r="E23" i="18"/>
  <c r="E309" i="18"/>
  <c r="E507" i="18"/>
  <c r="E494" i="18"/>
  <c r="E472" i="18"/>
  <c r="E459" i="18"/>
  <c r="E440" i="18"/>
  <c r="E416" i="18"/>
  <c r="E392" i="18"/>
  <c r="E387" i="18"/>
  <c r="E335" i="18"/>
  <c r="E286" i="18"/>
  <c r="E253" i="18"/>
  <c r="E231" i="18"/>
  <c r="E119" i="18"/>
  <c r="E511" i="18"/>
  <c r="E498" i="18"/>
  <c r="E476" i="18"/>
  <c r="E463" i="18"/>
  <c r="E435" i="18"/>
  <c r="E411" i="18"/>
  <c r="E388" i="18"/>
  <c r="E384" i="18"/>
  <c r="E380" i="18"/>
  <c r="E376" i="18"/>
  <c r="E372" i="18"/>
  <c r="E368" i="18"/>
  <c r="E364" i="18"/>
  <c r="E360" i="18"/>
  <c r="E356" i="18"/>
  <c r="E352" i="18"/>
  <c r="E348" i="18"/>
  <c r="E344" i="18"/>
  <c r="E331" i="18"/>
  <c r="E318" i="18"/>
  <c r="E305" i="18"/>
  <c r="E283" i="18"/>
  <c r="E270" i="18"/>
  <c r="E257" i="18"/>
  <c r="E235" i="18"/>
  <c r="E222" i="18"/>
  <c r="E209" i="18"/>
  <c r="E195" i="18"/>
  <c r="E186" i="18"/>
  <c r="E162" i="18"/>
  <c r="E138" i="18"/>
  <c r="E114" i="18"/>
  <c r="E90" i="18"/>
  <c r="E66" i="18"/>
  <c r="E42" i="18"/>
  <c r="E18" i="18"/>
  <c r="E339" i="18"/>
  <c r="E326" i="18"/>
  <c r="E313" i="18"/>
  <c r="E291" i="18"/>
  <c r="E278" i="18"/>
  <c r="E265" i="18"/>
  <c r="E243" i="18"/>
  <c r="E230" i="18"/>
  <c r="E217" i="18"/>
  <c r="E199" i="18"/>
  <c r="E190" i="18"/>
  <c r="E166" i="18"/>
  <c r="E142" i="18"/>
  <c r="E118" i="18"/>
  <c r="E94" i="18"/>
  <c r="E70" i="18"/>
  <c r="E46" i="18"/>
  <c r="E22" i="18"/>
  <c r="E371" i="18"/>
  <c r="E367" i="18"/>
  <c r="E363" i="18"/>
  <c r="E359" i="18"/>
  <c r="E355" i="18"/>
  <c r="E351" i="18"/>
  <c r="E347" i="18"/>
  <c r="E343" i="18"/>
  <c r="E330" i="18"/>
  <c r="E317" i="18"/>
  <c r="E295" i="18"/>
  <c r="E282" i="18"/>
  <c r="E269" i="18"/>
  <c r="E247" i="18"/>
  <c r="E234" i="18"/>
  <c r="E221" i="18"/>
  <c r="E194" i="18"/>
  <c r="E175" i="18"/>
  <c r="E151" i="18"/>
  <c r="E127" i="18"/>
  <c r="E103" i="18"/>
  <c r="E79" i="18"/>
  <c r="E55" i="18"/>
  <c r="E31" i="18"/>
  <c r="E7" i="18"/>
  <c r="E26" i="18"/>
  <c r="E338" i="18"/>
  <c r="E325" i="18"/>
  <c r="E303" i="18"/>
  <c r="E290" i="18"/>
  <c r="E277" i="18"/>
  <c r="E255" i="18"/>
  <c r="E242" i="18"/>
  <c r="E229" i="18"/>
  <c r="E207" i="18"/>
  <c r="E198" i="18"/>
  <c r="E179" i="18"/>
  <c r="E155" i="18"/>
  <c r="E131" i="18"/>
  <c r="E107" i="18"/>
  <c r="E83" i="18"/>
  <c r="E59" i="18"/>
  <c r="E35" i="18"/>
  <c r="E11" i="18"/>
  <c r="E450" i="18"/>
  <c r="E438" i="18"/>
  <c r="E422" i="18"/>
  <c r="E410" i="18"/>
  <c r="E406" i="18"/>
  <c r="E394" i="18"/>
  <c r="E390" i="18"/>
  <c r="E386" i="18"/>
  <c r="E382" i="18"/>
  <c r="E378" i="18"/>
  <c r="E374" i="18"/>
  <c r="E370" i="18"/>
  <c r="E366" i="18"/>
  <c r="E362" i="18"/>
  <c r="E350" i="18"/>
  <c r="E346" i="18"/>
  <c r="E342" i="18"/>
  <c r="E329" i="18"/>
  <c r="E307" i="18"/>
  <c r="E294" i="18"/>
  <c r="E281" i="18"/>
  <c r="E259" i="18"/>
  <c r="E246" i="18"/>
  <c r="E233" i="18"/>
  <c r="E211" i="18"/>
  <c r="E193" i="18"/>
  <c r="E174" i="18"/>
  <c r="E150" i="18"/>
  <c r="E126" i="18"/>
  <c r="E102" i="18"/>
  <c r="E78" i="18"/>
  <c r="E54" i="18"/>
  <c r="E30" i="18"/>
  <c r="E6" i="18"/>
  <c r="E446" i="18"/>
  <c r="E430" i="18"/>
  <c r="E418" i="18"/>
  <c r="E402" i="18"/>
  <c r="E354" i="18"/>
  <c r="E333" i="18"/>
  <c r="E311" i="18"/>
  <c r="E298" i="18"/>
  <c r="E285" i="18"/>
  <c r="E263" i="18"/>
  <c r="E250" i="18"/>
  <c r="E237" i="18"/>
  <c r="E215" i="18"/>
  <c r="E202" i="18"/>
  <c r="E183" i="18"/>
  <c r="E159" i="18"/>
  <c r="E135" i="18"/>
  <c r="E111" i="18"/>
  <c r="E87" i="18"/>
  <c r="E63" i="18"/>
  <c r="E39" i="18"/>
  <c r="E15" i="18"/>
  <c r="E454" i="18"/>
  <c r="E442" i="18"/>
  <c r="E434" i="18"/>
  <c r="E426" i="18"/>
  <c r="E414" i="18"/>
  <c r="E398" i="18"/>
  <c r="E358" i="18"/>
  <c r="E337" i="18"/>
  <c r="E315" i="18"/>
  <c r="E302" i="18"/>
  <c r="E289" i="18"/>
  <c r="E267" i="18"/>
  <c r="E254" i="18"/>
  <c r="E241" i="18"/>
  <c r="E219" i="18"/>
  <c r="E206" i="18"/>
  <c r="E178" i="18"/>
  <c r="E154" i="18"/>
  <c r="E130" i="18"/>
  <c r="E106" i="18"/>
  <c r="E82" i="18"/>
  <c r="E58" i="18"/>
  <c r="E34" i="18"/>
  <c r="E10" i="18"/>
  <c r="E509" i="18"/>
  <c r="E497" i="18"/>
  <c r="E485" i="18"/>
  <c r="E477" i="18"/>
  <c r="E473" i="18"/>
  <c r="E469" i="18"/>
  <c r="E465" i="18"/>
  <c r="E461" i="18"/>
  <c r="E457" i="18"/>
  <c r="E449" i="18"/>
  <c r="E445" i="18"/>
  <c r="E441" i="18"/>
  <c r="E437" i="18"/>
  <c r="E433" i="18"/>
  <c r="E429" i="18"/>
  <c r="E425" i="18"/>
  <c r="E421" i="18"/>
  <c r="E417" i="18"/>
  <c r="E413" i="18"/>
  <c r="E409" i="18"/>
  <c r="E405" i="18"/>
  <c r="E401" i="18"/>
  <c r="E397" i="18"/>
  <c r="E393" i="18"/>
  <c r="E389" i="18"/>
  <c r="E385" i="18"/>
  <c r="E381" i="18"/>
  <c r="E377" i="18"/>
  <c r="E373" i="18"/>
  <c r="E369" i="18"/>
  <c r="E365" i="18"/>
  <c r="E361" i="18"/>
  <c r="E357" i="18"/>
  <c r="E353" i="18"/>
  <c r="E349" i="18"/>
  <c r="E345" i="18"/>
  <c r="E341" i="18"/>
  <c r="E319" i="18"/>
  <c r="E306" i="18"/>
  <c r="E293" i="18"/>
  <c r="E271" i="18"/>
  <c r="E258" i="18"/>
  <c r="E245" i="18"/>
  <c r="E223" i="18"/>
  <c r="E210" i="18"/>
  <c r="E187" i="18"/>
  <c r="E163" i="18"/>
  <c r="E139" i="18"/>
  <c r="E115" i="18"/>
  <c r="E91" i="18"/>
  <c r="E67" i="18"/>
  <c r="E43" i="18"/>
  <c r="E19" i="18"/>
  <c r="E513" i="18"/>
  <c r="E505" i="18"/>
  <c r="E501" i="18"/>
  <c r="E493" i="18"/>
  <c r="E489" i="18"/>
  <c r="E481" i="18"/>
  <c r="E453" i="18"/>
  <c r="E323" i="18"/>
  <c r="E310" i="18"/>
  <c r="E297" i="18"/>
  <c r="E275" i="18"/>
  <c r="E262" i="18"/>
  <c r="E249" i="18"/>
  <c r="E227" i="18"/>
  <c r="E214" i="18"/>
  <c r="E182" i="18"/>
  <c r="E158" i="18"/>
  <c r="E134" i="18"/>
  <c r="E110" i="18"/>
  <c r="E86" i="18"/>
  <c r="E62" i="18"/>
  <c r="E38" i="18"/>
  <c r="E8" i="18"/>
  <c r="E12" i="18"/>
  <c r="E16" i="18"/>
  <c r="E20" i="18"/>
  <c r="E24" i="18"/>
  <c r="E28" i="18"/>
  <c r="E32" i="18"/>
  <c r="E36" i="18"/>
  <c r="E40" i="18"/>
  <c r="E44" i="18"/>
  <c r="E48" i="18"/>
  <c r="E52" i="18"/>
  <c r="E56" i="18"/>
  <c r="E60" i="18"/>
  <c r="E64" i="18"/>
  <c r="E68" i="18"/>
  <c r="E72" i="18"/>
  <c r="E76" i="18"/>
  <c r="E80" i="18"/>
  <c r="E84" i="18"/>
  <c r="E88" i="18"/>
  <c r="E92" i="18"/>
  <c r="E96" i="18"/>
  <c r="E100" i="18"/>
  <c r="E104" i="18"/>
  <c r="E108" i="18"/>
  <c r="E112" i="18"/>
  <c r="E116" i="18"/>
  <c r="E120" i="18"/>
  <c r="E124" i="18"/>
  <c r="E128" i="18"/>
  <c r="E132" i="18"/>
  <c r="E136" i="18"/>
  <c r="E140" i="18"/>
  <c r="E144" i="18"/>
  <c r="E148" i="18"/>
  <c r="E152" i="18"/>
  <c r="E156" i="18"/>
  <c r="E160" i="18"/>
  <c r="E164" i="18"/>
  <c r="E168" i="18"/>
  <c r="E172" i="18"/>
  <c r="E176" i="18"/>
  <c r="E180" i="18"/>
  <c r="E184" i="18"/>
  <c r="E188" i="18"/>
  <c r="E192" i="18"/>
  <c r="E196" i="18"/>
  <c r="E200" i="18"/>
  <c r="E204" i="18"/>
  <c r="E208" i="18"/>
  <c r="E212" i="18"/>
  <c r="E216" i="18"/>
  <c r="E220" i="18"/>
  <c r="E224" i="18"/>
  <c r="E228" i="18"/>
  <c r="E232" i="18"/>
  <c r="E236" i="18"/>
  <c r="E240" i="18"/>
  <c r="E244" i="18"/>
  <c r="E248" i="18"/>
  <c r="E252" i="18"/>
  <c r="E256" i="18"/>
  <c r="E260" i="18"/>
  <c r="E264" i="18"/>
  <c r="E268" i="18"/>
  <c r="E272" i="18"/>
  <c r="E276" i="18"/>
  <c r="E280" i="18"/>
  <c r="E284" i="18"/>
  <c r="E288" i="18"/>
  <c r="E292" i="18"/>
  <c r="E296" i="18"/>
  <c r="E300" i="18"/>
  <c r="E304" i="18"/>
  <c r="E308" i="18"/>
  <c r="E312" i="18"/>
  <c r="E316" i="18"/>
  <c r="E320" i="18"/>
  <c r="E324" i="18"/>
  <c r="E328" i="18"/>
  <c r="E332" i="18"/>
  <c r="E336" i="18"/>
  <c r="E340" i="18"/>
  <c r="E4" i="18"/>
  <c r="E5" i="18"/>
  <c r="E9" i="18"/>
  <c r="E13" i="18"/>
  <c r="E17" i="18"/>
  <c r="E21" i="18"/>
  <c r="E25" i="18"/>
  <c r="E29" i="18"/>
  <c r="E33" i="18"/>
  <c r="E37" i="18"/>
  <c r="E41" i="18"/>
  <c r="E45" i="18"/>
  <c r="E49" i="18"/>
  <c r="E53" i="18"/>
  <c r="E57" i="18"/>
  <c r="E61" i="18"/>
  <c r="E65" i="18"/>
  <c r="E69" i="18"/>
  <c r="E73" i="18"/>
  <c r="E77" i="18"/>
  <c r="E81" i="18"/>
  <c r="E85" i="18"/>
  <c r="E89" i="18"/>
  <c r="E93" i="18"/>
  <c r="E97" i="18"/>
  <c r="E101" i="18"/>
  <c r="E105" i="18"/>
  <c r="E109" i="18"/>
  <c r="E113" i="18"/>
  <c r="E117" i="18"/>
  <c r="E121" i="18"/>
  <c r="E125" i="18"/>
  <c r="E129" i="18"/>
  <c r="E133" i="18"/>
  <c r="E137" i="18"/>
  <c r="E141" i="18"/>
  <c r="E145" i="18"/>
  <c r="E149" i="18"/>
  <c r="E153" i="18"/>
  <c r="E157" i="18"/>
  <c r="E161" i="18"/>
  <c r="E165" i="18"/>
  <c r="E169" i="18"/>
  <c r="E173" i="18"/>
  <c r="E177" i="18"/>
  <c r="E181" i="18"/>
  <c r="E185" i="18"/>
  <c r="E189" i="18"/>
  <c r="E197" i="18"/>
  <c r="E201" i="18"/>
  <c r="B5" i="18"/>
  <c r="A7" i="18"/>
  <c r="B7" i="18" l="1"/>
  <c r="A8" i="18"/>
  <c r="B8" i="18" l="1"/>
  <c r="A9" i="18"/>
  <c r="B9" i="18" l="1"/>
  <c r="A10" i="18"/>
  <c r="B10" i="18" l="1"/>
  <c r="A11" i="18"/>
  <c r="B11" i="18" l="1"/>
  <c r="A12" i="18"/>
  <c r="B12" i="18" l="1"/>
  <c r="A13" i="18"/>
  <c r="B13" i="18" l="1"/>
  <c r="A14" i="18"/>
  <c r="B14" i="18" l="1"/>
  <c r="A15" i="18"/>
  <c r="B15" i="18" l="1"/>
  <c r="A16" i="18"/>
  <c r="B16" i="18" l="1"/>
  <c r="A17" i="18"/>
  <c r="B17" i="18" l="1"/>
  <c r="A18" i="18"/>
  <c r="B18" i="18" l="1"/>
  <c r="A19" i="18"/>
  <c r="B19" i="18" l="1"/>
  <c r="A20" i="18"/>
  <c r="B20" i="18" l="1"/>
  <c r="A21" i="18"/>
  <c r="B21" i="18" l="1"/>
  <c r="A22" i="18"/>
  <c r="B22" i="18" l="1"/>
  <c r="A23" i="18"/>
  <c r="B23" i="18" l="1"/>
  <c r="A24" i="18"/>
  <c r="B24" i="18" l="1"/>
  <c r="A25" i="18"/>
  <c r="B25" i="18" l="1"/>
  <c r="A26" i="18"/>
  <c r="B26" i="18" l="1"/>
  <c r="A27" i="18"/>
  <c r="B27" i="18" l="1"/>
  <c r="A28" i="18"/>
  <c r="B28" i="18" l="1"/>
  <c r="A29" i="18"/>
  <c r="B29" i="18" l="1"/>
  <c r="A30" i="18"/>
  <c r="B30" i="18" l="1"/>
  <c r="A31" i="18"/>
  <c r="B31" i="18" l="1"/>
  <c r="A32" i="18"/>
  <c r="B32" i="18" l="1"/>
  <c r="A33" i="18"/>
  <c r="B33" i="18" l="1"/>
  <c r="A34" i="18"/>
  <c r="B34" i="18" l="1"/>
  <c r="A35" i="18"/>
  <c r="B35" i="18" l="1"/>
  <c r="A36" i="18"/>
  <c r="B36" i="18" l="1"/>
  <c r="A37" i="18"/>
  <c r="B37" i="18" l="1"/>
  <c r="A38" i="18"/>
  <c r="B38" i="18" l="1"/>
  <c r="A39" i="18"/>
  <c r="B39" i="18" l="1"/>
  <c r="A40" i="18"/>
  <c r="B40" i="18" l="1"/>
  <c r="A41" i="18"/>
  <c r="B41" i="18" l="1"/>
  <c r="A42" i="18"/>
  <c r="B42" i="18" l="1"/>
  <c r="A43" i="18"/>
  <c r="B43" i="18" l="1"/>
  <c r="A44" i="18"/>
  <c r="B44" i="18" l="1"/>
  <c r="A45" i="18"/>
  <c r="B45" i="18" l="1"/>
  <c r="A46" i="18"/>
  <c r="B46" i="18" l="1"/>
  <c r="A47" i="18"/>
  <c r="B47" i="18" l="1"/>
  <c r="A48" i="18"/>
  <c r="B48" i="18" l="1"/>
  <c r="A49" i="18"/>
  <c r="B49" i="18" l="1"/>
  <c r="A50" i="18"/>
  <c r="B50" i="18" l="1"/>
  <c r="A51" i="18"/>
  <c r="B51" i="18" l="1"/>
  <c r="A52" i="18"/>
  <c r="B52" i="18" l="1"/>
  <c r="A53" i="18"/>
  <c r="B53" i="18" l="1"/>
  <c r="A54" i="18"/>
  <c r="B54" i="18" l="1"/>
  <c r="A55" i="18"/>
  <c r="B55" i="18" l="1"/>
  <c r="A56" i="18"/>
  <c r="B56" i="18" l="1"/>
  <c r="A57" i="18"/>
  <c r="B57" i="18" l="1"/>
  <c r="A58" i="18"/>
  <c r="B58" i="18" l="1"/>
  <c r="A59" i="18"/>
  <c r="B59" i="18" l="1"/>
  <c r="A60" i="18"/>
  <c r="B60" i="18" l="1"/>
  <c r="A61" i="18"/>
  <c r="B61" i="18" l="1"/>
  <c r="A62" i="18"/>
  <c r="B62" i="18" l="1"/>
  <c r="A63" i="18"/>
  <c r="B63" i="18" l="1"/>
  <c r="A64" i="18"/>
  <c r="B64" i="18" l="1"/>
  <c r="A65" i="18"/>
  <c r="B65" i="18" l="1"/>
  <c r="A66" i="18"/>
  <c r="B66" i="18" l="1"/>
  <c r="A67" i="18"/>
  <c r="B67" i="18" l="1"/>
  <c r="A68" i="18"/>
  <c r="B68" i="18" l="1"/>
  <c r="A69" i="18"/>
  <c r="B69" i="18" l="1"/>
  <c r="A70" i="18"/>
  <c r="B70" i="18" l="1"/>
  <c r="A71" i="18"/>
  <c r="B71" i="18" l="1"/>
  <c r="A72" i="18"/>
  <c r="B72" i="18" l="1"/>
  <c r="A73" i="18"/>
  <c r="B73" i="18" l="1"/>
  <c r="A74" i="18"/>
  <c r="B74" i="18" l="1"/>
  <c r="A75" i="18"/>
  <c r="B75" i="18" l="1"/>
  <c r="A76" i="18"/>
  <c r="B76" i="18" l="1"/>
  <c r="A77" i="18"/>
  <c r="B77" i="18" l="1"/>
  <c r="A78" i="18"/>
  <c r="B78" i="18" l="1"/>
  <c r="A79" i="18"/>
  <c r="B79" i="18" l="1"/>
  <c r="A80" i="18"/>
  <c r="B80" i="18" l="1"/>
  <c r="A81" i="18"/>
  <c r="B81" i="18" l="1"/>
  <c r="A82" i="18"/>
  <c r="B82" i="18" l="1"/>
  <c r="A83" i="18"/>
  <c r="B83" i="18" l="1"/>
  <c r="A84" i="18"/>
  <c r="B84" i="18" l="1"/>
  <c r="A85" i="18"/>
  <c r="B85" i="18" l="1"/>
  <c r="A86" i="18"/>
  <c r="B86" i="18" l="1"/>
  <c r="A87" i="18"/>
  <c r="B87" i="18" l="1"/>
  <c r="A88" i="18"/>
  <c r="B88" i="18" l="1"/>
  <c r="A89" i="18"/>
  <c r="B89" i="18" l="1"/>
  <c r="A90" i="18"/>
  <c r="B90" i="18" l="1"/>
  <c r="A91" i="18"/>
  <c r="B91" i="18" l="1"/>
  <c r="A92" i="18"/>
  <c r="B92" i="18" l="1"/>
  <c r="A93" i="18"/>
  <c r="B93" i="18" l="1"/>
  <c r="A94" i="18"/>
  <c r="B94" i="18" l="1"/>
  <c r="A95" i="18"/>
  <c r="B95" i="18" l="1"/>
  <c r="A96" i="18"/>
  <c r="B96" i="18" l="1"/>
  <c r="A97" i="18"/>
  <c r="B97" i="18" l="1"/>
  <c r="A98" i="18"/>
  <c r="B98" i="18" l="1"/>
  <c r="A99" i="18"/>
  <c r="B99" i="18" l="1"/>
  <c r="A100" i="18"/>
  <c r="B100" i="18" l="1"/>
  <c r="A101" i="18"/>
  <c r="B101" i="18" l="1"/>
  <c r="A102" i="18"/>
  <c r="B102" i="18" l="1"/>
  <c r="A103" i="18"/>
  <c r="B103" i="18" l="1"/>
  <c r="A104" i="18"/>
  <c r="B104" i="18" l="1"/>
  <c r="A105" i="18"/>
  <c r="B105" i="18" l="1"/>
  <c r="A106" i="18"/>
  <c r="B106" i="18" l="1"/>
  <c r="A107" i="18"/>
  <c r="B107" i="18" l="1"/>
  <c r="A108" i="18"/>
  <c r="B108" i="18" l="1"/>
  <c r="A109" i="18"/>
  <c r="B109" i="18" l="1"/>
  <c r="A110" i="18"/>
  <c r="B110" i="18" l="1"/>
  <c r="A111" i="18"/>
  <c r="B111" i="18" l="1"/>
  <c r="A112" i="18"/>
  <c r="B112" i="18" l="1"/>
  <c r="A113" i="18"/>
  <c r="B113" i="18" l="1"/>
  <c r="A114" i="18"/>
  <c r="B114" i="18" l="1"/>
  <c r="A115" i="18"/>
  <c r="B115" i="18" l="1"/>
  <c r="A116" i="18"/>
  <c r="B116" i="18" l="1"/>
  <c r="A117" i="18"/>
  <c r="B117" i="18" l="1"/>
  <c r="A118" i="18"/>
  <c r="B118" i="18" l="1"/>
  <c r="A119" i="18"/>
  <c r="B119" i="18" l="1"/>
  <c r="A120" i="18"/>
  <c r="B120" i="18" l="1"/>
  <c r="A121" i="18"/>
  <c r="B121" i="18" l="1"/>
  <c r="A122" i="18"/>
  <c r="B122" i="18" l="1"/>
  <c r="A123" i="18"/>
  <c r="B123" i="18" l="1"/>
  <c r="A124" i="18"/>
  <c r="B124" i="18" l="1"/>
  <c r="A125" i="18"/>
  <c r="B125" i="18" l="1"/>
  <c r="A126" i="18"/>
  <c r="B126" i="18" l="1"/>
  <c r="A127" i="18"/>
  <c r="B127" i="18" l="1"/>
  <c r="A128" i="18"/>
  <c r="B128" i="18" l="1"/>
  <c r="A129" i="18"/>
  <c r="B129" i="18" l="1"/>
  <c r="A130" i="18"/>
  <c r="B130" i="18" l="1"/>
  <c r="A131" i="18"/>
  <c r="B131" i="18" l="1"/>
  <c r="A132" i="18"/>
  <c r="B132" i="18" l="1"/>
  <c r="A133" i="18"/>
  <c r="B133" i="18" l="1"/>
  <c r="A134" i="18"/>
  <c r="B134" i="18" l="1"/>
  <c r="A135" i="18"/>
  <c r="B135" i="18" l="1"/>
  <c r="A136" i="18"/>
  <c r="B136" i="18" l="1"/>
  <c r="A137" i="18"/>
  <c r="B137" i="18" l="1"/>
  <c r="A138" i="18"/>
  <c r="B138" i="18" l="1"/>
  <c r="A139" i="18"/>
  <c r="B139" i="18" l="1"/>
  <c r="A140" i="18"/>
  <c r="B140" i="18" l="1"/>
  <c r="A141" i="18"/>
  <c r="B141" i="18" l="1"/>
  <c r="A142" i="18"/>
  <c r="B142" i="18" l="1"/>
  <c r="A143" i="18"/>
  <c r="B143" i="18" l="1"/>
  <c r="A144" i="18"/>
  <c r="B144" i="18" l="1"/>
  <c r="A145" i="18"/>
  <c r="B145" i="18" l="1"/>
  <c r="A146" i="18"/>
  <c r="B146" i="18" l="1"/>
  <c r="A147" i="18"/>
  <c r="B147" i="18" l="1"/>
  <c r="A148" i="18"/>
  <c r="B148" i="18" l="1"/>
  <c r="A149" i="18"/>
  <c r="B149" i="18" l="1"/>
  <c r="A150" i="18"/>
  <c r="B150" i="18" l="1"/>
  <c r="A151" i="18"/>
  <c r="B151" i="18" l="1"/>
  <c r="A152" i="18"/>
  <c r="B152" i="18" l="1"/>
  <c r="A153" i="18"/>
  <c r="B153" i="18" l="1"/>
  <c r="A154" i="18"/>
  <c r="B154" i="18" l="1"/>
  <c r="A155" i="18"/>
  <c r="B155" i="18" l="1"/>
  <c r="A156" i="18"/>
  <c r="B156" i="18" l="1"/>
  <c r="A157" i="18"/>
  <c r="B157" i="18" l="1"/>
  <c r="A158" i="18"/>
  <c r="B158" i="18" l="1"/>
  <c r="A159" i="18"/>
  <c r="B159" i="18" l="1"/>
  <c r="A160" i="18"/>
  <c r="B160" i="18" l="1"/>
  <c r="A161" i="18"/>
  <c r="B161" i="18" l="1"/>
  <c r="A162" i="18"/>
  <c r="B162" i="18" l="1"/>
  <c r="A163" i="18"/>
  <c r="B163" i="18" l="1"/>
  <c r="A164" i="18"/>
  <c r="B164" i="18" l="1"/>
  <c r="A165" i="18"/>
  <c r="B165" i="18" l="1"/>
  <c r="A166" i="18"/>
  <c r="B166" i="18" l="1"/>
  <c r="A167" i="18"/>
  <c r="B167" i="18" l="1"/>
  <c r="A168" i="18"/>
  <c r="B168" i="18" l="1"/>
  <c r="A169" i="18"/>
  <c r="B169" i="18" l="1"/>
  <c r="A170" i="18"/>
  <c r="B170" i="18" l="1"/>
  <c r="A171" i="18"/>
  <c r="B171" i="18" l="1"/>
  <c r="A172" i="18"/>
  <c r="B172" i="18" l="1"/>
  <c r="A173" i="18"/>
  <c r="B173" i="18" l="1"/>
  <c r="A174" i="18"/>
  <c r="B174" i="18" l="1"/>
  <c r="A175" i="18"/>
  <c r="B175" i="18" l="1"/>
  <c r="A176" i="18"/>
  <c r="B176" i="18" l="1"/>
  <c r="A177" i="18"/>
  <c r="B177" i="18" l="1"/>
  <c r="A178" i="18"/>
  <c r="B178" i="18" l="1"/>
  <c r="A179" i="18"/>
  <c r="B179" i="18" l="1"/>
  <c r="A180" i="18"/>
  <c r="B180" i="18" l="1"/>
  <c r="A181" i="18"/>
  <c r="B181" i="18" l="1"/>
  <c r="A182" i="18"/>
  <c r="B182" i="18" l="1"/>
  <c r="A183" i="18"/>
  <c r="B183" i="18" l="1"/>
  <c r="A184" i="18"/>
  <c r="B184" i="18" l="1"/>
  <c r="A185" i="18"/>
  <c r="B185" i="18" l="1"/>
  <c r="A186" i="18"/>
  <c r="B186" i="18" l="1"/>
  <c r="A187" i="18"/>
  <c r="B187" i="18" l="1"/>
  <c r="A188" i="18"/>
  <c r="B188" i="18" l="1"/>
  <c r="A189" i="18"/>
  <c r="B189" i="18" l="1"/>
  <c r="A190" i="18"/>
  <c r="B190" i="18" l="1"/>
  <c r="A191" i="18"/>
  <c r="B191" i="18" l="1"/>
  <c r="A192" i="18"/>
  <c r="B192" i="18" l="1"/>
  <c r="A193" i="18"/>
  <c r="B193" i="18" l="1"/>
  <c r="A194" i="18"/>
  <c r="B194" i="18" l="1"/>
  <c r="A195" i="18"/>
  <c r="B195" i="18" l="1"/>
  <c r="A196" i="18"/>
  <c r="B196" i="18" l="1"/>
  <c r="A197" i="18"/>
  <c r="B197" i="18" l="1"/>
  <c r="A198" i="18"/>
  <c r="B198" i="18" l="1"/>
  <c r="A199" i="18"/>
  <c r="B199" i="18" l="1"/>
  <c r="A200" i="18"/>
  <c r="B200" i="18" l="1"/>
  <c r="A201" i="18"/>
  <c r="B201" i="18" l="1"/>
  <c r="A202" i="18"/>
  <c r="B202" i="18" l="1"/>
  <c r="A203" i="18"/>
  <c r="B203" i="18" l="1"/>
  <c r="A204" i="18"/>
  <c r="B204" i="18" l="1"/>
  <c r="A205" i="18"/>
  <c r="B205" i="18" l="1"/>
  <c r="A206" i="18"/>
  <c r="B206" i="18" l="1"/>
  <c r="A207" i="18"/>
  <c r="B207" i="18" l="1"/>
  <c r="A208" i="18"/>
  <c r="B208" i="18" l="1"/>
  <c r="A209" i="18"/>
  <c r="B209" i="18" l="1"/>
  <c r="A210" i="18"/>
  <c r="B210" i="18" l="1"/>
  <c r="A211" i="18"/>
  <c r="B211" i="18" l="1"/>
  <c r="A212" i="18"/>
  <c r="B212" i="18" l="1"/>
  <c r="A213" i="18"/>
  <c r="B213" i="18" l="1"/>
  <c r="A214" i="18"/>
  <c r="B214" i="18" l="1"/>
  <c r="A215" i="18"/>
  <c r="B215" i="18" l="1"/>
  <c r="A216" i="18"/>
  <c r="B216" i="18" l="1"/>
  <c r="A217" i="18"/>
  <c r="B217" i="18" l="1"/>
  <c r="A218" i="18"/>
  <c r="B218" i="18" l="1"/>
  <c r="A219" i="18"/>
  <c r="B219" i="18" l="1"/>
  <c r="A220" i="18"/>
  <c r="B220" i="18" l="1"/>
  <c r="A221" i="18"/>
  <c r="B221" i="18" l="1"/>
  <c r="A222" i="18"/>
  <c r="B222" i="18" l="1"/>
  <c r="A223" i="18"/>
  <c r="B223" i="18" l="1"/>
  <c r="A224" i="18"/>
  <c r="B224" i="18" l="1"/>
  <c r="A225" i="18"/>
  <c r="B225" i="18" l="1"/>
  <c r="A226" i="18"/>
  <c r="B226" i="18" l="1"/>
  <c r="A227" i="18"/>
  <c r="B227" i="18" l="1"/>
  <c r="A228" i="18"/>
  <c r="B228" i="18" l="1"/>
  <c r="A229" i="18"/>
  <c r="B229" i="18" l="1"/>
  <c r="A230" i="18"/>
  <c r="B230" i="18" l="1"/>
  <c r="A231" i="18"/>
  <c r="B231" i="18" l="1"/>
  <c r="A232" i="18"/>
  <c r="B232" i="18" l="1"/>
  <c r="A233" i="18"/>
  <c r="B233" i="18" l="1"/>
  <c r="A234" i="18"/>
  <c r="B234" i="18" l="1"/>
  <c r="A235" i="18"/>
  <c r="B235" i="18" l="1"/>
  <c r="A236" i="18"/>
  <c r="B236" i="18" l="1"/>
  <c r="A237" i="18"/>
  <c r="B237" i="18" l="1"/>
  <c r="A238" i="18"/>
  <c r="B238" i="18" l="1"/>
  <c r="A239" i="18"/>
  <c r="B239" i="18" l="1"/>
  <c r="A240" i="18"/>
  <c r="B240" i="18" l="1"/>
  <c r="A241" i="18"/>
  <c r="B241" i="18" l="1"/>
  <c r="A242" i="18"/>
  <c r="B242" i="18" l="1"/>
  <c r="A243" i="18"/>
  <c r="B243" i="18" l="1"/>
  <c r="A244" i="18"/>
  <c r="B244" i="18" l="1"/>
  <c r="A245" i="18"/>
  <c r="B245" i="18" l="1"/>
  <c r="A246" i="18"/>
  <c r="B246" i="18" l="1"/>
  <c r="A247" i="18"/>
  <c r="B247" i="18" l="1"/>
  <c r="A248" i="18"/>
  <c r="B248" i="18" l="1"/>
  <c r="A249" i="18"/>
  <c r="B249" i="18" l="1"/>
  <c r="A250" i="18"/>
  <c r="B250" i="18" l="1"/>
  <c r="A251" i="18"/>
  <c r="B251" i="18" l="1"/>
  <c r="A252" i="18"/>
  <c r="B252" i="18" l="1"/>
  <c r="A253" i="18"/>
  <c r="B253" i="18" l="1"/>
  <c r="A254" i="18"/>
  <c r="B254" i="18" l="1"/>
  <c r="A255" i="18"/>
  <c r="B255" i="18" l="1"/>
  <c r="A256" i="18"/>
  <c r="B256" i="18" l="1"/>
  <c r="A257" i="18"/>
  <c r="B257" i="18" l="1"/>
  <c r="A258" i="18"/>
  <c r="B258" i="18" l="1"/>
  <c r="A259" i="18"/>
  <c r="B259" i="18" l="1"/>
  <c r="A260" i="18"/>
  <c r="B260" i="18" l="1"/>
  <c r="A261" i="18"/>
  <c r="B261" i="18" l="1"/>
  <c r="A262" i="18"/>
  <c r="B262" i="18" l="1"/>
  <c r="A263" i="18"/>
  <c r="B263" i="18" l="1"/>
  <c r="A264" i="18"/>
  <c r="B264" i="18" l="1"/>
  <c r="A265" i="18"/>
  <c r="B265" i="18" l="1"/>
  <c r="A266" i="18"/>
  <c r="B266" i="18" l="1"/>
  <c r="A267" i="18"/>
  <c r="B267" i="18" l="1"/>
  <c r="A268" i="18"/>
  <c r="B268" i="18" l="1"/>
  <c r="A269" i="18"/>
  <c r="B269" i="18" l="1"/>
  <c r="A270" i="18"/>
  <c r="B270" i="18" l="1"/>
  <c r="A271" i="18"/>
  <c r="B271" i="18" l="1"/>
  <c r="A272" i="18"/>
  <c r="B272" i="18" l="1"/>
  <c r="A273" i="18"/>
  <c r="B273" i="18" l="1"/>
  <c r="A274" i="18"/>
  <c r="B274" i="18" l="1"/>
  <c r="A275" i="18"/>
  <c r="B275" i="18" l="1"/>
  <c r="A276" i="18"/>
  <c r="B276" i="18" l="1"/>
  <c r="A277" i="18"/>
  <c r="B277" i="18" l="1"/>
  <c r="A278" i="18"/>
  <c r="B278" i="18" l="1"/>
  <c r="A279" i="18"/>
  <c r="B279" i="18" l="1"/>
  <c r="A280" i="18"/>
  <c r="B280" i="18" l="1"/>
  <c r="A281" i="18"/>
  <c r="B281" i="18" l="1"/>
  <c r="A282" i="18"/>
  <c r="B282" i="18" l="1"/>
  <c r="A283" i="18"/>
  <c r="B283" i="18" l="1"/>
  <c r="A284" i="18"/>
  <c r="B284" i="18" l="1"/>
  <c r="A285" i="18"/>
  <c r="B285" i="18" l="1"/>
  <c r="A286" i="18"/>
  <c r="B286" i="18" l="1"/>
  <c r="A287" i="18"/>
  <c r="B287" i="18" l="1"/>
  <c r="A288" i="18"/>
  <c r="B288" i="18" l="1"/>
  <c r="A289" i="18"/>
  <c r="B289" i="18" l="1"/>
  <c r="A290" i="18"/>
  <c r="B290" i="18" l="1"/>
  <c r="A291" i="18"/>
  <c r="B291" i="18" l="1"/>
  <c r="A292" i="18"/>
  <c r="B292" i="18" l="1"/>
  <c r="A293" i="18"/>
  <c r="B293" i="18" l="1"/>
  <c r="A294" i="18"/>
  <c r="B294" i="18" l="1"/>
  <c r="A295" i="18"/>
  <c r="B295" i="18" l="1"/>
  <c r="A296" i="18"/>
  <c r="I22" i="16"/>
  <c r="I34" i="16"/>
  <c r="I51" i="16"/>
  <c r="I82" i="16"/>
  <c r="I98" i="16"/>
  <c r="I130" i="16"/>
  <c r="I122" i="16"/>
  <c r="I66" i="16"/>
  <c r="I3" i="16"/>
  <c r="H130" i="16"/>
  <c r="H122" i="16"/>
  <c r="H114" i="16"/>
  <c r="H98" i="16"/>
  <c r="H82" i="16"/>
  <c r="H66" i="16"/>
  <c r="H51" i="16"/>
  <c r="H34" i="16"/>
  <c r="H22" i="16"/>
  <c r="H3" i="16"/>
  <c r="G130" i="16"/>
  <c r="G122" i="16"/>
  <c r="G114" i="16"/>
  <c r="G108" i="16"/>
  <c r="G98" i="16"/>
  <c r="G82" i="16"/>
  <c r="G66" i="16"/>
  <c r="G51" i="16"/>
  <c r="G34" i="16"/>
  <c r="G22" i="16"/>
  <c r="G3" i="16"/>
  <c r="F3" i="16"/>
  <c r="A3" i="16"/>
  <c r="B4" i="16"/>
  <c r="F4" i="16" s="1"/>
  <c r="B296" i="18" l="1"/>
  <c r="A297" i="18"/>
  <c r="A4" i="16"/>
  <c r="B5" i="16"/>
  <c r="B297" i="18" l="1"/>
  <c r="A298" i="18"/>
  <c r="F5" i="16"/>
  <c r="B6" i="16"/>
  <c r="A5" i="16"/>
  <c r="B298" i="18" l="1"/>
  <c r="A299" i="18"/>
  <c r="F6" i="16"/>
  <c r="A6" i="16"/>
  <c r="B7" i="16"/>
  <c r="B299" i="18" l="1"/>
  <c r="A300" i="18"/>
  <c r="B8" i="16"/>
  <c r="F7" i="16"/>
  <c r="A7" i="16"/>
  <c r="B300" i="18" l="1"/>
  <c r="A301" i="18"/>
  <c r="B9" i="16"/>
  <c r="A8" i="16"/>
  <c r="F8" i="16"/>
  <c r="B301" i="18" l="1"/>
  <c r="A302" i="18"/>
  <c r="B10" i="16"/>
  <c r="A9" i="16"/>
  <c r="F9" i="16"/>
  <c r="B302" i="18" l="1"/>
  <c r="A303" i="18"/>
  <c r="B11" i="16"/>
  <c r="A10" i="16"/>
  <c r="F10" i="16"/>
  <c r="B303" i="18" l="1"/>
  <c r="A304" i="18"/>
  <c r="B12" i="16"/>
  <c r="A11" i="16"/>
  <c r="F11" i="16"/>
  <c r="B304" i="18" l="1"/>
  <c r="A305" i="18"/>
  <c r="B13" i="16"/>
  <c r="A12" i="16"/>
  <c r="F12" i="16"/>
  <c r="B305" i="18" l="1"/>
  <c r="A306" i="18"/>
  <c r="B14" i="16"/>
  <c r="A13" i="16"/>
  <c r="F13" i="16"/>
  <c r="B306" i="18" l="1"/>
  <c r="A307" i="18"/>
  <c r="B15" i="16"/>
  <c r="F14" i="16"/>
  <c r="A14" i="16"/>
  <c r="B307" i="18" l="1"/>
  <c r="A308" i="18"/>
  <c r="B16" i="16"/>
  <c r="A15" i="16"/>
  <c r="F15" i="16"/>
  <c r="B308" i="18" l="1"/>
  <c r="A309" i="18"/>
  <c r="B17" i="16"/>
  <c r="F16" i="16"/>
  <c r="A16" i="16"/>
  <c r="B309" i="18" l="1"/>
  <c r="A310" i="18"/>
  <c r="B18" i="16"/>
  <c r="F17" i="16"/>
  <c r="A17" i="16"/>
  <c r="B310" i="18" l="1"/>
  <c r="A311" i="18"/>
  <c r="B19" i="16"/>
  <c r="F18" i="16"/>
  <c r="A18" i="16"/>
  <c r="B311" i="18" l="1"/>
  <c r="A312" i="18"/>
  <c r="B20" i="16"/>
  <c r="F19" i="16"/>
  <c r="A19" i="16"/>
  <c r="B312" i="18" l="1"/>
  <c r="A313" i="18"/>
  <c r="B21" i="16"/>
  <c r="A20" i="16"/>
  <c r="F20" i="16"/>
  <c r="B313" i="18" l="1"/>
  <c r="A314" i="18"/>
  <c r="B22" i="16"/>
  <c r="F21" i="16"/>
  <c r="A21" i="16"/>
  <c r="B314" i="18" l="1"/>
  <c r="A315" i="18"/>
  <c r="B23" i="16"/>
  <c r="A22" i="16"/>
  <c r="F22" i="16"/>
  <c r="B315" i="18" l="1"/>
  <c r="A316" i="18"/>
  <c r="B24" i="16"/>
  <c r="A23" i="16"/>
  <c r="F23" i="16"/>
  <c r="B316" i="18" l="1"/>
  <c r="A317" i="18"/>
  <c r="B25" i="16"/>
  <c r="A24" i="16"/>
  <c r="F24" i="16"/>
  <c r="B317" i="18" l="1"/>
  <c r="A318" i="18"/>
  <c r="B26" i="16"/>
  <c r="A25" i="16"/>
  <c r="F25" i="16"/>
  <c r="B318" i="18" l="1"/>
  <c r="A319" i="18"/>
  <c r="B27" i="16"/>
  <c r="A26" i="16"/>
  <c r="F26" i="16"/>
  <c r="B319" i="18" l="1"/>
  <c r="A320" i="18"/>
  <c r="B28" i="16"/>
  <c r="A27" i="16"/>
  <c r="F27" i="16"/>
  <c r="B320" i="18" l="1"/>
  <c r="A321" i="18"/>
  <c r="B29" i="16"/>
  <c r="F28" i="16"/>
  <c r="A28" i="16"/>
  <c r="B321" i="18" l="1"/>
  <c r="A322" i="18"/>
  <c r="B30" i="16"/>
  <c r="A29" i="16"/>
  <c r="F29" i="16"/>
  <c r="B322" i="18" l="1"/>
  <c r="A323" i="18"/>
  <c r="B31" i="16"/>
  <c r="F30" i="16"/>
  <c r="A30" i="16"/>
  <c r="B323" i="18" l="1"/>
  <c r="A324" i="18"/>
  <c r="B32" i="16"/>
  <c r="F31" i="16"/>
  <c r="A31" i="16"/>
  <c r="B324" i="18" l="1"/>
  <c r="A325" i="18"/>
  <c r="B33" i="16"/>
  <c r="A32" i="16"/>
  <c r="F32" i="16"/>
  <c r="B325" i="18" l="1"/>
  <c r="A326" i="18"/>
  <c r="B34" i="16"/>
  <c r="A33" i="16"/>
  <c r="F33" i="16"/>
  <c r="B326" i="18" l="1"/>
  <c r="A327" i="18"/>
  <c r="B35" i="16"/>
  <c r="A34" i="16"/>
  <c r="F34" i="16"/>
  <c r="B327" i="18" l="1"/>
  <c r="A328" i="18"/>
  <c r="B36" i="16"/>
  <c r="A35" i="16"/>
  <c r="F35" i="16"/>
  <c r="B328" i="18" l="1"/>
  <c r="A329" i="18"/>
  <c r="B37" i="16"/>
  <c r="A36" i="16"/>
  <c r="F36" i="16"/>
  <c r="B329" i="18" l="1"/>
  <c r="A330" i="18"/>
  <c r="B38" i="16"/>
  <c r="A37" i="16"/>
  <c r="F37" i="16"/>
  <c r="B330" i="18" l="1"/>
  <c r="A331" i="18"/>
  <c r="B39" i="16"/>
  <c r="F38" i="16"/>
  <c r="A38" i="16"/>
  <c r="B331" i="18" l="1"/>
  <c r="A332" i="18"/>
  <c r="B40" i="16"/>
  <c r="A39" i="16"/>
  <c r="F39" i="16"/>
  <c r="B332" i="18" l="1"/>
  <c r="A333" i="18"/>
  <c r="B41" i="16"/>
  <c r="F40" i="16"/>
  <c r="A40" i="16"/>
  <c r="B333" i="18" l="1"/>
  <c r="A334" i="18"/>
  <c r="B42" i="16"/>
  <c r="F41" i="16"/>
  <c r="A41" i="16"/>
  <c r="B334" i="18" l="1"/>
  <c r="A335" i="18"/>
  <c r="B43" i="16"/>
  <c r="F42" i="16"/>
  <c r="A42" i="16"/>
  <c r="B335" i="18" l="1"/>
  <c r="A336" i="18"/>
  <c r="B44" i="16"/>
  <c r="F43" i="16"/>
  <c r="A43" i="16"/>
  <c r="B336" i="18" l="1"/>
  <c r="A337" i="18"/>
  <c r="B45" i="16"/>
  <c r="A44" i="16"/>
  <c r="F44" i="16"/>
  <c r="B337" i="18" l="1"/>
  <c r="A338" i="18"/>
  <c r="B46" i="16"/>
  <c r="A45" i="16"/>
  <c r="F45" i="16"/>
  <c r="B338" i="18" l="1"/>
  <c r="A339" i="18"/>
  <c r="B47" i="16"/>
  <c r="F46" i="16"/>
  <c r="A46" i="16"/>
  <c r="B339" i="18" l="1"/>
  <c r="A340" i="18"/>
  <c r="B48" i="16"/>
  <c r="A47" i="16"/>
  <c r="F47" i="16"/>
  <c r="B340" i="18" l="1"/>
  <c r="A341" i="18"/>
  <c r="B49" i="16"/>
  <c r="A48" i="16"/>
  <c r="F48" i="16"/>
  <c r="B341" i="18" l="1"/>
  <c r="A342" i="18"/>
  <c r="B50" i="16"/>
  <c r="A49" i="16"/>
  <c r="F49" i="16"/>
  <c r="B342" i="18" l="1"/>
  <c r="A343" i="18"/>
  <c r="B51" i="16"/>
  <c r="A50" i="16"/>
  <c r="F50" i="16"/>
  <c r="B343" i="18" l="1"/>
  <c r="A344" i="18"/>
  <c r="B52" i="16"/>
  <c r="A51" i="16"/>
  <c r="F51" i="16"/>
  <c r="B344" i="18" l="1"/>
  <c r="A345" i="18"/>
  <c r="B53" i="16"/>
  <c r="F52" i="16"/>
  <c r="A52" i="16"/>
  <c r="B345" i="18" l="1"/>
  <c r="A346" i="18"/>
  <c r="B54" i="16"/>
  <c r="F53" i="16"/>
  <c r="A53" i="16"/>
  <c r="B346" i="18" l="1"/>
  <c r="A347" i="18"/>
  <c r="B55" i="16"/>
  <c r="F54" i="16"/>
  <c r="A54" i="16"/>
  <c r="B347" i="18" l="1"/>
  <c r="A348" i="18"/>
  <c r="B56" i="16"/>
  <c r="F55" i="16"/>
  <c r="A55" i="16"/>
  <c r="B348" i="18" l="1"/>
  <c r="A349" i="18"/>
  <c r="B57" i="16"/>
  <c r="A56" i="16"/>
  <c r="F56" i="16"/>
  <c r="B349" i="18" l="1"/>
  <c r="A350" i="18"/>
  <c r="B58" i="16"/>
  <c r="F57" i="16"/>
  <c r="A57" i="16"/>
  <c r="B350" i="18" l="1"/>
  <c r="A351" i="18"/>
  <c r="B59" i="16"/>
  <c r="A58" i="16"/>
  <c r="F58" i="16"/>
  <c r="B351" i="18" l="1"/>
  <c r="A352" i="18"/>
  <c r="B60" i="16"/>
  <c r="A59" i="16"/>
  <c r="F59" i="16"/>
  <c r="B352" i="18" l="1"/>
  <c r="A353" i="18"/>
  <c r="B61" i="16"/>
  <c r="A60" i="16"/>
  <c r="F60" i="16"/>
  <c r="B353" i="18" l="1"/>
  <c r="A354" i="18"/>
  <c r="B62" i="16"/>
  <c r="A61" i="16"/>
  <c r="F61" i="16"/>
  <c r="B354" i="18" l="1"/>
  <c r="A355" i="18"/>
  <c r="B63" i="16"/>
  <c r="A62" i="16"/>
  <c r="F62" i="16"/>
  <c r="B355" i="18" l="1"/>
  <c r="A356" i="18"/>
  <c r="B64" i="16"/>
  <c r="A63" i="16"/>
  <c r="F63" i="16"/>
  <c r="B356" i="18" l="1"/>
  <c r="A357" i="18"/>
  <c r="B65" i="16"/>
  <c r="F64" i="16"/>
  <c r="A64" i="16"/>
  <c r="B357" i="18" l="1"/>
  <c r="A358" i="18"/>
  <c r="B66" i="16"/>
  <c r="F65" i="16"/>
  <c r="A65" i="16"/>
  <c r="B358" i="18" l="1"/>
  <c r="A359" i="18"/>
  <c r="B67" i="16"/>
  <c r="F66" i="16"/>
  <c r="A66" i="16"/>
  <c r="B359" i="18" l="1"/>
  <c r="A360" i="18"/>
  <c r="B68" i="16"/>
  <c r="F67" i="16"/>
  <c r="A67" i="16"/>
  <c r="B360" i="18" l="1"/>
  <c r="A361" i="18"/>
  <c r="B69" i="16"/>
  <c r="A68" i="16"/>
  <c r="F68" i="16"/>
  <c r="B361" i="18" l="1"/>
  <c r="A362" i="18"/>
  <c r="B70" i="16"/>
  <c r="A69" i="16"/>
  <c r="F69" i="16"/>
  <c r="B362" i="18" l="1"/>
  <c r="A363" i="18"/>
  <c r="B71" i="16"/>
  <c r="A70" i="16"/>
  <c r="F70" i="16"/>
  <c r="B363" i="18" l="1"/>
  <c r="A364" i="18"/>
  <c r="B72" i="16"/>
  <c r="A71" i="16"/>
  <c r="F71" i="16"/>
  <c r="B364" i="18" l="1"/>
  <c r="A365" i="18"/>
  <c r="B73" i="16"/>
  <c r="A72" i="16"/>
  <c r="F72" i="16"/>
  <c r="B365" i="18" l="1"/>
  <c r="A366" i="18"/>
  <c r="B74" i="16"/>
  <c r="A73" i="16"/>
  <c r="F73" i="16"/>
  <c r="B366" i="18" l="1"/>
  <c r="A367" i="18"/>
  <c r="B75" i="16"/>
  <c r="F74" i="16"/>
  <c r="A74" i="16"/>
  <c r="B367" i="18" l="1"/>
  <c r="A368" i="18"/>
  <c r="B76" i="16"/>
  <c r="A75" i="16"/>
  <c r="F75" i="16"/>
  <c r="B368" i="18" l="1"/>
  <c r="A369" i="18"/>
  <c r="B77" i="16"/>
  <c r="F76" i="16"/>
  <c r="A76" i="16"/>
  <c r="B369" i="18" l="1"/>
  <c r="A370" i="18"/>
  <c r="B78" i="16"/>
  <c r="A77" i="16"/>
  <c r="F77" i="16"/>
  <c r="B370" i="18" l="1"/>
  <c r="A371" i="18"/>
  <c r="B79" i="16"/>
  <c r="A78" i="16"/>
  <c r="F78" i="16"/>
  <c r="B371" i="18" l="1"/>
  <c r="A372" i="18"/>
  <c r="B80" i="16"/>
  <c r="F79" i="16"/>
  <c r="A79" i="16"/>
  <c r="B372" i="18" l="1"/>
  <c r="A373" i="18"/>
  <c r="B81" i="16"/>
  <c r="A80" i="16"/>
  <c r="F80" i="16"/>
  <c r="B373" i="18" l="1"/>
  <c r="A374" i="18"/>
  <c r="B82" i="16"/>
  <c r="F81" i="16"/>
  <c r="A81" i="16"/>
  <c r="B374" i="18" l="1"/>
  <c r="A375" i="18"/>
  <c r="B83" i="16"/>
  <c r="A82" i="16"/>
  <c r="F82" i="16"/>
  <c r="B375" i="18" l="1"/>
  <c r="A376" i="18"/>
  <c r="B84" i="16"/>
  <c r="A83" i="16"/>
  <c r="F83" i="16"/>
  <c r="B376" i="18" l="1"/>
  <c r="A377" i="18"/>
  <c r="B85" i="16"/>
  <c r="A84" i="16"/>
  <c r="F84" i="16"/>
  <c r="B377" i="18" l="1"/>
  <c r="A378" i="18"/>
  <c r="B86" i="16"/>
  <c r="A85" i="16"/>
  <c r="F85" i="16"/>
  <c r="B378" i="18" l="1"/>
  <c r="A379" i="18"/>
  <c r="B87" i="16"/>
  <c r="F86" i="16"/>
  <c r="A86" i="16"/>
  <c r="B379" i="18" l="1"/>
  <c r="A380" i="18"/>
  <c r="B88" i="16"/>
  <c r="A87" i="16"/>
  <c r="F87" i="16"/>
  <c r="B380" i="18" l="1"/>
  <c r="A381" i="18"/>
  <c r="B89" i="16"/>
  <c r="F88" i="16"/>
  <c r="A88" i="16"/>
  <c r="B381" i="18" l="1"/>
  <c r="A382" i="18"/>
  <c r="B90" i="16"/>
  <c r="F89" i="16"/>
  <c r="A89" i="16"/>
  <c r="B382" i="18" l="1"/>
  <c r="A383" i="18"/>
  <c r="B91" i="16"/>
  <c r="F90" i="16"/>
  <c r="A90" i="16"/>
  <c r="B383" i="18" l="1"/>
  <c r="A384" i="18"/>
  <c r="B92" i="16"/>
  <c r="F91" i="16"/>
  <c r="A91" i="16"/>
  <c r="B384" i="18" l="1"/>
  <c r="A385" i="18"/>
  <c r="B93" i="16"/>
  <c r="A92" i="16"/>
  <c r="F92" i="16"/>
  <c r="B385" i="18" l="1"/>
  <c r="A386" i="18"/>
  <c r="B94" i="16"/>
  <c r="A93" i="16"/>
  <c r="F93" i="16"/>
  <c r="B386" i="18" l="1"/>
  <c r="A387" i="18"/>
  <c r="B95" i="16"/>
  <c r="F94" i="16"/>
  <c r="A94" i="16"/>
  <c r="B387" i="18" l="1"/>
  <c r="A388" i="18"/>
  <c r="B96" i="16"/>
  <c r="F95" i="16"/>
  <c r="A95" i="16"/>
  <c r="B388" i="18" l="1"/>
  <c r="A389" i="18"/>
  <c r="B97" i="16"/>
  <c r="A96" i="16"/>
  <c r="F96" i="16"/>
  <c r="B389" i="18" l="1"/>
  <c r="A390" i="18"/>
  <c r="B98" i="16"/>
  <c r="A97" i="16"/>
  <c r="F97" i="16"/>
  <c r="B390" i="18" l="1"/>
  <c r="A391" i="18"/>
  <c r="B99" i="16"/>
  <c r="A98" i="16"/>
  <c r="F98" i="16"/>
  <c r="B391" i="18" l="1"/>
  <c r="A392" i="18"/>
  <c r="B100" i="16"/>
  <c r="A99" i="16"/>
  <c r="F99" i="16"/>
  <c r="B392" i="18" l="1"/>
  <c r="A393" i="18"/>
  <c r="B101" i="16"/>
  <c r="F100" i="16"/>
  <c r="A100" i="16"/>
  <c r="B393" i="18" l="1"/>
  <c r="A394" i="18"/>
  <c r="B102" i="16"/>
  <c r="F101" i="16"/>
  <c r="A101" i="16"/>
  <c r="B394" i="18" l="1"/>
  <c r="A395" i="18"/>
  <c r="B103" i="16"/>
  <c r="F102" i="16"/>
  <c r="A102" i="16"/>
  <c r="B395" i="18" l="1"/>
  <c r="A396" i="18"/>
  <c r="B104" i="16"/>
  <c r="F103" i="16"/>
  <c r="A103" i="16"/>
  <c r="B396" i="18" l="1"/>
  <c r="A397" i="18"/>
  <c r="B105" i="16"/>
  <c r="A104" i="16"/>
  <c r="F104" i="16"/>
  <c r="B397" i="18" l="1"/>
  <c r="A398" i="18"/>
  <c r="B106" i="16"/>
  <c r="A105" i="16"/>
  <c r="F105" i="16"/>
  <c r="B398" i="18" l="1"/>
  <c r="A399" i="18"/>
  <c r="B107" i="16"/>
  <c r="A106" i="16"/>
  <c r="F106" i="16"/>
  <c r="B399" i="18" l="1"/>
  <c r="A400" i="18"/>
  <c r="B108" i="16"/>
  <c r="A107" i="16"/>
  <c r="F107" i="16"/>
  <c r="B400" i="18" l="1"/>
  <c r="A401" i="18"/>
  <c r="B109" i="16"/>
  <c r="A108" i="16"/>
  <c r="F108" i="16"/>
  <c r="B401" i="18" l="1"/>
  <c r="A402" i="18"/>
  <c r="B110" i="16"/>
  <c r="A109" i="16"/>
  <c r="F109" i="16"/>
  <c r="B402" i="18" l="1"/>
  <c r="A403" i="18"/>
  <c r="B111" i="16"/>
  <c r="A110" i="16"/>
  <c r="F110" i="16"/>
  <c r="B403" i="18" l="1"/>
  <c r="A404" i="18"/>
  <c r="B112" i="16"/>
  <c r="A111" i="16"/>
  <c r="F111" i="16"/>
  <c r="B404" i="18" l="1"/>
  <c r="A405" i="18"/>
  <c r="B113" i="16"/>
  <c r="F112" i="16"/>
  <c r="A112" i="16"/>
  <c r="B405" i="18" l="1"/>
  <c r="A406" i="18"/>
  <c r="B114" i="16"/>
  <c r="A113" i="16"/>
  <c r="F113" i="16"/>
  <c r="B406" i="18" l="1"/>
  <c r="A407" i="18"/>
  <c r="B115" i="16"/>
  <c r="F114" i="16"/>
  <c r="A114" i="16"/>
  <c r="B407" i="18" l="1"/>
  <c r="A408" i="18"/>
  <c r="B116" i="16"/>
  <c r="F115" i="16"/>
  <c r="A115" i="16"/>
  <c r="B408" i="18" l="1"/>
  <c r="A409" i="18"/>
  <c r="B117" i="16"/>
  <c r="F116" i="16"/>
  <c r="A116" i="16"/>
  <c r="B409" i="18" l="1"/>
  <c r="A410" i="18"/>
  <c r="B118" i="16"/>
  <c r="F117" i="16"/>
  <c r="A117" i="16"/>
  <c r="B410" i="18" l="1"/>
  <c r="A411" i="18"/>
  <c r="B119" i="16"/>
  <c r="A118" i="16"/>
  <c r="F118" i="16"/>
  <c r="B411" i="18" l="1"/>
  <c r="A412" i="18"/>
  <c r="B120" i="16"/>
  <c r="A119" i="16"/>
  <c r="F119" i="16"/>
  <c r="B412" i="18" l="1"/>
  <c r="A413" i="18"/>
  <c r="B121" i="16"/>
  <c r="A120" i="16"/>
  <c r="F120" i="16"/>
  <c r="B413" i="18" l="1"/>
  <c r="A414" i="18"/>
  <c r="B122" i="16"/>
  <c r="A121" i="16"/>
  <c r="F121" i="16"/>
  <c r="B414" i="18" l="1"/>
  <c r="A415" i="18"/>
  <c r="B123" i="16"/>
  <c r="A122" i="16"/>
  <c r="F122" i="16"/>
  <c r="B415" i="18" l="1"/>
  <c r="A416" i="18"/>
  <c r="B124" i="16"/>
  <c r="A123" i="16"/>
  <c r="F123" i="16"/>
  <c r="B416" i="18" l="1"/>
  <c r="A417" i="18"/>
  <c r="B125" i="16"/>
  <c r="F124" i="16"/>
  <c r="A124" i="16"/>
  <c r="B417" i="18" l="1"/>
  <c r="A418" i="18"/>
  <c r="B126" i="16"/>
  <c r="F125" i="16"/>
  <c r="A125" i="16"/>
  <c r="B418" i="18" l="1"/>
  <c r="A419" i="18"/>
  <c r="B127" i="16"/>
  <c r="F126" i="16"/>
  <c r="A126" i="16"/>
  <c r="B419" i="18" l="1"/>
  <c r="A420" i="18"/>
  <c r="B128" i="16"/>
  <c r="F127" i="16"/>
  <c r="A127" i="16"/>
  <c r="B420" i="18" l="1"/>
  <c r="A421" i="18"/>
  <c r="B129" i="16"/>
  <c r="A128" i="16"/>
  <c r="F128" i="16"/>
  <c r="B421" i="18" l="1"/>
  <c r="A422" i="18"/>
  <c r="B130" i="16"/>
  <c r="A129" i="16"/>
  <c r="F129" i="16"/>
  <c r="B422" i="18" l="1"/>
  <c r="A423" i="18"/>
  <c r="A130" i="16"/>
  <c r="F130" i="16"/>
  <c r="B423" i="18" l="1"/>
  <c r="A424" i="18"/>
  <c r="C4" i="14"/>
  <c r="C5" i="14"/>
  <c r="C6" i="14"/>
  <c r="C7" i="14"/>
  <c r="C8" i="14"/>
  <c r="C9" i="14"/>
  <c r="C10" i="14"/>
  <c r="C11" i="14"/>
  <c r="C12" i="14"/>
  <c r="C13" i="14"/>
  <c r="C14" i="14"/>
  <c r="C15" i="14"/>
  <c r="C16" i="14"/>
  <c r="C17" i="14"/>
  <c r="C18" i="14"/>
  <c r="C19" i="14"/>
  <c r="C20" i="14"/>
  <c r="C21" i="14"/>
  <c r="C22" i="14"/>
  <c r="C23" i="14"/>
  <c r="C24" i="14"/>
  <c r="C25" i="14"/>
  <c r="C26" i="14"/>
  <c r="C27" i="14"/>
  <c r="C28" i="14"/>
  <c r="C29" i="14"/>
  <c r="C30" i="14"/>
  <c r="C31" i="14"/>
  <c r="C32" i="14"/>
  <c r="C33" i="14"/>
  <c r="C34" i="14"/>
  <c r="C35" i="14"/>
  <c r="C36" i="14"/>
  <c r="C37" i="14"/>
  <c r="C38" i="14"/>
  <c r="C39" i="14"/>
  <c r="C40" i="14"/>
  <c r="C41" i="14"/>
  <c r="C42" i="14"/>
  <c r="C43" i="14"/>
  <c r="C44" i="14"/>
  <c r="C45" i="14"/>
  <c r="C46" i="14"/>
  <c r="C47" i="14"/>
  <c r="C48" i="14"/>
  <c r="C49" i="14"/>
  <c r="C50" i="14"/>
  <c r="C51" i="14"/>
  <c r="C52" i="14"/>
  <c r="C53" i="14"/>
  <c r="C54" i="14"/>
  <c r="C55" i="14"/>
  <c r="C56" i="14"/>
  <c r="C57" i="14"/>
  <c r="C58" i="14"/>
  <c r="C59" i="14"/>
  <c r="C60" i="14"/>
  <c r="C61" i="14"/>
  <c r="C62" i="14"/>
  <c r="C63" i="14"/>
  <c r="C64" i="14"/>
  <c r="C65" i="14"/>
  <c r="C66" i="14"/>
  <c r="C67" i="14"/>
  <c r="C68" i="14"/>
  <c r="C69" i="14"/>
  <c r="C70" i="14"/>
  <c r="C71" i="14"/>
  <c r="C72" i="14"/>
  <c r="C73" i="14"/>
  <c r="C74" i="14"/>
  <c r="C75" i="14"/>
  <c r="C76" i="14"/>
  <c r="C77" i="14"/>
  <c r="C78" i="14"/>
  <c r="C79" i="14"/>
  <c r="C80" i="14"/>
  <c r="C81" i="14"/>
  <c r="C82" i="14"/>
  <c r="C83" i="14"/>
  <c r="C84" i="14"/>
  <c r="C85" i="14"/>
  <c r="C86" i="14"/>
  <c r="C87" i="14"/>
  <c r="C88" i="14"/>
  <c r="C89" i="14"/>
  <c r="C90" i="14"/>
  <c r="C91" i="14"/>
  <c r="C92" i="14"/>
  <c r="C93" i="14"/>
  <c r="C94" i="14"/>
  <c r="C95" i="14"/>
  <c r="C96" i="14"/>
  <c r="C97" i="14"/>
  <c r="C98" i="14"/>
  <c r="C99" i="14"/>
  <c r="C100" i="14"/>
  <c r="C101" i="14"/>
  <c r="C102" i="14"/>
  <c r="C103" i="14"/>
  <c r="C104" i="14"/>
  <c r="C105" i="14"/>
  <c r="C106" i="14"/>
  <c r="C107" i="14"/>
  <c r="C108" i="14"/>
  <c r="C109" i="14"/>
  <c r="C110" i="14"/>
  <c r="C111" i="14"/>
  <c r="C112" i="14"/>
  <c r="C113" i="14"/>
  <c r="C114" i="14"/>
  <c r="C115" i="14"/>
  <c r="C116" i="14"/>
  <c r="C117" i="14"/>
  <c r="C118" i="14"/>
  <c r="C119" i="14"/>
  <c r="C120" i="14"/>
  <c r="C121" i="14"/>
  <c r="C122" i="14"/>
  <c r="C123" i="14"/>
  <c r="C124" i="14"/>
  <c r="C125" i="14"/>
  <c r="C126" i="14"/>
  <c r="C127" i="14"/>
  <c r="C128" i="14"/>
  <c r="C129" i="14"/>
  <c r="C130" i="14"/>
  <c r="C3" i="14"/>
  <c r="B4" i="14"/>
  <c r="B5" i="14"/>
  <c r="B6" i="14"/>
  <c r="B7" i="14"/>
  <c r="B8" i="14"/>
  <c r="B9" i="14"/>
  <c r="B10" i="14"/>
  <c r="B11" i="14"/>
  <c r="B12" i="14"/>
  <c r="B13" i="14"/>
  <c r="B14" i="14"/>
  <c r="B15" i="14"/>
  <c r="B16" i="14"/>
  <c r="B17" i="14"/>
  <c r="B18" i="14"/>
  <c r="B19" i="14"/>
  <c r="B20" i="14"/>
  <c r="B21" i="14"/>
  <c r="B22" i="14"/>
  <c r="B23" i="14"/>
  <c r="B24" i="14"/>
  <c r="B25" i="14"/>
  <c r="B26" i="14"/>
  <c r="B27" i="14"/>
  <c r="B28" i="14"/>
  <c r="B29" i="14"/>
  <c r="B30" i="14"/>
  <c r="B31" i="14"/>
  <c r="B32" i="14"/>
  <c r="B33" i="14"/>
  <c r="B34" i="14"/>
  <c r="B35" i="14"/>
  <c r="B36" i="14"/>
  <c r="B37" i="14"/>
  <c r="B38" i="14"/>
  <c r="B39" i="14"/>
  <c r="B40" i="14"/>
  <c r="B41" i="14"/>
  <c r="B42" i="14"/>
  <c r="B43" i="14"/>
  <c r="B44" i="14"/>
  <c r="B45" i="14"/>
  <c r="B46" i="14"/>
  <c r="B47" i="14"/>
  <c r="B48" i="14"/>
  <c r="B49" i="14"/>
  <c r="B50" i="14"/>
  <c r="B51" i="14"/>
  <c r="B52" i="14"/>
  <c r="B53" i="14"/>
  <c r="B54" i="14"/>
  <c r="B55" i="14"/>
  <c r="B56" i="14"/>
  <c r="B57" i="14"/>
  <c r="B58" i="14"/>
  <c r="B59" i="14"/>
  <c r="B60" i="14"/>
  <c r="B61" i="14"/>
  <c r="B62" i="14"/>
  <c r="B63" i="14"/>
  <c r="B64" i="14"/>
  <c r="B65" i="14"/>
  <c r="B66" i="14"/>
  <c r="B67" i="14"/>
  <c r="B68" i="14"/>
  <c r="B69" i="14"/>
  <c r="B70" i="14"/>
  <c r="B71" i="14"/>
  <c r="B72" i="14"/>
  <c r="B73" i="14"/>
  <c r="B74" i="14"/>
  <c r="B75" i="14"/>
  <c r="B76" i="14"/>
  <c r="B77" i="14"/>
  <c r="B78" i="14"/>
  <c r="B79" i="14"/>
  <c r="B80" i="14"/>
  <c r="B81" i="14"/>
  <c r="B82" i="14"/>
  <c r="B83" i="14"/>
  <c r="B84" i="14"/>
  <c r="B85" i="14"/>
  <c r="B86" i="14"/>
  <c r="B87" i="14"/>
  <c r="B88" i="14"/>
  <c r="B89" i="14"/>
  <c r="B90" i="14"/>
  <c r="B91" i="14"/>
  <c r="B92" i="14"/>
  <c r="B93" i="14"/>
  <c r="B94" i="14"/>
  <c r="B95" i="14"/>
  <c r="B96" i="14"/>
  <c r="B97" i="14"/>
  <c r="B98" i="14"/>
  <c r="B99" i="14"/>
  <c r="B100" i="14"/>
  <c r="B101" i="14"/>
  <c r="B102" i="14"/>
  <c r="B103" i="14"/>
  <c r="B104" i="14"/>
  <c r="B105" i="14"/>
  <c r="B106" i="14"/>
  <c r="B107" i="14"/>
  <c r="B108" i="14"/>
  <c r="B109" i="14"/>
  <c r="B110" i="14"/>
  <c r="B111" i="14"/>
  <c r="B112" i="14"/>
  <c r="B113" i="14"/>
  <c r="B114" i="14"/>
  <c r="B115" i="14"/>
  <c r="B116" i="14"/>
  <c r="B117" i="14"/>
  <c r="B118" i="14"/>
  <c r="B119" i="14"/>
  <c r="B120" i="14"/>
  <c r="B121" i="14"/>
  <c r="B122" i="14"/>
  <c r="B123" i="14"/>
  <c r="B124" i="14"/>
  <c r="B125" i="14"/>
  <c r="B126" i="14"/>
  <c r="B127" i="14"/>
  <c r="B128" i="14"/>
  <c r="B129" i="14"/>
  <c r="B130" i="14"/>
  <c r="B3" i="14"/>
  <c r="A129" i="14"/>
  <c r="A130" i="14"/>
  <c r="A5" i="14"/>
  <c r="A6" i="14" s="1"/>
  <c r="A7" i="14" s="1"/>
  <c r="A8" i="14" s="1"/>
  <c r="A9" i="14" s="1"/>
  <c r="A10" i="14" s="1"/>
  <c r="A11" i="14" s="1"/>
  <c r="A12" i="14" s="1"/>
  <c r="A13" i="14" s="1"/>
  <c r="A14" i="14" s="1"/>
  <c r="A15" i="14" s="1"/>
  <c r="A16" i="14" s="1"/>
  <c r="A17" i="14" s="1"/>
  <c r="A18" i="14" s="1"/>
  <c r="A19" i="14" s="1"/>
  <c r="A20" i="14" s="1"/>
  <c r="A21" i="14" s="1"/>
  <c r="A22" i="14" s="1"/>
  <c r="A23" i="14" s="1"/>
  <c r="A24" i="14" s="1"/>
  <c r="A25" i="14" s="1"/>
  <c r="A26" i="14" s="1"/>
  <c r="A27" i="14" s="1"/>
  <c r="A28" i="14" s="1"/>
  <c r="A29" i="14" s="1"/>
  <c r="A30" i="14" s="1"/>
  <c r="A31" i="14" s="1"/>
  <c r="A32" i="14" s="1"/>
  <c r="A33" i="14" s="1"/>
  <c r="A34" i="14" s="1"/>
  <c r="A35" i="14" s="1"/>
  <c r="A36" i="14" s="1"/>
  <c r="A37" i="14" s="1"/>
  <c r="A38" i="14" s="1"/>
  <c r="A39" i="14" s="1"/>
  <c r="A40" i="14" s="1"/>
  <c r="A41" i="14" s="1"/>
  <c r="A42" i="14" s="1"/>
  <c r="A43" i="14" s="1"/>
  <c r="A44" i="14" s="1"/>
  <c r="A45" i="14" s="1"/>
  <c r="A46" i="14" s="1"/>
  <c r="A47" i="14" s="1"/>
  <c r="A48" i="14" s="1"/>
  <c r="A49" i="14" s="1"/>
  <c r="A50" i="14" s="1"/>
  <c r="A51" i="14" s="1"/>
  <c r="A52" i="14" s="1"/>
  <c r="A53" i="14" s="1"/>
  <c r="A54" i="14" s="1"/>
  <c r="A55" i="14" s="1"/>
  <c r="A56" i="14" s="1"/>
  <c r="A57" i="14" s="1"/>
  <c r="A58" i="14" s="1"/>
  <c r="A59" i="14" s="1"/>
  <c r="A60" i="14" s="1"/>
  <c r="A61" i="14" s="1"/>
  <c r="A62" i="14" s="1"/>
  <c r="A63" i="14" s="1"/>
  <c r="A64" i="14" s="1"/>
  <c r="A65" i="14" s="1"/>
  <c r="A66" i="14" s="1"/>
  <c r="A67" i="14" s="1"/>
  <c r="A68" i="14" s="1"/>
  <c r="A69" i="14" s="1"/>
  <c r="A70" i="14" s="1"/>
  <c r="A71" i="14" s="1"/>
  <c r="A72" i="14" s="1"/>
  <c r="A73" i="14" s="1"/>
  <c r="A74" i="14" s="1"/>
  <c r="A75" i="14" s="1"/>
  <c r="A76" i="14" s="1"/>
  <c r="A77" i="14" s="1"/>
  <c r="A78" i="14" s="1"/>
  <c r="A79" i="14" s="1"/>
  <c r="A80" i="14" s="1"/>
  <c r="A81" i="14" s="1"/>
  <c r="A82" i="14" s="1"/>
  <c r="A83" i="14" s="1"/>
  <c r="A84" i="14" s="1"/>
  <c r="A85" i="14" s="1"/>
  <c r="A86" i="14" s="1"/>
  <c r="A87" i="14" s="1"/>
  <c r="A88" i="14" s="1"/>
  <c r="A89" i="14" s="1"/>
  <c r="A90" i="14" s="1"/>
  <c r="A91" i="14" s="1"/>
  <c r="A92" i="14" s="1"/>
  <c r="A93" i="14" s="1"/>
  <c r="A94" i="14" s="1"/>
  <c r="A95" i="14" s="1"/>
  <c r="A96" i="14" s="1"/>
  <c r="A97" i="14" s="1"/>
  <c r="A98" i="14" s="1"/>
  <c r="A99" i="14" s="1"/>
  <c r="A100" i="14" s="1"/>
  <c r="A101" i="14" s="1"/>
  <c r="A102" i="14" s="1"/>
  <c r="A103" i="14" s="1"/>
  <c r="A104" i="14" s="1"/>
  <c r="A105" i="14" s="1"/>
  <c r="A106" i="14" s="1"/>
  <c r="A107" i="14" s="1"/>
  <c r="A108" i="14" s="1"/>
  <c r="A109" i="14" s="1"/>
  <c r="A110" i="14" s="1"/>
  <c r="A111" i="14" s="1"/>
  <c r="A112" i="14" s="1"/>
  <c r="A113" i="14" s="1"/>
  <c r="A114" i="14" s="1"/>
  <c r="A115" i="14" s="1"/>
  <c r="A116" i="14" s="1"/>
  <c r="A117" i="14" s="1"/>
  <c r="A118" i="14" s="1"/>
  <c r="A119" i="14" s="1"/>
  <c r="A120" i="14" s="1"/>
  <c r="A121" i="14" s="1"/>
  <c r="A122" i="14" s="1"/>
  <c r="A123" i="14" s="1"/>
  <c r="A124" i="14" s="1"/>
  <c r="A125" i="14" s="1"/>
  <c r="A126" i="14" s="1"/>
  <c r="A127" i="14" s="1"/>
  <c r="A128" i="14" s="1"/>
  <c r="A4" i="14"/>
  <c r="B424" i="18" l="1"/>
  <c r="A425" i="18"/>
  <c r="C3" i="13"/>
  <c r="D3" i="13" s="1"/>
  <c r="D6" i="13" s="1"/>
  <c r="C6" i="13"/>
  <c r="C7" i="13"/>
  <c r="C8" i="13"/>
  <c r="C9" i="13"/>
  <c r="C10" i="13"/>
  <c r="C11" i="13"/>
  <c r="C12" i="13"/>
  <c r="C13" i="13"/>
  <c r="C14" i="13"/>
  <c r="C15" i="13"/>
  <c r="C16" i="13"/>
  <c r="C17" i="13"/>
  <c r="C18" i="13"/>
  <c r="C19" i="13"/>
  <c r="C20" i="13"/>
  <c r="C21" i="13"/>
  <c r="C22" i="13"/>
  <c r="C23" i="13"/>
  <c r="C24" i="13"/>
  <c r="C25" i="13"/>
  <c r="C26" i="13"/>
  <c r="C27" i="13"/>
  <c r="C28" i="13"/>
  <c r="C29" i="13"/>
  <c r="C30" i="13"/>
  <c r="C31" i="13"/>
  <c r="C32" i="13"/>
  <c r="C33" i="13"/>
  <c r="C34" i="13"/>
  <c r="C35" i="13"/>
  <c r="C36" i="13"/>
  <c r="C37" i="13"/>
  <c r="C38" i="13"/>
  <c r="C39" i="13"/>
  <c r="C40" i="13"/>
  <c r="C41" i="13"/>
  <c r="C42" i="13"/>
  <c r="C43" i="13"/>
  <c r="C44" i="13"/>
  <c r="C45" i="13"/>
  <c r="C46" i="13"/>
  <c r="C47" i="13"/>
  <c r="C48" i="13"/>
  <c r="C49" i="13"/>
  <c r="C50" i="13"/>
  <c r="C51" i="13"/>
  <c r="C52" i="13"/>
  <c r="C53" i="13"/>
  <c r="C54" i="13"/>
  <c r="C55" i="13"/>
  <c r="C56" i="13"/>
  <c r="C57" i="13"/>
  <c r="C58" i="13"/>
  <c r="C59" i="13"/>
  <c r="C60" i="13"/>
  <c r="C61" i="13"/>
  <c r="C62" i="13"/>
  <c r="C63" i="13"/>
  <c r="C64" i="13"/>
  <c r="C65" i="13"/>
  <c r="C66" i="13"/>
  <c r="C67" i="13"/>
  <c r="C68" i="13"/>
  <c r="C69" i="13"/>
  <c r="C70" i="13"/>
  <c r="C71" i="13"/>
  <c r="C72" i="13"/>
  <c r="C73" i="13"/>
  <c r="C74" i="13"/>
  <c r="C75" i="13"/>
  <c r="C76" i="13"/>
  <c r="C77" i="13"/>
  <c r="C78" i="13"/>
  <c r="C79" i="13"/>
  <c r="C80" i="13"/>
  <c r="C81" i="13"/>
  <c r="C82" i="13"/>
  <c r="C83" i="13"/>
  <c r="C84" i="13"/>
  <c r="C85" i="13"/>
  <c r="C86" i="13"/>
  <c r="C87" i="13"/>
  <c r="C88" i="13"/>
  <c r="C89" i="13"/>
  <c r="C90" i="13"/>
  <c r="C91" i="13"/>
  <c r="C92" i="13"/>
  <c r="C93" i="13"/>
  <c r="C94" i="13"/>
  <c r="C95" i="13"/>
  <c r="C96" i="13"/>
  <c r="C97" i="13"/>
  <c r="C98" i="13"/>
  <c r="C99" i="13"/>
  <c r="C100" i="13"/>
  <c r="C101" i="13"/>
  <c r="C102" i="13"/>
  <c r="C103" i="13"/>
  <c r="C104" i="13"/>
  <c r="C105" i="13"/>
  <c r="C106" i="13"/>
  <c r="C107" i="13"/>
  <c r="C108" i="13"/>
  <c r="C109" i="13"/>
  <c r="C110" i="13"/>
  <c r="C111" i="13"/>
  <c r="C112" i="13"/>
  <c r="C113" i="13"/>
  <c r="C114" i="13"/>
  <c r="C115" i="13"/>
  <c r="C116" i="13"/>
  <c r="C117" i="13"/>
  <c r="C118" i="13"/>
  <c r="C119" i="13"/>
  <c r="C120" i="13"/>
  <c r="C121" i="13"/>
  <c r="C122" i="13"/>
  <c r="C123" i="13"/>
  <c r="C124" i="13"/>
  <c r="C125" i="13"/>
  <c r="C126" i="13"/>
  <c r="C127" i="13"/>
  <c r="C128" i="13"/>
  <c r="C129" i="13"/>
  <c r="C130" i="13"/>
  <c r="C131" i="13"/>
  <c r="C132" i="13"/>
  <c r="C5" i="13"/>
  <c r="B6" i="13"/>
  <c r="B7" i="13"/>
  <c r="B8" i="13"/>
  <c r="B9" i="13"/>
  <c r="B10" i="13"/>
  <c r="B11" i="13"/>
  <c r="B12" i="13"/>
  <c r="B13" i="13"/>
  <c r="B14" i="13"/>
  <c r="B15" i="13"/>
  <c r="B16" i="13"/>
  <c r="B17" i="13"/>
  <c r="B18" i="13"/>
  <c r="B19" i="13"/>
  <c r="B20" i="13"/>
  <c r="B21" i="13"/>
  <c r="B22" i="13"/>
  <c r="B23" i="13"/>
  <c r="B24" i="13"/>
  <c r="B25" i="13"/>
  <c r="B26" i="13"/>
  <c r="B27" i="13"/>
  <c r="B28" i="13"/>
  <c r="B29" i="13"/>
  <c r="B30" i="13"/>
  <c r="B31" i="13"/>
  <c r="B32" i="13"/>
  <c r="B33" i="13"/>
  <c r="B34" i="13"/>
  <c r="B35" i="13"/>
  <c r="B36" i="13"/>
  <c r="B37" i="13"/>
  <c r="B38" i="13"/>
  <c r="B39" i="13"/>
  <c r="B40" i="13"/>
  <c r="B41" i="13"/>
  <c r="B42" i="13"/>
  <c r="B43" i="13"/>
  <c r="B44" i="13"/>
  <c r="B45" i="13"/>
  <c r="B46" i="13"/>
  <c r="B47" i="13"/>
  <c r="B48" i="13"/>
  <c r="B49" i="13"/>
  <c r="B50" i="13"/>
  <c r="B51" i="13"/>
  <c r="B52" i="13"/>
  <c r="B53" i="13"/>
  <c r="B54" i="13"/>
  <c r="B55" i="13"/>
  <c r="B56" i="13"/>
  <c r="B57" i="13"/>
  <c r="B58" i="13"/>
  <c r="B59" i="13"/>
  <c r="B60" i="13"/>
  <c r="B61" i="13"/>
  <c r="B62" i="13"/>
  <c r="B63" i="13"/>
  <c r="B64" i="13"/>
  <c r="B65" i="13"/>
  <c r="B66" i="13"/>
  <c r="B67" i="13"/>
  <c r="B68" i="13"/>
  <c r="B69" i="13"/>
  <c r="B70" i="13"/>
  <c r="B71" i="13"/>
  <c r="B72" i="13"/>
  <c r="B73" i="13"/>
  <c r="B74" i="13"/>
  <c r="B75" i="13"/>
  <c r="B76" i="13"/>
  <c r="B77" i="13"/>
  <c r="B78" i="13"/>
  <c r="B79" i="13"/>
  <c r="B80" i="13"/>
  <c r="B81" i="13"/>
  <c r="B82" i="13"/>
  <c r="B83" i="13"/>
  <c r="B84" i="13"/>
  <c r="B85" i="13"/>
  <c r="B86" i="13"/>
  <c r="B87" i="13"/>
  <c r="B88" i="13"/>
  <c r="B89" i="13"/>
  <c r="B90" i="13"/>
  <c r="B91" i="13"/>
  <c r="B92" i="13"/>
  <c r="B93" i="13"/>
  <c r="B94" i="13"/>
  <c r="B95" i="13"/>
  <c r="B96" i="13"/>
  <c r="B97" i="13"/>
  <c r="B98" i="13"/>
  <c r="B99" i="13"/>
  <c r="B100" i="13"/>
  <c r="B101" i="13"/>
  <c r="B102" i="13"/>
  <c r="B103" i="13"/>
  <c r="B104" i="13"/>
  <c r="B105" i="13"/>
  <c r="B106" i="13"/>
  <c r="B107" i="13"/>
  <c r="B108" i="13"/>
  <c r="B109" i="13"/>
  <c r="B110" i="13"/>
  <c r="B111" i="13"/>
  <c r="B112" i="13"/>
  <c r="B113" i="13"/>
  <c r="B114" i="13"/>
  <c r="B115" i="13"/>
  <c r="B116" i="13"/>
  <c r="B117" i="13"/>
  <c r="B118" i="13"/>
  <c r="B119" i="13"/>
  <c r="B120" i="13"/>
  <c r="B121" i="13"/>
  <c r="B122" i="13"/>
  <c r="B123" i="13"/>
  <c r="B124" i="13"/>
  <c r="B125" i="13"/>
  <c r="B126" i="13"/>
  <c r="B127" i="13"/>
  <c r="B128" i="13"/>
  <c r="B129" i="13"/>
  <c r="B130" i="13"/>
  <c r="B131" i="13"/>
  <c r="B132" i="13"/>
  <c r="B5" i="13"/>
  <c r="A130" i="13"/>
  <c r="A131" i="13"/>
  <c r="A132" i="13"/>
  <c r="A7" i="13"/>
  <c r="A8" i="13" s="1"/>
  <c r="A9" i="13" s="1"/>
  <c r="A10" i="13" s="1"/>
  <c r="A11" i="13" s="1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A37" i="13" s="1"/>
  <c r="A38" i="13" s="1"/>
  <c r="A39" i="13" s="1"/>
  <c r="A40" i="13" s="1"/>
  <c r="A41" i="13" s="1"/>
  <c r="A42" i="13" s="1"/>
  <c r="A43" i="13" s="1"/>
  <c r="A44" i="13" s="1"/>
  <c r="A45" i="13" s="1"/>
  <c r="A46" i="13" s="1"/>
  <c r="A47" i="13" s="1"/>
  <c r="A48" i="13" s="1"/>
  <c r="A49" i="13" s="1"/>
  <c r="A50" i="13" s="1"/>
  <c r="A51" i="13" s="1"/>
  <c r="A52" i="13" s="1"/>
  <c r="A53" i="13" s="1"/>
  <c r="A54" i="13" s="1"/>
  <c r="A55" i="13" s="1"/>
  <c r="A56" i="13" s="1"/>
  <c r="A57" i="13" s="1"/>
  <c r="A58" i="13" s="1"/>
  <c r="A59" i="13" s="1"/>
  <c r="A60" i="13" s="1"/>
  <c r="A61" i="13" s="1"/>
  <c r="A62" i="13" s="1"/>
  <c r="A63" i="13" s="1"/>
  <c r="A64" i="13" s="1"/>
  <c r="A65" i="13" s="1"/>
  <c r="A66" i="13" s="1"/>
  <c r="A67" i="13" s="1"/>
  <c r="A68" i="13" s="1"/>
  <c r="A69" i="13" s="1"/>
  <c r="A70" i="13" s="1"/>
  <c r="A71" i="13" s="1"/>
  <c r="A72" i="13" s="1"/>
  <c r="A73" i="13" s="1"/>
  <c r="A74" i="13" s="1"/>
  <c r="A75" i="13" s="1"/>
  <c r="A76" i="13" s="1"/>
  <c r="A77" i="13" s="1"/>
  <c r="A78" i="13" s="1"/>
  <c r="A79" i="13" s="1"/>
  <c r="A80" i="13" s="1"/>
  <c r="A81" i="13" s="1"/>
  <c r="A82" i="13" s="1"/>
  <c r="A83" i="13" s="1"/>
  <c r="A84" i="13" s="1"/>
  <c r="A85" i="13" s="1"/>
  <c r="A86" i="13" s="1"/>
  <c r="A87" i="13" s="1"/>
  <c r="A88" i="13" s="1"/>
  <c r="A89" i="13" s="1"/>
  <c r="A90" i="13" s="1"/>
  <c r="A91" i="13" s="1"/>
  <c r="A92" i="13" s="1"/>
  <c r="A93" i="13" s="1"/>
  <c r="A94" i="13" s="1"/>
  <c r="A95" i="13" s="1"/>
  <c r="A96" i="13" s="1"/>
  <c r="A97" i="13" s="1"/>
  <c r="A98" i="13" s="1"/>
  <c r="A99" i="13" s="1"/>
  <c r="A100" i="13" s="1"/>
  <c r="A101" i="13" s="1"/>
  <c r="A102" i="13" s="1"/>
  <c r="A103" i="13" s="1"/>
  <c r="A104" i="13" s="1"/>
  <c r="A105" i="13" s="1"/>
  <c r="A106" i="13" s="1"/>
  <c r="A107" i="13" s="1"/>
  <c r="A108" i="13" s="1"/>
  <c r="A109" i="13" s="1"/>
  <c r="A110" i="13" s="1"/>
  <c r="A111" i="13" s="1"/>
  <c r="A112" i="13" s="1"/>
  <c r="A113" i="13" s="1"/>
  <c r="A114" i="13" s="1"/>
  <c r="A115" i="13" s="1"/>
  <c r="A116" i="13" s="1"/>
  <c r="A117" i="13" s="1"/>
  <c r="A118" i="13" s="1"/>
  <c r="A119" i="13" s="1"/>
  <c r="A120" i="13" s="1"/>
  <c r="A121" i="13" s="1"/>
  <c r="A122" i="13" s="1"/>
  <c r="A123" i="13" s="1"/>
  <c r="A124" i="13" s="1"/>
  <c r="A125" i="13" s="1"/>
  <c r="A126" i="13" s="1"/>
  <c r="A127" i="13" s="1"/>
  <c r="A128" i="13" s="1"/>
  <c r="A129" i="13" s="1"/>
  <c r="A6" i="13"/>
  <c r="B425" i="18" l="1"/>
  <c r="A426" i="18"/>
  <c r="D46" i="13"/>
  <c r="D130" i="13"/>
  <c r="D45" i="13"/>
  <c r="D127" i="13"/>
  <c r="D105" i="13"/>
  <c r="D83" i="13"/>
  <c r="D63" i="13"/>
  <c r="D35" i="13"/>
  <c r="D125" i="13"/>
  <c r="D104" i="13"/>
  <c r="D82" i="13"/>
  <c r="D59" i="13"/>
  <c r="D34" i="13"/>
  <c r="D103" i="13"/>
  <c r="D58" i="13"/>
  <c r="D101" i="13"/>
  <c r="D57" i="13"/>
  <c r="D99" i="13"/>
  <c r="D23" i="13"/>
  <c r="D92" i="13"/>
  <c r="D123" i="13"/>
  <c r="D81" i="13"/>
  <c r="D33" i="13"/>
  <c r="D119" i="13"/>
  <c r="D80" i="13"/>
  <c r="D32" i="13"/>
  <c r="D118" i="13"/>
  <c r="D79" i="13"/>
  <c r="D56" i="13"/>
  <c r="D27" i="13"/>
  <c r="D117" i="13"/>
  <c r="D95" i="13"/>
  <c r="D77" i="13"/>
  <c r="D53" i="13"/>
  <c r="D116" i="13"/>
  <c r="D94" i="13"/>
  <c r="D75" i="13"/>
  <c r="D51" i="13"/>
  <c r="D22" i="13"/>
  <c r="D115" i="13"/>
  <c r="D93" i="13"/>
  <c r="D71" i="13"/>
  <c r="D47" i="13"/>
  <c r="D21" i="13"/>
  <c r="D20" i="13"/>
  <c r="D91" i="13"/>
  <c r="D113" i="13"/>
  <c r="D131" i="13"/>
  <c r="D70" i="13"/>
  <c r="D111" i="13"/>
  <c r="D69" i="13"/>
  <c r="D10" i="13"/>
  <c r="D129" i="13"/>
  <c r="D107" i="13"/>
  <c r="D89" i="13"/>
  <c r="D68" i="13"/>
  <c r="D44" i="13"/>
  <c r="D8" i="13"/>
  <c r="D128" i="13"/>
  <c r="D106" i="13"/>
  <c r="D87" i="13"/>
  <c r="D65" i="13"/>
  <c r="D39" i="13"/>
  <c r="D41" i="13"/>
  <c r="D29" i="13"/>
  <c r="D17" i="13"/>
  <c r="D124" i="13"/>
  <c r="D112" i="13"/>
  <c r="D100" i="13"/>
  <c r="D88" i="13"/>
  <c r="D76" i="13"/>
  <c r="D64" i="13"/>
  <c r="D52" i="13"/>
  <c r="D40" i="13"/>
  <c r="D28" i="13"/>
  <c r="D16" i="13"/>
  <c r="D15" i="13"/>
  <c r="D122" i="13"/>
  <c r="D110" i="13"/>
  <c r="D98" i="13"/>
  <c r="D86" i="13"/>
  <c r="D74" i="13"/>
  <c r="D62" i="13"/>
  <c r="D50" i="13"/>
  <c r="D38" i="13"/>
  <c r="D26" i="13"/>
  <c r="D14" i="13"/>
  <c r="D5" i="13"/>
  <c r="D121" i="13"/>
  <c r="D109" i="13"/>
  <c r="D97" i="13"/>
  <c r="D85" i="13"/>
  <c r="D73" i="13"/>
  <c r="D61" i="13"/>
  <c r="D49" i="13"/>
  <c r="D37" i="13"/>
  <c r="D25" i="13"/>
  <c r="D13" i="13"/>
  <c r="D132" i="13"/>
  <c r="D120" i="13"/>
  <c r="D108" i="13"/>
  <c r="D96" i="13"/>
  <c r="D84" i="13"/>
  <c r="D72" i="13"/>
  <c r="D60" i="13"/>
  <c r="D48" i="13"/>
  <c r="D36" i="13"/>
  <c r="D24" i="13"/>
  <c r="D12" i="13"/>
  <c r="D11" i="13"/>
  <c r="D9" i="13"/>
  <c r="D19" i="13"/>
  <c r="D67" i="13"/>
  <c r="D55" i="13"/>
  <c r="D43" i="13"/>
  <c r="D31" i="13"/>
  <c r="D7" i="13"/>
  <c r="D126" i="13"/>
  <c r="D114" i="13"/>
  <c r="D102" i="13"/>
  <c r="D90" i="13"/>
  <c r="D78" i="13"/>
  <c r="D66" i="13"/>
  <c r="D54" i="13"/>
  <c r="D42" i="13"/>
  <c r="D30" i="13"/>
  <c r="D18" i="13"/>
  <c r="B426" i="18" l="1"/>
  <c r="A427" i="18"/>
  <c r="D18" i="12"/>
  <c r="D19" i="12"/>
  <c r="D20" i="12"/>
  <c r="D21" i="12"/>
  <c r="D22" i="12"/>
  <c r="D17" i="12"/>
  <c r="C18" i="12"/>
  <c r="C19" i="12"/>
  <c r="C20" i="12"/>
  <c r="C21" i="12"/>
  <c r="C22" i="12"/>
  <c r="C17" i="12"/>
  <c r="D7" i="12"/>
  <c r="D8" i="12"/>
  <c r="D9" i="12"/>
  <c r="D10" i="12"/>
  <c r="D11" i="12"/>
  <c r="B9" i="12"/>
  <c r="B8" i="12"/>
  <c r="B7" i="12"/>
  <c r="B6" i="12"/>
  <c r="D6" i="12" s="1"/>
  <c r="C7" i="12"/>
  <c r="C8" i="12"/>
  <c r="C9" i="12"/>
  <c r="C10" i="12"/>
  <c r="C11" i="12"/>
  <c r="C6" i="12"/>
  <c r="B427" i="18" l="1"/>
  <c r="A428" i="18"/>
  <c r="V52" i="11"/>
  <c r="V44" i="11"/>
  <c r="U52" i="11"/>
  <c r="V54" i="11"/>
  <c r="V53" i="11"/>
  <c r="U53" i="11"/>
  <c r="U50" i="11"/>
  <c r="V50" i="11"/>
  <c r="U49" i="11"/>
  <c r="V49" i="11"/>
  <c r="V48" i="11"/>
  <c r="U48" i="11"/>
  <c r="U47" i="11"/>
  <c r="V47" i="11"/>
  <c r="U46" i="11"/>
  <c r="U45" i="11"/>
  <c r="V46" i="11"/>
  <c r="V45" i="11"/>
  <c r="U44" i="11"/>
  <c r="B428" i="18" l="1"/>
  <c r="A429" i="18"/>
  <c r="U38" i="11"/>
  <c r="U37" i="11"/>
  <c r="T38" i="11"/>
  <c r="T37" i="11"/>
  <c r="T36" i="11"/>
  <c r="U34" i="11"/>
  <c r="T34" i="11"/>
  <c r="S36" i="11"/>
  <c r="S42" i="11"/>
  <c r="S41" i="11"/>
  <c r="S40" i="11"/>
  <c r="S39" i="11"/>
  <c r="S38" i="11"/>
  <c r="S37" i="11"/>
  <c r="S35" i="11"/>
  <c r="S34" i="11"/>
  <c r="R42" i="11"/>
  <c r="R41" i="11"/>
  <c r="R40" i="11"/>
  <c r="R39" i="11"/>
  <c r="R38" i="11"/>
  <c r="R37" i="11"/>
  <c r="R36" i="11"/>
  <c r="R35" i="11"/>
  <c r="R34" i="11"/>
  <c r="V1" i="11"/>
  <c r="T1" i="11"/>
  <c r="S1" i="11"/>
  <c r="R1" i="11"/>
  <c r="B429" i="18" l="1"/>
  <c r="A430" i="18"/>
  <c r="O5" i="11"/>
  <c r="M1" i="11"/>
  <c r="L1" i="11"/>
  <c r="K1" i="11"/>
  <c r="J1" i="11"/>
  <c r="I1" i="11"/>
  <c r="H1" i="11"/>
  <c r="F1" i="11"/>
  <c r="G1" i="11"/>
  <c r="B430" i="18" l="1"/>
  <c r="A431" i="18"/>
  <c r="W20" i="11"/>
  <c r="U20" i="11"/>
  <c r="U16" i="11"/>
  <c r="Q31" i="11"/>
  <c r="Q17" i="11"/>
  <c r="Q5" i="11"/>
  <c r="F83" i="11"/>
  <c r="E83" i="11"/>
  <c r="G83" i="11" s="1"/>
  <c r="D83" i="11"/>
  <c r="C83" i="11"/>
  <c r="F82" i="11"/>
  <c r="E82" i="11"/>
  <c r="G82" i="11" s="1"/>
  <c r="D82" i="11"/>
  <c r="C82" i="11"/>
  <c r="F81" i="11"/>
  <c r="E81" i="11"/>
  <c r="G81" i="11" s="1"/>
  <c r="D81" i="11"/>
  <c r="C81" i="11"/>
  <c r="F80" i="11"/>
  <c r="E80" i="11"/>
  <c r="G80" i="11" s="1"/>
  <c r="D80" i="11"/>
  <c r="C80" i="11"/>
  <c r="F79" i="11"/>
  <c r="E79" i="11"/>
  <c r="G79" i="11" s="1"/>
  <c r="D79" i="11"/>
  <c r="C79" i="11"/>
  <c r="G78" i="11"/>
  <c r="F78" i="11"/>
  <c r="E78" i="11"/>
  <c r="D78" i="11"/>
  <c r="C78" i="11"/>
  <c r="G77" i="11"/>
  <c r="F77" i="11"/>
  <c r="E77" i="11"/>
  <c r="D77" i="11"/>
  <c r="C77" i="11"/>
  <c r="G76" i="11"/>
  <c r="F76" i="11"/>
  <c r="E76" i="11"/>
  <c r="D76" i="11"/>
  <c r="C76" i="11"/>
  <c r="F75" i="11"/>
  <c r="E75" i="11"/>
  <c r="G75" i="11" s="1"/>
  <c r="D75" i="11"/>
  <c r="C75" i="11"/>
  <c r="F74" i="11"/>
  <c r="E74" i="11"/>
  <c r="G74" i="11" s="1"/>
  <c r="D74" i="11"/>
  <c r="C74" i="11"/>
  <c r="F73" i="11"/>
  <c r="E73" i="11"/>
  <c r="G73" i="11" s="1"/>
  <c r="D73" i="11"/>
  <c r="C73" i="11"/>
  <c r="G72" i="11"/>
  <c r="F72" i="11"/>
  <c r="E72" i="11"/>
  <c r="D72" i="11"/>
  <c r="C72" i="11"/>
  <c r="F71" i="11"/>
  <c r="E71" i="11"/>
  <c r="G71" i="11" s="1"/>
  <c r="D71" i="11"/>
  <c r="C71" i="11"/>
  <c r="F70" i="11"/>
  <c r="E70" i="11"/>
  <c r="G70" i="11" s="1"/>
  <c r="D70" i="11"/>
  <c r="C70" i="11"/>
  <c r="G69" i="11"/>
  <c r="F69" i="11"/>
  <c r="E69" i="11"/>
  <c r="D69" i="11"/>
  <c r="C69" i="11"/>
  <c r="F68" i="11"/>
  <c r="E68" i="11"/>
  <c r="G68" i="11" s="1"/>
  <c r="D68" i="11"/>
  <c r="C68" i="11"/>
  <c r="F67" i="11"/>
  <c r="E67" i="11"/>
  <c r="G67" i="11" s="1"/>
  <c r="D67" i="11"/>
  <c r="C67" i="11"/>
  <c r="G66" i="11"/>
  <c r="F66" i="11"/>
  <c r="E66" i="11"/>
  <c r="D66" i="11"/>
  <c r="C66" i="11"/>
  <c r="G65" i="11"/>
  <c r="F65" i="11"/>
  <c r="E65" i="11"/>
  <c r="D65" i="11"/>
  <c r="C65" i="11"/>
  <c r="G64" i="11"/>
  <c r="F64" i="11"/>
  <c r="E64" i="11"/>
  <c r="D64" i="11"/>
  <c r="C64" i="11"/>
  <c r="F63" i="11"/>
  <c r="E63" i="11"/>
  <c r="G63" i="11" s="1"/>
  <c r="D63" i="11"/>
  <c r="C63" i="11"/>
  <c r="F62" i="11"/>
  <c r="E62" i="11"/>
  <c r="G62" i="11" s="1"/>
  <c r="D62" i="11"/>
  <c r="C62" i="11"/>
  <c r="F61" i="11"/>
  <c r="E61" i="11"/>
  <c r="G61" i="11" s="1"/>
  <c r="D61" i="11"/>
  <c r="C61" i="11"/>
  <c r="G60" i="11"/>
  <c r="F60" i="11"/>
  <c r="E60" i="11"/>
  <c r="D60" i="11"/>
  <c r="C60" i="11"/>
  <c r="F59" i="11"/>
  <c r="E59" i="11"/>
  <c r="G59" i="11" s="1"/>
  <c r="D59" i="11"/>
  <c r="C59" i="11"/>
  <c r="F58" i="11"/>
  <c r="E58" i="11"/>
  <c r="G58" i="11" s="1"/>
  <c r="D58" i="11"/>
  <c r="C58" i="11"/>
  <c r="G57" i="11"/>
  <c r="F57" i="11"/>
  <c r="E57" i="11"/>
  <c r="D57" i="11"/>
  <c r="C57" i="11"/>
  <c r="O31" i="11"/>
  <c r="B31" i="11"/>
  <c r="O30" i="11"/>
  <c r="B30" i="11"/>
  <c r="O29" i="11"/>
  <c r="B29" i="11"/>
  <c r="O28" i="11"/>
  <c r="B28" i="11"/>
  <c r="O27" i="11"/>
  <c r="B27" i="11"/>
  <c r="O26" i="11"/>
  <c r="B26" i="11"/>
  <c r="O25" i="11"/>
  <c r="B25" i="11"/>
  <c r="O24" i="11"/>
  <c r="B24" i="11"/>
  <c r="O23" i="11"/>
  <c r="B23" i="11"/>
  <c r="O22" i="11"/>
  <c r="B22" i="11"/>
  <c r="O21" i="11"/>
  <c r="B21" i="11"/>
  <c r="O20" i="11"/>
  <c r="B20" i="11"/>
  <c r="W19" i="11"/>
  <c r="U19" i="11"/>
  <c r="O19" i="11"/>
  <c r="B19" i="11"/>
  <c r="U18" i="11"/>
  <c r="O18" i="11"/>
  <c r="B18" i="11"/>
  <c r="W18" i="11" s="1"/>
  <c r="O17" i="11"/>
  <c r="B17" i="11"/>
  <c r="W17" i="11" s="1"/>
  <c r="W16" i="11"/>
  <c r="O16" i="11"/>
  <c r="B16" i="11"/>
  <c r="U15" i="11"/>
  <c r="O15" i="11"/>
  <c r="B15" i="11"/>
  <c r="W15" i="11" s="1"/>
  <c r="O14" i="11"/>
  <c r="B14" i="11"/>
  <c r="W14" i="11" s="1"/>
  <c r="W13" i="11"/>
  <c r="U13" i="11"/>
  <c r="O13" i="11"/>
  <c r="B13" i="11"/>
  <c r="U12" i="11"/>
  <c r="O12" i="11"/>
  <c r="B12" i="11"/>
  <c r="W12" i="11" s="1"/>
  <c r="O11" i="11"/>
  <c r="B11" i="11"/>
  <c r="O10" i="11"/>
  <c r="B10" i="11"/>
  <c r="O9" i="11"/>
  <c r="B9" i="11"/>
  <c r="O8" i="11"/>
  <c r="B8" i="11"/>
  <c r="O7" i="11"/>
  <c r="B7" i="11"/>
  <c r="O6" i="11"/>
  <c r="B6" i="11"/>
  <c r="T5" i="11"/>
  <c r="S5" i="11"/>
  <c r="R5" i="11"/>
  <c r="B5" i="11"/>
  <c r="W5" i="11" s="1"/>
  <c r="AF2" i="11"/>
  <c r="AE2" i="11"/>
  <c r="AD2" i="11"/>
  <c r="AC2" i="11"/>
  <c r="AB2" i="11"/>
  <c r="AA2" i="11"/>
  <c r="Z2" i="11"/>
  <c r="Y2" i="11"/>
  <c r="X2" i="11"/>
  <c r="V2" i="11"/>
  <c r="T2" i="11"/>
  <c r="S2" i="11"/>
  <c r="R2" i="11"/>
  <c r="O2" i="11"/>
  <c r="N2" i="11"/>
  <c r="M2" i="11"/>
  <c r="L2" i="11"/>
  <c r="K2" i="11"/>
  <c r="J2" i="11"/>
  <c r="I2" i="11"/>
  <c r="H2" i="11"/>
  <c r="G2" i="11"/>
  <c r="F2" i="11"/>
  <c r="E2" i="11"/>
  <c r="D2" i="11"/>
  <c r="C2" i="11"/>
  <c r="B431" i="18" l="1"/>
  <c r="A432" i="18"/>
  <c r="U5" i="11"/>
  <c r="U14" i="11"/>
  <c r="U17" i="11"/>
  <c r="B432" i="18" l="1"/>
  <c r="A433" i="18"/>
  <c r="AV57" i="10"/>
  <c r="AV56" i="10"/>
  <c r="AV55" i="10"/>
  <c r="AV54" i="10"/>
  <c r="AV53" i="10"/>
  <c r="AV52" i="10"/>
  <c r="AV51" i="10"/>
  <c r="AV50" i="10"/>
  <c r="AP76" i="10"/>
  <c r="AP75" i="10"/>
  <c r="AP74" i="10"/>
  <c r="AP73" i="10"/>
  <c r="AP72" i="10"/>
  <c r="AP71" i="10"/>
  <c r="AP70" i="10"/>
  <c r="AP69" i="10"/>
  <c r="S156" i="10"/>
  <c r="S157" i="10"/>
  <c r="S158" i="10"/>
  <c r="S159" i="10"/>
  <c r="S160" i="10"/>
  <c r="S161" i="10"/>
  <c r="S162" i="10"/>
  <c r="S155" i="10"/>
  <c r="I4" i="10"/>
  <c r="I67" i="10"/>
  <c r="I99" i="10"/>
  <c r="I107" i="10"/>
  <c r="I115" i="10"/>
  <c r="I121" i="10"/>
  <c r="I125" i="10"/>
  <c r="I126" i="10"/>
  <c r="I127" i="10"/>
  <c r="I128" i="10"/>
  <c r="I129" i="10"/>
  <c r="I130" i="10"/>
  <c r="I131" i="10"/>
  <c r="J131" i="10"/>
  <c r="U4" i="10"/>
  <c r="U5" i="10"/>
  <c r="U6" i="10"/>
  <c r="U7" i="10"/>
  <c r="U8" i="10"/>
  <c r="U9" i="10"/>
  <c r="U10" i="10"/>
  <c r="U11" i="10"/>
  <c r="U19" i="10"/>
  <c r="U35" i="10"/>
  <c r="U51" i="10"/>
  <c r="U67" i="10"/>
  <c r="U83" i="10"/>
  <c r="U99" i="10"/>
  <c r="U115" i="10"/>
  <c r="U130" i="10"/>
  <c r="U131" i="10"/>
  <c r="G4" i="10"/>
  <c r="G19" i="10"/>
  <c r="G67" i="10"/>
  <c r="G99" i="10"/>
  <c r="G115" i="10"/>
  <c r="G123" i="10"/>
  <c r="G126" i="10"/>
  <c r="G127" i="10"/>
  <c r="G128" i="10"/>
  <c r="G129" i="10"/>
  <c r="G130" i="10"/>
  <c r="G131" i="10"/>
  <c r="F3" i="10"/>
  <c r="B433" i="18" l="1"/>
  <c r="A434" i="18"/>
  <c r="AA7" i="10"/>
  <c r="AA4" i="10"/>
  <c r="AA11" i="10"/>
  <c r="AA19" i="10"/>
  <c r="AA35" i="10"/>
  <c r="AA51" i="10"/>
  <c r="AA67" i="10"/>
  <c r="AA83" i="10"/>
  <c r="AA99" i="10"/>
  <c r="AA115" i="10"/>
  <c r="AA130" i="10"/>
  <c r="O4" i="10"/>
  <c r="O11" i="10"/>
  <c r="O19" i="10"/>
  <c r="O35" i="10"/>
  <c r="O51" i="10"/>
  <c r="O67" i="10"/>
  <c r="O75" i="10"/>
  <c r="O83" i="10"/>
  <c r="O91" i="10"/>
  <c r="O99" i="10"/>
  <c r="O107" i="10"/>
  <c r="O115" i="10"/>
  <c r="O119" i="10"/>
  <c r="O123" i="10"/>
  <c r="O127" i="10"/>
  <c r="O130" i="10"/>
  <c r="B434" i="18" l="1"/>
  <c r="A435" i="18"/>
  <c r="Y131" i="10"/>
  <c r="Y4" i="10"/>
  <c r="Y11" i="10"/>
  <c r="Y19" i="10"/>
  <c r="Y35" i="10"/>
  <c r="Y51" i="10"/>
  <c r="Y67" i="10"/>
  <c r="Y83" i="10"/>
  <c r="Y99" i="10"/>
  <c r="Y115" i="10"/>
  <c r="Y130" i="10"/>
  <c r="J134" i="10"/>
  <c r="M1" i="10"/>
  <c r="Q4" i="10"/>
  <c r="X4" i="10"/>
  <c r="X11" i="10"/>
  <c r="X19" i="10"/>
  <c r="X35" i="10"/>
  <c r="X51" i="10"/>
  <c r="X67" i="10"/>
  <c r="X83" i="10"/>
  <c r="X130" i="10"/>
  <c r="Q130" i="10"/>
  <c r="X115" i="10"/>
  <c r="Q115" i="10"/>
  <c r="X99" i="10"/>
  <c r="Q99" i="10"/>
  <c r="Q83" i="10"/>
  <c r="Q67" i="10"/>
  <c r="Q51" i="10"/>
  <c r="Q35" i="10"/>
  <c r="Q19" i="10"/>
  <c r="L4" i="10"/>
  <c r="L11" i="10"/>
  <c r="L19" i="10"/>
  <c r="L35" i="10"/>
  <c r="L51" i="10"/>
  <c r="L67" i="10"/>
  <c r="L75" i="10"/>
  <c r="L83" i="10"/>
  <c r="L91" i="10"/>
  <c r="L99" i="10"/>
  <c r="L115" i="10"/>
  <c r="L119" i="10"/>
  <c r="L123" i="10"/>
  <c r="L127" i="10"/>
  <c r="L130" i="10"/>
  <c r="AQ4" i="10"/>
  <c r="AQ5" i="10"/>
  <c r="AQ6" i="10"/>
  <c r="AQ7" i="10"/>
  <c r="AQ8" i="10"/>
  <c r="AQ9" i="10"/>
  <c r="AP7" i="10"/>
  <c r="AP4" i="10"/>
  <c r="AP9" i="10"/>
  <c r="AP5" i="10"/>
  <c r="AP8" i="10"/>
  <c r="B435" i="18" l="1"/>
  <c r="A436" i="18"/>
  <c r="H3" i="10"/>
  <c r="K3" i="10"/>
  <c r="N3" i="10"/>
  <c r="P3" i="10"/>
  <c r="S3" i="10"/>
  <c r="T3" i="10"/>
  <c r="W3" i="10"/>
  <c r="Z3" i="10"/>
  <c r="D3" i="10"/>
  <c r="A5" i="10"/>
  <c r="B5" i="10" s="1"/>
  <c r="B4" i="10"/>
  <c r="B436" i="18" l="1"/>
  <c r="A437" i="18"/>
  <c r="J11" i="10"/>
  <c r="J127" i="10"/>
  <c r="J99" i="10"/>
  <c r="J4" i="10"/>
  <c r="J19" i="10"/>
  <c r="J91" i="10"/>
  <c r="J119" i="10"/>
  <c r="J123" i="10"/>
  <c r="J35" i="10"/>
  <c r="J130" i="10"/>
  <c r="J51" i="10"/>
  <c r="J67" i="10"/>
  <c r="J75" i="10"/>
  <c r="J83" i="10"/>
  <c r="J115" i="10"/>
  <c r="R130" i="10"/>
  <c r="R115" i="10"/>
  <c r="R99" i="10"/>
  <c r="R83" i="10"/>
  <c r="R67" i="10"/>
  <c r="R51" i="10"/>
  <c r="R35" i="10"/>
  <c r="R19" i="10"/>
  <c r="R4" i="10"/>
  <c r="R131" i="10"/>
  <c r="V131" i="10"/>
  <c r="V4" i="10"/>
  <c r="V11" i="10"/>
  <c r="V19" i="10"/>
  <c r="V35" i="10"/>
  <c r="V51" i="10"/>
  <c r="V67" i="10"/>
  <c r="V130" i="10"/>
  <c r="V115" i="10"/>
  <c r="V83" i="10"/>
  <c r="V99" i="10"/>
  <c r="M123" i="10"/>
  <c r="M67" i="10"/>
  <c r="M75" i="10"/>
  <c r="M83" i="10"/>
  <c r="M91" i="10"/>
  <c r="M99" i="10"/>
  <c r="M115" i="10"/>
  <c r="M127" i="10"/>
  <c r="M19" i="10"/>
  <c r="M131" i="10"/>
  <c r="M51" i="10"/>
  <c r="M119" i="10"/>
  <c r="M4" i="10"/>
  <c r="M11" i="10"/>
  <c r="M130" i="10"/>
  <c r="M35" i="10"/>
  <c r="A6" i="10"/>
  <c r="A7" i="10" s="1"/>
  <c r="A8" i="10" s="1"/>
  <c r="E3" i="5"/>
  <c r="I1" i="5"/>
  <c r="J1" i="5"/>
  <c r="K1" i="5"/>
  <c r="L1" i="5"/>
  <c r="M1" i="5"/>
  <c r="N1" i="5"/>
  <c r="O1" i="5"/>
  <c r="P1" i="5"/>
  <c r="R1" i="5"/>
  <c r="T1" i="5"/>
  <c r="V1" i="5"/>
  <c r="X1" i="5"/>
  <c r="Z1" i="5"/>
  <c r="AB1" i="5"/>
  <c r="AD1" i="5"/>
  <c r="AF1" i="5"/>
  <c r="AH1" i="5"/>
  <c r="AI1" i="5"/>
  <c r="AK1" i="5"/>
  <c r="AL1" i="5"/>
  <c r="AN1" i="5"/>
  <c r="AP1" i="5"/>
  <c r="AR1" i="5"/>
  <c r="AT1" i="5"/>
  <c r="AU1" i="5"/>
  <c r="AV1" i="5"/>
  <c r="AW1" i="5"/>
  <c r="AX1" i="5"/>
  <c r="AY1" i="5"/>
  <c r="AZ1" i="5"/>
  <c r="BA1" i="5"/>
  <c r="H1" i="5"/>
  <c r="B437" i="18" l="1"/>
  <c r="A438" i="18"/>
  <c r="B6" i="10"/>
  <c r="B7" i="10"/>
  <c r="A9" i="10"/>
  <c r="B8" i="10"/>
  <c r="E34" i="5"/>
  <c r="E35" i="5"/>
  <c r="E10" i="5"/>
  <c r="E106" i="5"/>
  <c r="E96" i="5"/>
  <c r="E108" i="5"/>
  <c r="E4" i="5"/>
  <c r="E109" i="5"/>
  <c r="E121" i="5"/>
  <c r="E26" i="5"/>
  <c r="E86" i="5"/>
  <c r="E15" i="5"/>
  <c r="E39" i="5"/>
  <c r="E63" i="5"/>
  <c r="E64" i="5"/>
  <c r="E76" i="5"/>
  <c r="E100" i="5"/>
  <c r="E77" i="5"/>
  <c r="E89" i="5"/>
  <c r="E113" i="5"/>
  <c r="E90" i="5"/>
  <c r="E102" i="5"/>
  <c r="E126" i="5"/>
  <c r="E103" i="5"/>
  <c r="E115" i="5"/>
  <c r="E131" i="5"/>
  <c r="E23" i="5"/>
  <c r="E58" i="5"/>
  <c r="E57" i="5"/>
  <c r="E128" i="5"/>
  <c r="E22" i="5"/>
  <c r="E93" i="5"/>
  <c r="E118" i="5"/>
  <c r="D3" i="5"/>
  <c r="B438" i="18" l="1"/>
  <c r="A439" i="18"/>
  <c r="A10" i="10"/>
  <c r="B9" i="10"/>
  <c r="E94" i="5"/>
  <c r="E91" i="5"/>
  <c r="E78" i="5"/>
  <c r="E65" i="5"/>
  <c r="E52" i="5"/>
  <c r="E122" i="5"/>
  <c r="E97" i="5"/>
  <c r="E84" i="5"/>
  <c r="E45" i="5"/>
  <c r="E8" i="5"/>
  <c r="E59" i="5"/>
  <c r="E32" i="5"/>
  <c r="E79" i="5"/>
  <c r="E66" i="5"/>
  <c r="E53" i="5"/>
  <c r="E40" i="5"/>
  <c r="E110" i="5"/>
  <c r="E85" i="5"/>
  <c r="E72" i="5"/>
  <c r="E71" i="5"/>
  <c r="E44" i="5"/>
  <c r="E95" i="5"/>
  <c r="E68" i="5"/>
  <c r="E67" i="5"/>
  <c r="E54" i="5"/>
  <c r="E41" i="5"/>
  <c r="E28" i="5"/>
  <c r="E98" i="5"/>
  <c r="E73" i="5"/>
  <c r="E60" i="5"/>
  <c r="E81" i="5"/>
  <c r="E80" i="5"/>
  <c r="E104" i="5"/>
  <c r="E42" i="5"/>
  <c r="E61" i="5"/>
  <c r="E48" i="5"/>
  <c r="E107" i="5"/>
  <c r="E55" i="5"/>
  <c r="E111" i="5"/>
  <c r="E20" i="5"/>
  <c r="E130" i="5"/>
  <c r="E43" i="5"/>
  <c r="E30" i="5"/>
  <c r="E17" i="5"/>
  <c r="E99" i="5"/>
  <c r="E74" i="5"/>
  <c r="E49" i="5"/>
  <c r="E36" i="5"/>
  <c r="E116" i="5"/>
  <c r="E11" i="5"/>
  <c r="E56" i="5"/>
  <c r="E33" i="5"/>
  <c r="E31" i="5"/>
  <c r="E18" i="5"/>
  <c r="E5" i="5"/>
  <c r="E27" i="5"/>
  <c r="E62" i="5"/>
  <c r="E37" i="5"/>
  <c r="E24" i="5"/>
  <c r="E82" i="5"/>
  <c r="E29" i="5"/>
  <c r="E47" i="5"/>
  <c r="E92" i="5"/>
  <c r="E69" i="5"/>
  <c r="E19" i="5"/>
  <c r="E6" i="5"/>
  <c r="E124" i="5"/>
  <c r="E87" i="5"/>
  <c r="E50" i="5"/>
  <c r="E25" i="5"/>
  <c r="E12" i="5"/>
  <c r="E117" i="5"/>
  <c r="E129" i="5"/>
  <c r="E16" i="5"/>
  <c r="E83" i="5"/>
  <c r="E119" i="5"/>
  <c r="E105" i="5"/>
  <c r="E7" i="5"/>
  <c r="E125" i="5"/>
  <c r="E112" i="5"/>
  <c r="E75" i="5"/>
  <c r="E38" i="5"/>
  <c r="E13" i="5"/>
  <c r="E70" i="5"/>
  <c r="E46" i="5"/>
  <c r="E21" i="5"/>
  <c r="E123" i="5"/>
  <c r="E127" i="5"/>
  <c r="E114" i="5"/>
  <c r="E101" i="5"/>
  <c r="E88" i="5"/>
  <c r="E51" i="5"/>
  <c r="E14" i="5"/>
  <c r="E120" i="5"/>
  <c r="E9" i="5"/>
  <c r="D16" i="5"/>
  <c r="D28" i="5"/>
  <c r="D40" i="5"/>
  <c r="D52" i="5"/>
  <c r="D64" i="5"/>
  <c r="D5" i="5"/>
  <c r="D17" i="5"/>
  <c r="D29" i="5"/>
  <c r="D41" i="5"/>
  <c r="D53" i="5"/>
  <c r="D65" i="5"/>
  <c r="D77" i="5"/>
  <c r="D89" i="5"/>
  <c r="D101" i="5"/>
  <c r="D113" i="5"/>
  <c r="D125" i="5"/>
  <c r="D6" i="5"/>
  <c r="D18" i="5"/>
  <c r="D30" i="5"/>
  <c r="D42" i="5"/>
  <c r="D54" i="5"/>
  <c r="D66" i="5"/>
  <c r="D78" i="5"/>
  <c r="D90" i="5"/>
  <c r="D102" i="5"/>
  <c r="D114" i="5"/>
  <c r="D126" i="5"/>
  <c r="D8" i="5"/>
  <c r="D20" i="5"/>
  <c r="D32" i="5"/>
  <c r="D44" i="5"/>
  <c r="D56" i="5"/>
  <c r="D68" i="5"/>
  <c r="D80" i="5"/>
  <c r="D92" i="5"/>
  <c r="D104" i="5"/>
  <c r="D116" i="5"/>
  <c r="D128" i="5"/>
  <c r="D9" i="5"/>
  <c r="D21" i="5"/>
  <c r="D33" i="5"/>
  <c r="D45" i="5"/>
  <c r="D57" i="5"/>
  <c r="D69" i="5"/>
  <c r="D81" i="5"/>
  <c r="D93" i="5"/>
  <c r="D105" i="5"/>
  <c r="D117" i="5"/>
  <c r="D129" i="5"/>
  <c r="D10" i="5"/>
  <c r="D22" i="5"/>
  <c r="D34" i="5"/>
  <c r="D46" i="5"/>
  <c r="D58" i="5"/>
  <c r="D70" i="5"/>
  <c r="D82" i="5"/>
  <c r="D94" i="5"/>
  <c r="D106" i="5"/>
  <c r="D118" i="5"/>
  <c r="D130" i="5"/>
  <c r="D11" i="5"/>
  <c r="D23" i="5"/>
  <c r="D35" i="5"/>
  <c r="D47" i="5"/>
  <c r="D59" i="5"/>
  <c r="D71" i="5"/>
  <c r="D83" i="5"/>
  <c r="D95" i="5"/>
  <c r="D107" i="5"/>
  <c r="D13" i="5"/>
  <c r="D39" i="5"/>
  <c r="D72" i="5"/>
  <c r="D96" i="5"/>
  <c r="D119" i="5"/>
  <c r="D14" i="5"/>
  <c r="D98" i="5"/>
  <c r="D19" i="5"/>
  <c r="D49" i="5"/>
  <c r="D75" i="5"/>
  <c r="D99" i="5"/>
  <c r="D122" i="5"/>
  <c r="D25" i="5"/>
  <c r="D79" i="5"/>
  <c r="D103" i="5"/>
  <c r="D55" i="5"/>
  <c r="D84" i="5"/>
  <c r="D127" i="5"/>
  <c r="D85" i="5"/>
  <c r="D131" i="5"/>
  <c r="D61" i="5"/>
  <c r="D110" i="5"/>
  <c r="D112" i="5"/>
  <c r="D73" i="5"/>
  <c r="D121" i="5"/>
  <c r="D24" i="5"/>
  <c r="D50" i="5"/>
  <c r="D76" i="5"/>
  <c r="D100" i="5"/>
  <c r="D123" i="5"/>
  <c r="D51" i="5"/>
  <c r="D124" i="5"/>
  <c r="D26" i="5"/>
  <c r="D108" i="5"/>
  <c r="D27" i="5"/>
  <c r="D109" i="5"/>
  <c r="D31" i="5"/>
  <c r="D4" i="5"/>
  <c r="D12" i="5"/>
  <c r="D115" i="5"/>
  <c r="D43" i="5"/>
  <c r="D120" i="5"/>
  <c r="D48" i="5"/>
  <c r="D60" i="5"/>
  <c r="D86" i="5"/>
  <c r="D88" i="5"/>
  <c r="D97" i="5"/>
  <c r="D15" i="5"/>
  <c r="D36" i="5"/>
  <c r="D62" i="5"/>
  <c r="D87" i="5"/>
  <c r="D111" i="5"/>
  <c r="D63" i="5"/>
  <c r="D38" i="5"/>
  <c r="D91" i="5"/>
  <c r="D74" i="5"/>
  <c r="D7" i="5"/>
  <c r="D37" i="5"/>
  <c r="D67" i="5"/>
  <c r="B439" i="18" l="1"/>
  <c r="A440" i="18"/>
  <c r="A11" i="10"/>
  <c r="B10" i="10"/>
  <c r="B42" i="4"/>
  <c r="C42" i="4"/>
  <c r="D52" i="4"/>
  <c r="D51" i="4"/>
  <c r="C51" i="4"/>
  <c r="D50" i="4"/>
  <c r="C50" i="4"/>
  <c r="D49" i="4"/>
  <c r="C49" i="4"/>
  <c r="D48" i="4"/>
  <c r="C48" i="4"/>
  <c r="D47" i="4"/>
  <c r="C47" i="4"/>
  <c r="D46" i="4"/>
  <c r="C46" i="4"/>
  <c r="D45" i="4"/>
  <c r="C45" i="4"/>
  <c r="D44" i="4"/>
  <c r="C44" i="4"/>
  <c r="D43" i="4"/>
  <c r="C43" i="4"/>
  <c r="D41" i="4"/>
  <c r="C41" i="4"/>
  <c r="D40" i="4"/>
  <c r="C40" i="4"/>
  <c r="A30" i="4"/>
  <c r="A31" i="4" s="1"/>
  <c r="D29" i="4"/>
  <c r="C29" i="4"/>
  <c r="B440" i="18" l="1"/>
  <c r="A441" i="18"/>
  <c r="B11" i="10"/>
  <c r="A12" i="10"/>
  <c r="A32" i="4"/>
  <c r="D31" i="4"/>
  <c r="C31" i="4"/>
  <c r="C30" i="4"/>
  <c r="D30" i="4"/>
  <c r="B441" i="18" l="1"/>
  <c r="A442" i="18"/>
  <c r="A13" i="10"/>
  <c r="B12" i="10"/>
  <c r="A33" i="4"/>
  <c r="D32" i="4"/>
  <c r="C32" i="4"/>
  <c r="B442" i="18" l="1"/>
  <c r="A443" i="18"/>
  <c r="A14" i="10"/>
  <c r="B13" i="10"/>
  <c r="A34" i="4"/>
  <c r="C33" i="4"/>
  <c r="D33" i="4"/>
  <c r="B443" i="18" l="1"/>
  <c r="A444" i="18"/>
  <c r="A15" i="10"/>
  <c r="B14" i="10"/>
  <c r="A35" i="4"/>
  <c r="D34" i="4"/>
  <c r="C34" i="4"/>
  <c r="B444" i="18" l="1"/>
  <c r="A445" i="18"/>
  <c r="B15" i="10"/>
  <c r="A16" i="10"/>
  <c r="C35" i="4"/>
  <c r="A36" i="4"/>
  <c r="D35" i="4"/>
  <c r="B445" i="18" l="1"/>
  <c r="A446" i="18"/>
  <c r="A17" i="10"/>
  <c r="B16" i="10"/>
  <c r="A37" i="4"/>
  <c r="D36" i="4"/>
  <c r="C36" i="4"/>
  <c r="B446" i="18" l="1"/>
  <c r="A447" i="18"/>
  <c r="B17" i="10"/>
  <c r="A18" i="10"/>
  <c r="A38" i="4"/>
  <c r="D37" i="4"/>
  <c r="C37" i="4"/>
  <c r="B447" i="18" l="1"/>
  <c r="A448" i="18"/>
  <c r="A19" i="10"/>
  <c r="B18" i="10"/>
  <c r="A39" i="4"/>
  <c r="D38" i="4"/>
  <c r="C38" i="4"/>
  <c r="B448" i="18" l="1"/>
  <c r="A449" i="18"/>
  <c r="A20" i="10"/>
  <c r="B19" i="10"/>
  <c r="D39" i="4"/>
  <c r="C39" i="4"/>
  <c r="B449" i="18" l="1"/>
  <c r="A450" i="18"/>
  <c r="A21" i="10"/>
  <c r="B20" i="10"/>
  <c r="AB6" i="4"/>
  <c r="AB7" i="4"/>
  <c r="AB8" i="4"/>
  <c r="AB9" i="4"/>
  <c r="AB10" i="4"/>
  <c r="AB11" i="4"/>
  <c r="AB12" i="4"/>
  <c r="AB5" i="4"/>
  <c r="B450" i="18" l="1"/>
  <c r="A451" i="18"/>
  <c r="B21" i="10"/>
  <c r="A22" i="10"/>
  <c r="D8" i="9"/>
  <c r="AE1" i="3"/>
  <c r="AD1" i="3"/>
  <c r="AC1" i="3"/>
  <c r="AB1" i="3"/>
  <c r="AA1" i="3"/>
  <c r="Z1" i="3"/>
  <c r="X1" i="3"/>
  <c r="Y1" i="3"/>
  <c r="W1" i="3"/>
  <c r="U1" i="3"/>
  <c r="S1" i="3"/>
  <c r="R1" i="3"/>
  <c r="Q1" i="3"/>
  <c r="D1" i="3"/>
  <c r="E1" i="3"/>
  <c r="F1" i="3"/>
  <c r="G1" i="3"/>
  <c r="H1" i="3"/>
  <c r="I1" i="3"/>
  <c r="J1" i="3"/>
  <c r="K1" i="3"/>
  <c r="L1" i="3"/>
  <c r="M1" i="3"/>
  <c r="N1" i="3"/>
  <c r="O1" i="3"/>
  <c r="C1" i="3"/>
  <c r="B451" i="18" l="1"/>
  <c r="A452" i="18"/>
  <c r="B22" i="10"/>
  <c r="A23" i="10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3" i="8"/>
  <c r="E2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3" i="8"/>
  <c r="B452" i="18" l="1"/>
  <c r="A453" i="18"/>
  <c r="B23" i="10"/>
  <c r="A24" i="10"/>
  <c r="C129" i="8"/>
  <c r="C130" i="8"/>
  <c r="C5" i="8"/>
  <c r="C6" i="8" s="1"/>
  <c r="C7" i="8" s="1"/>
  <c r="C8" i="8" s="1"/>
  <c r="C9" i="8" s="1"/>
  <c r="C10" i="8" s="1"/>
  <c r="C11" i="8" s="1"/>
  <c r="C12" i="8" s="1"/>
  <c r="C13" i="8" s="1"/>
  <c r="C14" i="8" s="1"/>
  <c r="C15" i="8" s="1"/>
  <c r="C16" i="8" s="1"/>
  <c r="C17" i="8" s="1"/>
  <c r="C18" i="8" s="1"/>
  <c r="C19" i="8" s="1"/>
  <c r="C20" i="8" s="1"/>
  <c r="C21" i="8" s="1"/>
  <c r="C22" i="8" s="1"/>
  <c r="C23" i="8" s="1"/>
  <c r="C24" i="8" s="1"/>
  <c r="C25" i="8" s="1"/>
  <c r="C26" i="8" s="1"/>
  <c r="C27" i="8" s="1"/>
  <c r="C28" i="8" s="1"/>
  <c r="C29" i="8" s="1"/>
  <c r="C30" i="8" s="1"/>
  <c r="C31" i="8" s="1"/>
  <c r="C32" i="8" s="1"/>
  <c r="C33" i="8" s="1"/>
  <c r="C34" i="8" s="1"/>
  <c r="C35" i="8" s="1"/>
  <c r="C36" i="8" s="1"/>
  <c r="C37" i="8" s="1"/>
  <c r="C38" i="8" s="1"/>
  <c r="C39" i="8" s="1"/>
  <c r="C40" i="8" s="1"/>
  <c r="C41" i="8" s="1"/>
  <c r="C42" i="8" s="1"/>
  <c r="C43" i="8" s="1"/>
  <c r="C44" i="8" s="1"/>
  <c r="C45" i="8" s="1"/>
  <c r="C46" i="8" s="1"/>
  <c r="C47" i="8" s="1"/>
  <c r="C48" i="8" s="1"/>
  <c r="C49" i="8" s="1"/>
  <c r="C50" i="8" s="1"/>
  <c r="C51" i="8" s="1"/>
  <c r="C52" i="8" s="1"/>
  <c r="C53" i="8" s="1"/>
  <c r="C54" i="8" s="1"/>
  <c r="C55" i="8" s="1"/>
  <c r="C56" i="8" s="1"/>
  <c r="C57" i="8" s="1"/>
  <c r="C58" i="8" s="1"/>
  <c r="C59" i="8" s="1"/>
  <c r="C60" i="8" s="1"/>
  <c r="C61" i="8" s="1"/>
  <c r="C62" i="8" s="1"/>
  <c r="C63" i="8" s="1"/>
  <c r="C64" i="8" s="1"/>
  <c r="C65" i="8" s="1"/>
  <c r="C66" i="8" s="1"/>
  <c r="C67" i="8" s="1"/>
  <c r="C68" i="8" s="1"/>
  <c r="C69" i="8" s="1"/>
  <c r="C70" i="8" s="1"/>
  <c r="C71" i="8" s="1"/>
  <c r="C72" i="8" s="1"/>
  <c r="C73" i="8" s="1"/>
  <c r="C74" i="8" s="1"/>
  <c r="C75" i="8" s="1"/>
  <c r="C76" i="8" s="1"/>
  <c r="C77" i="8" s="1"/>
  <c r="C78" i="8" s="1"/>
  <c r="C79" i="8" s="1"/>
  <c r="C80" i="8" s="1"/>
  <c r="C81" i="8" s="1"/>
  <c r="C82" i="8" s="1"/>
  <c r="C83" i="8" s="1"/>
  <c r="C84" i="8" s="1"/>
  <c r="C85" i="8" s="1"/>
  <c r="C86" i="8" s="1"/>
  <c r="C87" i="8" s="1"/>
  <c r="C88" i="8" s="1"/>
  <c r="C89" i="8" s="1"/>
  <c r="C90" i="8" s="1"/>
  <c r="C91" i="8" s="1"/>
  <c r="C92" i="8" s="1"/>
  <c r="C93" i="8" s="1"/>
  <c r="C94" i="8" s="1"/>
  <c r="C95" i="8" s="1"/>
  <c r="C96" i="8" s="1"/>
  <c r="C97" i="8" s="1"/>
  <c r="C98" i="8" s="1"/>
  <c r="C99" i="8" s="1"/>
  <c r="C100" i="8" s="1"/>
  <c r="C101" i="8" s="1"/>
  <c r="C102" i="8" s="1"/>
  <c r="C103" i="8" s="1"/>
  <c r="C104" i="8" s="1"/>
  <c r="C105" i="8" s="1"/>
  <c r="C106" i="8" s="1"/>
  <c r="C107" i="8" s="1"/>
  <c r="C108" i="8" s="1"/>
  <c r="C109" i="8" s="1"/>
  <c r="C110" i="8" s="1"/>
  <c r="C111" i="8" s="1"/>
  <c r="C112" i="8" s="1"/>
  <c r="C113" i="8" s="1"/>
  <c r="C114" i="8" s="1"/>
  <c r="C115" i="8" s="1"/>
  <c r="C116" i="8" s="1"/>
  <c r="C117" i="8" s="1"/>
  <c r="C118" i="8" s="1"/>
  <c r="C119" i="8" s="1"/>
  <c r="C120" i="8" s="1"/>
  <c r="C121" i="8" s="1"/>
  <c r="C122" i="8" s="1"/>
  <c r="C123" i="8" s="1"/>
  <c r="C124" i="8" s="1"/>
  <c r="C125" i="8" s="1"/>
  <c r="C126" i="8" s="1"/>
  <c r="C127" i="8" s="1"/>
  <c r="C128" i="8" s="1"/>
  <c r="C4" i="8"/>
  <c r="B453" i="18" l="1"/>
  <c r="A454" i="18"/>
  <c r="A25" i="10"/>
  <c r="B24" i="10"/>
  <c r="D221" i="5"/>
  <c r="C221" i="5"/>
  <c r="W127" i="5"/>
  <c r="W113" i="5"/>
  <c r="W121" i="5"/>
  <c r="W123" i="5"/>
  <c r="W119" i="5"/>
  <c r="W107" i="5"/>
  <c r="W103" i="5"/>
  <c r="W99" i="5"/>
  <c r="W95" i="5"/>
  <c r="W89" i="5"/>
  <c r="W83" i="5"/>
  <c r="W59" i="5"/>
  <c r="W75" i="5"/>
  <c r="W67" i="5"/>
  <c r="W131" i="5"/>
  <c r="W4" i="5"/>
  <c r="B454" i="18" l="1"/>
  <c r="A455" i="18"/>
  <c r="A26" i="10"/>
  <c r="B25" i="10"/>
  <c r="H220" i="5"/>
  <c r="I223" i="5"/>
  <c r="K223" i="5"/>
  <c r="J223" i="5"/>
  <c r="A225" i="5"/>
  <c r="A226" i="5" s="1"/>
  <c r="B224" i="5"/>
  <c r="N224" i="5" s="1"/>
  <c r="B455" i="18" l="1"/>
  <c r="A456" i="18"/>
  <c r="A27" i="10"/>
  <c r="B26" i="10"/>
  <c r="J224" i="5"/>
  <c r="B226" i="5"/>
  <c r="N226" i="5" s="1"/>
  <c r="A227" i="5"/>
  <c r="B225" i="5"/>
  <c r="N225" i="5" s="1"/>
  <c r="B456" i="18" l="1"/>
  <c r="A457" i="18"/>
  <c r="B27" i="10"/>
  <c r="A28" i="10"/>
  <c r="J225" i="5"/>
  <c r="J226" i="5"/>
  <c r="A228" i="5"/>
  <c r="B227" i="5"/>
  <c r="AC120" i="5"/>
  <c r="AC119" i="5"/>
  <c r="AC116" i="5"/>
  <c r="AC117" i="5"/>
  <c r="AC118" i="5"/>
  <c r="AC121" i="5"/>
  <c r="AC107" i="5"/>
  <c r="AS51" i="5"/>
  <c r="AO23" i="5"/>
  <c r="BB31" i="5"/>
  <c r="BB27" i="5"/>
  <c r="BB23" i="5"/>
  <c r="Y71" i="5"/>
  <c r="U89" i="5"/>
  <c r="S101" i="5"/>
  <c r="S105" i="5"/>
  <c r="S103" i="5"/>
  <c r="S124" i="5"/>
  <c r="S125" i="5"/>
  <c r="S126" i="5"/>
  <c r="S127" i="5"/>
  <c r="S128" i="5"/>
  <c r="S129" i="5"/>
  <c r="S130" i="5"/>
  <c r="S123" i="5"/>
  <c r="S107" i="5"/>
  <c r="S99" i="5"/>
  <c r="S83" i="5"/>
  <c r="S75" i="5"/>
  <c r="S131" i="5"/>
  <c r="S4" i="5"/>
  <c r="U124" i="5"/>
  <c r="AA120" i="5"/>
  <c r="AA121" i="5"/>
  <c r="AA119" i="5"/>
  <c r="AA117" i="5"/>
  <c r="Y105" i="5"/>
  <c r="Y107" i="5"/>
  <c r="Y111" i="5"/>
  <c r="Y122" i="5"/>
  <c r="Y121" i="5"/>
  <c r="Y119" i="5"/>
  <c r="Y117" i="5"/>
  <c r="AC55" i="5"/>
  <c r="AC47" i="5"/>
  <c r="AA63" i="5"/>
  <c r="AA75" i="5"/>
  <c r="Q111" i="5"/>
  <c r="Q107" i="5"/>
  <c r="Q128" i="5"/>
  <c r="Q130" i="5"/>
  <c r="Q129" i="5"/>
  <c r="Q127" i="5"/>
  <c r="Q123" i="5"/>
  <c r="Q115" i="5"/>
  <c r="Q131" i="5"/>
  <c r="Q67" i="5"/>
  <c r="Q4" i="5"/>
  <c r="I67" i="5"/>
  <c r="I115" i="5"/>
  <c r="I130" i="5"/>
  <c r="I35" i="5"/>
  <c r="I131" i="5"/>
  <c r="I4" i="5"/>
  <c r="AG131" i="5"/>
  <c r="AG99" i="5"/>
  <c r="AG83" i="5"/>
  <c r="AG67" i="5"/>
  <c r="AG51" i="5"/>
  <c r="AG35" i="5"/>
  <c r="AG19" i="5"/>
  <c r="AG4" i="5"/>
  <c r="B457" i="18" l="1"/>
  <c r="A458" i="18"/>
  <c r="A29" i="10"/>
  <c r="B28" i="10"/>
  <c r="S102" i="5"/>
  <c r="N227" i="5"/>
  <c r="J227" i="5"/>
  <c r="A229" i="5"/>
  <c r="B228" i="5"/>
  <c r="AJ21" i="5"/>
  <c r="AJ23" i="5"/>
  <c r="AJ31" i="5"/>
  <c r="AJ27" i="5"/>
  <c r="AJ8" i="5"/>
  <c r="AJ15" i="5"/>
  <c r="AJ11" i="5"/>
  <c r="AO16" i="5"/>
  <c r="AO18" i="5"/>
  <c r="AO17" i="5"/>
  <c r="AO15" i="5"/>
  <c r="BB12" i="5"/>
  <c r="BB13" i="5"/>
  <c r="AS14" i="5"/>
  <c r="AS13" i="5"/>
  <c r="AS67" i="5"/>
  <c r="AS35" i="5"/>
  <c r="AS131" i="5"/>
  <c r="AS19" i="5"/>
  <c r="AS11" i="5"/>
  <c r="AS15" i="5"/>
  <c r="AS4" i="5"/>
  <c r="BB9" i="5"/>
  <c r="BB10" i="5"/>
  <c r="BB67" i="5"/>
  <c r="BB35" i="5"/>
  <c r="BB19" i="5"/>
  <c r="BB11" i="5"/>
  <c r="BB8" i="5"/>
  <c r="BB5" i="5"/>
  <c r="BB6" i="5"/>
  <c r="BB7" i="5"/>
  <c r="BC7" i="5" s="1"/>
  <c r="BB131" i="5"/>
  <c r="BB4" i="5"/>
  <c r="BC4" i="5" s="1"/>
  <c r="U125" i="5"/>
  <c r="U129" i="5"/>
  <c r="U95" i="5"/>
  <c r="U119" i="5"/>
  <c r="U99" i="5"/>
  <c r="U83" i="5"/>
  <c r="U75" i="5"/>
  <c r="U59" i="5"/>
  <c r="U123" i="5"/>
  <c r="U127" i="5"/>
  <c r="U67" i="5"/>
  <c r="U131" i="5"/>
  <c r="U4" i="5"/>
  <c r="AC127" i="5"/>
  <c r="AA127" i="5"/>
  <c r="Y125" i="5"/>
  <c r="Y127" i="5"/>
  <c r="AO131" i="5"/>
  <c r="AO4" i="5"/>
  <c r="AO11" i="5"/>
  <c r="AO19" i="5"/>
  <c r="AO35" i="5"/>
  <c r="AO43" i="5"/>
  <c r="AO51" i="5"/>
  <c r="AO67" i="5"/>
  <c r="AO83" i="5"/>
  <c r="AO99" i="5"/>
  <c r="AO115" i="5"/>
  <c r="AM4" i="5"/>
  <c r="AM19" i="5"/>
  <c r="AM35" i="5"/>
  <c r="AM51" i="5"/>
  <c r="AM67" i="5"/>
  <c r="AM83" i="5"/>
  <c r="AM99" i="5"/>
  <c r="AM115" i="5"/>
  <c r="AM131" i="5"/>
  <c r="AJ131" i="5"/>
  <c r="AJ115" i="5"/>
  <c r="AJ99" i="5"/>
  <c r="AJ83" i="5"/>
  <c r="AJ51" i="5"/>
  <c r="AJ67" i="5"/>
  <c r="AJ35" i="5"/>
  <c r="AJ19" i="5"/>
  <c r="AJ4" i="5"/>
  <c r="AE4" i="5"/>
  <c r="AE19" i="5"/>
  <c r="AE35" i="5"/>
  <c r="AE51" i="5"/>
  <c r="AE67" i="5"/>
  <c r="AE83" i="5"/>
  <c r="AE99" i="5"/>
  <c r="AE115" i="5"/>
  <c r="AE131" i="5"/>
  <c r="AC131" i="5"/>
  <c r="AC115" i="5"/>
  <c r="AC99" i="5"/>
  <c r="AC83" i="5"/>
  <c r="AC67" i="5"/>
  <c r="AC59" i="5"/>
  <c r="AC51" i="5"/>
  <c r="AC43" i="5"/>
  <c r="AC35" i="5"/>
  <c r="AC19" i="5"/>
  <c r="AC4" i="5"/>
  <c r="AA131" i="5"/>
  <c r="AA123" i="5"/>
  <c r="AA115" i="5"/>
  <c r="AA99" i="5"/>
  <c r="AA83" i="5"/>
  <c r="AA67" i="5"/>
  <c r="AA59" i="5"/>
  <c r="AA43" i="5"/>
  <c r="AA35" i="5"/>
  <c r="AA4" i="5"/>
  <c r="Y131" i="5"/>
  <c r="Y123" i="5"/>
  <c r="Y115" i="5"/>
  <c r="Y99" i="5"/>
  <c r="Y91" i="5"/>
  <c r="Y83" i="5"/>
  <c r="Y75" i="5"/>
  <c r="Y67" i="5"/>
  <c r="Y59" i="5"/>
  <c r="Y51" i="5"/>
  <c r="Y43" i="5"/>
  <c r="Y35" i="5"/>
  <c r="Y19" i="5"/>
  <c r="Y11" i="5"/>
  <c r="Y4" i="5"/>
  <c r="AO27" i="5"/>
  <c r="AO36" i="5"/>
  <c r="AO37" i="5"/>
  <c r="AO38" i="5"/>
  <c r="AO39" i="5"/>
  <c r="AO40" i="5"/>
  <c r="AO41" i="5"/>
  <c r="AO42" i="5"/>
  <c r="A5" i="5"/>
  <c r="A6" i="5" s="1"/>
  <c r="B5" i="5"/>
  <c r="G5" i="5" s="1"/>
  <c r="B4" i="5"/>
  <c r="G4" i="5" s="1"/>
  <c r="B458" i="18" l="1"/>
  <c r="A459" i="18"/>
  <c r="B29" i="10"/>
  <c r="A30" i="10"/>
  <c r="F4" i="5"/>
  <c r="N228" i="5"/>
  <c r="J228" i="5"/>
  <c r="F5" i="5"/>
  <c r="A230" i="5"/>
  <c r="B229" i="5"/>
  <c r="BC9" i="5"/>
  <c r="BC10" i="5"/>
  <c r="BC6" i="5"/>
  <c r="BC5" i="5"/>
  <c r="BC8" i="5"/>
  <c r="BC11" i="5"/>
  <c r="BC12" i="5"/>
  <c r="B6" i="5"/>
  <c r="A7" i="5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56" i="3"/>
  <c r="Q4" i="3"/>
  <c r="R4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56" i="3"/>
  <c r="T12" i="3"/>
  <c r="T13" i="3"/>
  <c r="T14" i="3"/>
  <c r="T15" i="3"/>
  <c r="T16" i="3"/>
  <c r="T17" i="3"/>
  <c r="T18" i="3"/>
  <c r="T19" i="3"/>
  <c r="T11" i="3"/>
  <c r="T4" i="3"/>
  <c r="S4" i="3"/>
  <c r="V12" i="3"/>
  <c r="V13" i="3"/>
  <c r="V14" i="3"/>
  <c r="V15" i="3"/>
  <c r="V16" i="3"/>
  <c r="V17" i="3"/>
  <c r="V18" i="3"/>
  <c r="V19" i="3"/>
  <c r="V11" i="3"/>
  <c r="V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4" i="3"/>
  <c r="B459" i="18" l="1"/>
  <c r="A460" i="18"/>
  <c r="A31" i="10"/>
  <c r="B30" i="10"/>
  <c r="N229" i="5"/>
  <c r="J229" i="5"/>
  <c r="G6" i="5"/>
  <c r="F6" i="5"/>
  <c r="A231" i="5"/>
  <c r="B230" i="5"/>
  <c r="B7" i="5"/>
  <c r="A8" i="5"/>
  <c r="O20" i="3"/>
  <c r="O15" i="3"/>
  <c r="O17" i="3"/>
  <c r="O5" i="3"/>
  <c r="O6" i="3"/>
  <c r="O7" i="3"/>
  <c r="O8" i="3"/>
  <c r="O9" i="3"/>
  <c r="O10" i="3"/>
  <c r="O11" i="3"/>
  <c r="O12" i="3"/>
  <c r="O13" i="3"/>
  <c r="O14" i="3"/>
  <c r="O16" i="3"/>
  <c r="O18" i="3"/>
  <c r="O19" i="3"/>
  <c r="O21" i="3"/>
  <c r="O22" i="3"/>
  <c r="O23" i="3"/>
  <c r="O24" i="3"/>
  <c r="O25" i="3"/>
  <c r="O26" i="3"/>
  <c r="O27" i="3"/>
  <c r="O28" i="3"/>
  <c r="O29" i="3"/>
  <c r="O30" i="3"/>
  <c r="B460" i="18" l="1"/>
  <c r="A461" i="18"/>
  <c r="A32" i="10"/>
  <c r="B31" i="10"/>
  <c r="G7" i="5"/>
  <c r="N230" i="5"/>
  <c r="J230" i="5"/>
  <c r="F7" i="5"/>
  <c r="B231" i="5"/>
  <c r="A232" i="5"/>
  <c r="A9" i="5"/>
  <c r="B8" i="5"/>
  <c r="C17" i="4"/>
  <c r="C18" i="4"/>
  <c r="C19" i="4"/>
  <c r="C20" i="4"/>
  <c r="C21" i="4"/>
  <c r="C22" i="4"/>
  <c r="C23" i="4"/>
  <c r="C16" i="4"/>
  <c r="C13" i="4"/>
  <c r="C14" i="4"/>
  <c r="C15" i="4"/>
  <c r="C3" i="4"/>
  <c r="C2" i="4"/>
  <c r="D19" i="4"/>
  <c r="D24" i="4"/>
  <c r="D23" i="4"/>
  <c r="D22" i="4"/>
  <c r="D21" i="4"/>
  <c r="D20" i="4"/>
  <c r="D18" i="4"/>
  <c r="D17" i="4"/>
  <c r="D16" i="4"/>
  <c r="D15" i="4"/>
  <c r="D14" i="4"/>
  <c r="D13" i="4"/>
  <c r="A3" i="4"/>
  <c r="D2" i="4"/>
  <c r="B461" i="18" l="1"/>
  <c r="A462" i="18"/>
  <c r="A33" i="10"/>
  <c r="B32" i="10"/>
  <c r="G8" i="5"/>
  <c r="N231" i="5"/>
  <c r="J231" i="5"/>
  <c r="F8" i="5"/>
  <c r="A233" i="5"/>
  <c r="B232" i="5"/>
  <c r="A10" i="5"/>
  <c r="B9" i="5"/>
  <c r="D3" i="4"/>
  <c r="A4" i="4"/>
  <c r="C4" i="4" s="1"/>
  <c r="B462" i="18" l="1"/>
  <c r="A463" i="18"/>
  <c r="B33" i="10"/>
  <c r="A34" i="10"/>
  <c r="G9" i="5"/>
  <c r="N232" i="5"/>
  <c r="J232" i="5"/>
  <c r="F9" i="5"/>
  <c r="B233" i="5"/>
  <c r="A234" i="5"/>
  <c r="B10" i="5"/>
  <c r="A11" i="5"/>
  <c r="A5" i="4"/>
  <c r="C5" i="4" s="1"/>
  <c r="D4" i="4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" i="1"/>
  <c r="D23" i="1"/>
  <c r="C12" i="1"/>
  <c r="C13" i="1"/>
  <c r="C14" i="1"/>
  <c r="C15" i="1"/>
  <c r="C16" i="1"/>
  <c r="C17" i="1"/>
  <c r="C18" i="1"/>
  <c r="C19" i="1"/>
  <c r="C20" i="1"/>
  <c r="C21" i="1"/>
  <c r="C22" i="1"/>
  <c r="C3" i="1"/>
  <c r="C4" i="1"/>
  <c r="C5" i="1"/>
  <c r="C6" i="1"/>
  <c r="C7" i="1"/>
  <c r="C8" i="1"/>
  <c r="C9" i="1"/>
  <c r="C10" i="1"/>
  <c r="C11" i="1"/>
  <c r="C2" i="1"/>
  <c r="A4" i="1"/>
  <c r="A5" i="1"/>
  <c r="A6" i="1"/>
  <c r="A7" i="1" s="1"/>
  <c r="A8" i="1" s="1"/>
  <c r="A9" i="1" s="1"/>
  <c r="A10" i="1" s="1"/>
  <c r="A11" i="1" s="1"/>
  <c r="A12" i="1" s="1"/>
  <c r="A3" i="1"/>
  <c r="B463" i="18" l="1"/>
  <c r="A464" i="18"/>
  <c r="A35" i="10"/>
  <c r="B34" i="10"/>
  <c r="N233" i="5"/>
  <c r="J233" i="5"/>
  <c r="G10" i="5"/>
  <c r="F10" i="5"/>
  <c r="A235" i="5"/>
  <c r="B234" i="5"/>
  <c r="B11" i="5"/>
  <c r="A12" i="5"/>
  <c r="A6" i="4"/>
  <c r="C6" i="4" s="1"/>
  <c r="D5" i="4"/>
  <c r="B464" i="18" l="1"/>
  <c r="A465" i="18"/>
  <c r="B35" i="10"/>
  <c r="A36" i="10"/>
  <c r="G11" i="5"/>
  <c r="N234" i="5"/>
  <c r="J234" i="5"/>
  <c r="F11" i="5"/>
  <c r="A236" i="5"/>
  <c r="B235" i="5"/>
  <c r="A13" i="5"/>
  <c r="B12" i="5"/>
  <c r="D6" i="4"/>
  <c r="A7" i="4"/>
  <c r="C7" i="4" s="1"/>
  <c r="B465" i="18" l="1"/>
  <c r="A466" i="18"/>
  <c r="A37" i="10"/>
  <c r="B36" i="10"/>
  <c r="G12" i="5"/>
  <c r="N235" i="5"/>
  <c r="J235" i="5"/>
  <c r="F12" i="5"/>
  <c r="A237" i="5"/>
  <c r="B236" i="5"/>
  <c r="A14" i="5"/>
  <c r="B13" i="5"/>
  <c r="D7" i="4"/>
  <c r="A8" i="4"/>
  <c r="C8" i="4" s="1"/>
  <c r="B466" i="18" l="1"/>
  <c r="A467" i="18"/>
  <c r="A38" i="10"/>
  <c r="B37" i="10"/>
  <c r="G13" i="5"/>
  <c r="N236" i="5"/>
  <c r="J236" i="5"/>
  <c r="F13" i="5"/>
  <c r="A238" i="5"/>
  <c r="B237" i="5"/>
  <c r="A15" i="5"/>
  <c r="B14" i="5"/>
  <c r="A9" i="4"/>
  <c r="C9" i="4" s="1"/>
  <c r="D8" i="4"/>
  <c r="B467" i="18" l="1"/>
  <c r="A468" i="18"/>
  <c r="A39" i="10"/>
  <c r="B38" i="10"/>
  <c r="G14" i="5"/>
  <c r="N237" i="5"/>
  <c r="J237" i="5"/>
  <c r="F14" i="5"/>
  <c r="A239" i="5"/>
  <c r="B238" i="5"/>
  <c r="B15" i="5"/>
  <c r="A16" i="5"/>
  <c r="A10" i="4"/>
  <c r="C10" i="4" s="1"/>
  <c r="D9" i="4"/>
  <c r="B468" i="18" l="1"/>
  <c r="A469" i="18"/>
  <c r="A40" i="10"/>
  <c r="B39" i="10"/>
  <c r="G15" i="5"/>
  <c r="N238" i="5"/>
  <c r="J238" i="5"/>
  <c r="F15" i="5"/>
  <c r="A240" i="5"/>
  <c r="B239" i="5"/>
  <c r="A17" i="5"/>
  <c r="B16" i="5"/>
  <c r="D10" i="4"/>
  <c r="A11" i="4"/>
  <c r="C11" i="4" s="1"/>
  <c r="B469" i="18" l="1"/>
  <c r="A470" i="18"/>
  <c r="A41" i="10"/>
  <c r="B40" i="10"/>
  <c r="G16" i="5"/>
  <c r="N239" i="5"/>
  <c r="J239" i="5"/>
  <c r="F16" i="5"/>
  <c r="A241" i="5"/>
  <c r="B240" i="5"/>
  <c r="A18" i="5"/>
  <c r="B17" i="5"/>
  <c r="D11" i="4"/>
  <c r="A12" i="4"/>
  <c r="C12" i="4" s="1"/>
  <c r="B470" i="18" l="1"/>
  <c r="A471" i="18"/>
  <c r="B41" i="10"/>
  <c r="A42" i="10"/>
  <c r="G17" i="5"/>
  <c r="F17" i="5"/>
  <c r="N240" i="5"/>
  <c r="J240" i="5"/>
  <c r="A242" i="5"/>
  <c r="B241" i="5"/>
  <c r="A19" i="5"/>
  <c r="B18" i="5"/>
  <c r="D12" i="4"/>
  <c r="B471" i="18" l="1"/>
  <c r="A472" i="18"/>
  <c r="A43" i="10"/>
  <c r="B42" i="10"/>
  <c r="G18" i="5"/>
  <c r="N241" i="5"/>
  <c r="J241" i="5"/>
  <c r="F18" i="5"/>
  <c r="A243" i="5"/>
  <c r="B242" i="5"/>
  <c r="A20" i="5"/>
  <c r="B19" i="5"/>
  <c r="B472" i="18" l="1"/>
  <c r="A473" i="18"/>
  <c r="A44" i="10"/>
  <c r="B43" i="10"/>
  <c r="N242" i="5"/>
  <c r="J242" i="5"/>
  <c r="G19" i="5"/>
  <c r="F19" i="5"/>
  <c r="A244" i="5"/>
  <c r="B243" i="5"/>
  <c r="A21" i="5"/>
  <c r="B20" i="5"/>
  <c r="B473" i="18" l="1"/>
  <c r="A474" i="18"/>
  <c r="A45" i="10"/>
  <c r="B44" i="10"/>
  <c r="N243" i="5"/>
  <c r="J243" i="5"/>
  <c r="G20" i="5"/>
  <c r="F20" i="5"/>
  <c r="A245" i="5"/>
  <c r="B244" i="5"/>
  <c r="B21" i="5"/>
  <c r="A22" i="5"/>
  <c r="B474" i="18" l="1"/>
  <c r="A475" i="18"/>
  <c r="A46" i="10"/>
  <c r="B45" i="10"/>
  <c r="G21" i="5"/>
  <c r="F21" i="5"/>
  <c r="N244" i="5"/>
  <c r="J244" i="5"/>
  <c r="B245" i="5"/>
  <c r="A246" i="5"/>
  <c r="B22" i="5"/>
  <c r="A23" i="5"/>
  <c r="B475" i="18" l="1"/>
  <c r="A476" i="18"/>
  <c r="A47" i="10"/>
  <c r="B46" i="10"/>
  <c r="G22" i="5"/>
  <c r="F22" i="5"/>
  <c r="N245" i="5"/>
  <c r="J245" i="5"/>
  <c r="A247" i="5"/>
  <c r="B246" i="5"/>
  <c r="B23" i="5"/>
  <c r="A24" i="5"/>
  <c r="B476" i="18" l="1"/>
  <c r="A477" i="18"/>
  <c r="B47" i="10"/>
  <c r="A48" i="10"/>
  <c r="G23" i="5"/>
  <c r="N246" i="5"/>
  <c r="J246" i="5"/>
  <c r="F23" i="5"/>
  <c r="A248" i="5"/>
  <c r="B247" i="5"/>
  <c r="A25" i="5"/>
  <c r="B24" i="5"/>
  <c r="B477" i="18" l="1"/>
  <c r="A478" i="18"/>
  <c r="A49" i="10"/>
  <c r="B48" i="10"/>
  <c r="G24" i="5"/>
  <c r="F24" i="5"/>
  <c r="N247" i="5"/>
  <c r="J247" i="5"/>
  <c r="A249" i="5"/>
  <c r="B248" i="5"/>
  <c r="A26" i="5"/>
  <c r="B25" i="5"/>
  <c r="B478" i="18" l="1"/>
  <c r="A479" i="18"/>
  <c r="A50" i="10"/>
  <c r="B49" i="10"/>
  <c r="G25" i="5"/>
  <c r="N248" i="5"/>
  <c r="J248" i="5"/>
  <c r="F25" i="5"/>
  <c r="B249" i="5"/>
  <c r="A250" i="5"/>
  <c r="B26" i="5"/>
  <c r="A27" i="5"/>
  <c r="B479" i="18" l="1"/>
  <c r="A480" i="18"/>
  <c r="A51" i="10"/>
  <c r="B50" i="10"/>
  <c r="N249" i="5"/>
  <c r="J249" i="5"/>
  <c r="G26" i="5"/>
  <c r="F26" i="5"/>
  <c r="B250" i="5"/>
  <c r="A251" i="5"/>
  <c r="A28" i="5"/>
  <c r="B27" i="5"/>
  <c r="B480" i="18" l="1"/>
  <c r="A481" i="18"/>
  <c r="B51" i="10"/>
  <c r="A52" i="10"/>
  <c r="G27" i="5"/>
  <c r="N250" i="5"/>
  <c r="J250" i="5"/>
  <c r="F27" i="5"/>
  <c r="A252" i="5"/>
  <c r="B251" i="5"/>
  <c r="B28" i="5"/>
  <c r="A29" i="5"/>
  <c r="B481" i="18" l="1"/>
  <c r="A482" i="18"/>
  <c r="A53" i="10"/>
  <c r="B52" i="10"/>
  <c r="N251" i="5"/>
  <c r="J251" i="5"/>
  <c r="G28" i="5"/>
  <c r="F28" i="5"/>
  <c r="A253" i="5"/>
  <c r="B252" i="5"/>
  <c r="A30" i="5"/>
  <c r="B29" i="5"/>
  <c r="B482" i="18" l="1"/>
  <c r="A483" i="18"/>
  <c r="B53" i="10"/>
  <c r="A54" i="10"/>
  <c r="G29" i="5"/>
  <c r="N252" i="5"/>
  <c r="J252" i="5"/>
  <c r="F29" i="5"/>
  <c r="B253" i="5"/>
  <c r="A254" i="5"/>
  <c r="A31" i="5"/>
  <c r="B30" i="5"/>
  <c r="B483" i="18" l="1"/>
  <c r="A484" i="18"/>
  <c r="A55" i="10"/>
  <c r="B54" i="10"/>
  <c r="G30" i="5"/>
  <c r="N253" i="5"/>
  <c r="J253" i="5"/>
  <c r="F30" i="5"/>
  <c r="A255" i="5"/>
  <c r="B254" i="5"/>
  <c r="A32" i="5"/>
  <c r="B31" i="5"/>
  <c r="B484" i="18" l="1"/>
  <c r="A485" i="18"/>
  <c r="A56" i="10"/>
  <c r="B55" i="10"/>
  <c r="G31" i="5"/>
  <c r="N254" i="5"/>
  <c r="J254" i="5"/>
  <c r="F31" i="5"/>
  <c r="A256" i="5"/>
  <c r="B255" i="5"/>
  <c r="A33" i="5"/>
  <c r="B32" i="5"/>
  <c r="B485" i="18" l="1"/>
  <c r="A486" i="18"/>
  <c r="A57" i="10"/>
  <c r="B56" i="10"/>
  <c r="G32" i="5"/>
  <c r="N255" i="5"/>
  <c r="J255" i="5"/>
  <c r="F32" i="5"/>
  <c r="A257" i="5"/>
  <c r="B256" i="5"/>
  <c r="A34" i="5"/>
  <c r="B33" i="5"/>
  <c r="B486" i="18" l="1"/>
  <c r="A487" i="18"/>
  <c r="A58" i="10"/>
  <c r="B57" i="10"/>
  <c r="G33" i="5"/>
  <c r="N256" i="5"/>
  <c r="J256" i="5"/>
  <c r="F33" i="5"/>
  <c r="A258" i="5"/>
  <c r="B257" i="5"/>
  <c r="A35" i="5"/>
  <c r="B34" i="5"/>
  <c r="B487" i="18" l="1"/>
  <c r="A488" i="18"/>
  <c r="A59" i="10"/>
  <c r="B58" i="10"/>
  <c r="G34" i="5"/>
  <c r="N257" i="5"/>
  <c r="J257" i="5"/>
  <c r="F34" i="5"/>
  <c r="A259" i="5"/>
  <c r="B258" i="5"/>
  <c r="A36" i="5"/>
  <c r="B35" i="5"/>
  <c r="B488" i="18" l="1"/>
  <c r="A489" i="18"/>
  <c r="B59" i="10"/>
  <c r="A60" i="10"/>
  <c r="G35" i="5"/>
  <c r="N258" i="5"/>
  <c r="J258" i="5"/>
  <c r="F35" i="5"/>
  <c r="A260" i="5"/>
  <c r="B259" i="5"/>
  <c r="A37" i="5"/>
  <c r="B36" i="5"/>
  <c r="B489" i="18" l="1"/>
  <c r="A490" i="18"/>
  <c r="A61" i="10"/>
  <c r="B60" i="10"/>
  <c r="G36" i="5"/>
  <c r="N259" i="5"/>
  <c r="J259" i="5"/>
  <c r="F36" i="5"/>
  <c r="A261" i="5"/>
  <c r="B260" i="5"/>
  <c r="A38" i="5"/>
  <c r="B37" i="5"/>
  <c r="B490" i="18" l="1"/>
  <c r="A491" i="18"/>
  <c r="A62" i="10"/>
  <c r="B61" i="10"/>
  <c r="G37" i="5"/>
  <c r="N260" i="5"/>
  <c r="J260" i="5"/>
  <c r="F37" i="5"/>
  <c r="A262" i="5"/>
  <c r="B261" i="5"/>
  <c r="A39" i="5"/>
  <c r="B38" i="5"/>
  <c r="B491" i="18" l="1"/>
  <c r="A492" i="18"/>
  <c r="A63" i="10"/>
  <c r="B62" i="10"/>
  <c r="G38" i="5"/>
  <c r="N261" i="5"/>
  <c r="J261" i="5"/>
  <c r="F38" i="5"/>
  <c r="B262" i="5"/>
  <c r="A263" i="5"/>
  <c r="A40" i="5"/>
  <c r="B39" i="5"/>
  <c r="B492" i="18" l="1"/>
  <c r="A493" i="18"/>
  <c r="A64" i="10"/>
  <c r="B63" i="10"/>
  <c r="G39" i="5"/>
  <c r="N262" i="5"/>
  <c r="J262" i="5"/>
  <c r="F39" i="5"/>
  <c r="A264" i="5"/>
  <c r="B263" i="5"/>
  <c r="A41" i="5"/>
  <c r="B40" i="5"/>
  <c r="B493" i="18" l="1"/>
  <c r="A494" i="18"/>
  <c r="A65" i="10"/>
  <c r="B64" i="10"/>
  <c r="G40" i="5"/>
  <c r="N263" i="5"/>
  <c r="J263" i="5"/>
  <c r="F40" i="5"/>
  <c r="A265" i="5"/>
  <c r="B264" i="5"/>
  <c r="A42" i="5"/>
  <c r="B41" i="5"/>
  <c r="B494" i="18" l="1"/>
  <c r="A495" i="18"/>
  <c r="B65" i="10"/>
  <c r="A66" i="10"/>
  <c r="G41" i="5"/>
  <c r="N264" i="5"/>
  <c r="J264" i="5"/>
  <c r="F41" i="5"/>
  <c r="B265" i="5"/>
  <c r="A266" i="5"/>
  <c r="A43" i="5"/>
  <c r="B42" i="5"/>
  <c r="B495" i="18" l="1"/>
  <c r="A496" i="18"/>
  <c r="A67" i="10"/>
  <c r="B66" i="10"/>
  <c r="G42" i="5"/>
  <c r="N265" i="5"/>
  <c r="J265" i="5"/>
  <c r="F42" i="5"/>
  <c r="A267" i="5"/>
  <c r="B266" i="5"/>
  <c r="A44" i="5"/>
  <c r="B43" i="5"/>
  <c r="B496" i="18" l="1"/>
  <c r="A497" i="18"/>
  <c r="A68" i="10"/>
  <c r="B67" i="10"/>
  <c r="G43" i="5"/>
  <c r="N266" i="5"/>
  <c r="J266" i="5"/>
  <c r="F43" i="5"/>
  <c r="A268" i="5"/>
  <c r="B267" i="5"/>
  <c r="A45" i="5"/>
  <c r="B44" i="5"/>
  <c r="B497" i="18" l="1"/>
  <c r="A498" i="18"/>
  <c r="A69" i="10"/>
  <c r="B68" i="10"/>
  <c r="G44" i="5"/>
  <c r="N267" i="5"/>
  <c r="J267" i="5"/>
  <c r="F44" i="5"/>
  <c r="A269" i="5"/>
  <c r="B268" i="5"/>
  <c r="A46" i="5"/>
  <c r="B45" i="5"/>
  <c r="B498" i="18" l="1"/>
  <c r="A499" i="18"/>
  <c r="A70" i="10"/>
  <c r="B69" i="10"/>
  <c r="G45" i="5"/>
  <c r="F45" i="5"/>
  <c r="N268" i="5"/>
  <c r="J268" i="5"/>
  <c r="A270" i="5"/>
  <c r="B269" i="5"/>
  <c r="A47" i="5"/>
  <c r="B46" i="5"/>
  <c r="B499" i="18" l="1"/>
  <c r="A500" i="18"/>
  <c r="A71" i="10"/>
  <c r="B70" i="10"/>
  <c r="G46" i="5"/>
  <c r="N269" i="5"/>
  <c r="J269" i="5"/>
  <c r="F46" i="5"/>
  <c r="A271" i="5"/>
  <c r="B270" i="5"/>
  <c r="A48" i="5"/>
  <c r="B47" i="5"/>
  <c r="B500" i="18" l="1"/>
  <c r="A501" i="18"/>
  <c r="B71" i="10"/>
  <c r="A72" i="10"/>
  <c r="G47" i="5"/>
  <c r="F47" i="5"/>
  <c r="N270" i="5"/>
  <c r="J270" i="5"/>
  <c r="A272" i="5"/>
  <c r="B271" i="5"/>
  <c r="A49" i="5"/>
  <c r="B48" i="5"/>
  <c r="B501" i="18" l="1"/>
  <c r="A502" i="18"/>
  <c r="A73" i="10"/>
  <c r="B72" i="10"/>
  <c r="G48" i="5"/>
  <c r="N271" i="5"/>
  <c r="J271" i="5"/>
  <c r="F48" i="5"/>
  <c r="A273" i="5"/>
  <c r="B272" i="5"/>
  <c r="A50" i="5"/>
  <c r="B49" i="5"/>
  <c r="B502" i="18" l="1"/>
  <c r="A503" i="18"/>
  <c r="A74" i="10"/>
  <c r="B73" i="10"/>
  <c r="G49" i="5"/>
  <c r="N272" i="5"/>
  <c r="J272" i="5"/>
  <c r="F49" i="5"/>
  <c r="A274" i="5"/>
  <c r="B273" i="5"/>
  <c r="A51" i="5"/>
  <c r="B50" i="5"/>
  <c r="B503" i="18" l="1"/>
  <c r="A504" i="18"/>
  <c r="A75" i="10"/>
  <c r="B74" i="10"/>
  <c r="G50" i="5"/>
  <c r="N273" i="5"/>
  <c r="J273" i="5"/>
  <c r="F50" i="5"/>
  <c r="A275" i="5"/>
  <c r="B274" i="5"/>
  <c r="A52" i="5"/>
  <c r="B51" i="5"/>
  <c r="B504" i="18" l="1"/>
  <c r="A505" i="18"/>
  <c r="A76" i="10"/>
  <c r="B75" i="10"/>
  <c r="G51" i="5"/>
  <c r="F51" i="5"/>
  <c r="N274" i="5"/>
  <c r="J274" i="5"/>
  <c r="A276" i="5"/>
  <c r="B275" i="5"/>
  <c r="A53" i="5"/>
  <c r="B52" i="5"/>
  <c r="B505" i="18" l="1"/>
  <c r="A506" i="18"/>
  <c r="A77" i="10"/>
  <c r="B76" i="10"/>
  <c r="N275" i="5"/>
  <c r="J275" i="5"/>
  <c r="G52" i="5"/>
  <c r="F52" i="5"/>
  <c r="A277" i="5"/>
  <c r="B276" i="5"/>
  <c r="A54" i="5"/>
  <c r="B53" i="5"/>
  <c r="A507" i="18" l="1"/>
  <c r="B506" i="18"/>
  <c r="B77" i="10"/>
  <c r="A78" i="10"/>
  <c r="N276" i="5"/>
  <c r="J276" i="5"/>
  <c r="G53" i="5"/>
  <c r="F53" i="5"/>
  <c r="B277" i="5"/>
  <c r="A278" i="5"/>
  <c r="A55" i="5"/>
  <c r="B54" i="5"/>
  <c r="A508" i="18" l="1"/>
  <c r="B507" i="18"/>
  <c r="A79" i="10"/>
  <c r="B78" i="10"/>
  <c r="G54" i="5"/>
  <c r="N277" i="5"/>
  <c r="J277" i="5"/>
  <c r="F54" i="5"/>
  <c r="B278" i="5"/>
  <c r="A279" i="5"/>
  <c r="A56" i="5"/>
  <c r="B55" i="5"/>
  <c r="A509" i="18" l="1"/>
  <c r="B508" i="18"/>
  <c r="A80" i="10"/>
  <c r="B79" i="10"/>
  <c r="G55" i="5"/>
  <c r="N278" i="5"/>
  <c r="J278" i="5"/>
  <c r="F55" i="5"/>
  <c r="A280" i="5"/>
  <c r="B279" i="5"/>
  <c r="A57" i="5"/>
  <c r="B56" i="5"/>
  <c r="B509" i="18" l="1"/>
  <c r="A510" i="18"/>
  <c r="A81" i="10"/>
  <c r="B80" i="10"/>
  <c r="G56" i="5"/>
  <c r="N279" i="5"/>
  <c r="J279" i="5"/>
  <c r="F56" i="5"/>
  <c r="B280" i="5"/>
  <c r="A281" i="5"/>
  <c r="A58" i="5"/>
  <c r="B57" i="5"/>
  <c r="B510" i="18" l="1"/>
  <c r="A511" i="18"/>
  <c r="A82" i="10"/>
  <c r="B81" i="10"/>
  <c r="G57" i="5"/>
  <c r="N280" i="5"/>
  <c r="J280" i="5"/>
  <c r="F57" i="5"/>
  <c r="A282" i="5"/>
  <c r="B281" i="5"/>
  <c r="A59" i="5"/>
  <c r="B58" i="5"/>
  <c r="B511" i="18" l="1"/>
  <c r="A512" i="18"/>
  <c r="A83" i="10"/>
  <c r="B82" i="10"/>
  <c r="G58" i="5"/>
  <c r="N281" i="5"/>
  <c r="J281" i="5"/>
  <c r="F58" i="5"/>
  <c r="A283" i="5"/>
  <c r="B282" i="5"/>
  <c r="A60" i="5"/>
  <c r="B59" i="5"/>
  <c r="B512" i="18" l="1"/>
  <c r="A513" i="18"/>
  <c r="B83" i="10"/>
  <c r="A84" i="10"/>
  <c r="G59" i="5"/>
  <c r="N282" i="5"/>
  <c r="J282" i="5"/>
  <c r="F59" i="5"/>
  <c r="A284" i="5"/>
  <c r="B283" i="5"/>
  <c r="A61" i="5"/>
  <c r="B60" i="5"/>
  <c r="B513" i="18" l="1"/>
  <c r="A514" i="18"/>
  <c r="A85" i="10"/>
  <c r="B84" i="10"/>
  <c r="G60" i="5"/>
  <c r="F60" i="5"/>
  <c r="N283" i="5"/>
  <c r="J283" i="5"/>
  <c r="A285" i="5"/>
  <c r="B284" i="5"/>
  <c r="A62" i="5"/>
  <c r="B61" i="5"/>
  <c r="B514" i="18" l="1"/>
  <c r="A515" i="18"/>
  <c r="A86" i="10"/>
  <c r="B85" i="10"/>
  <c r="G61" i="5"/>
  <c r="F61" i="5"/>
  <c r="N284" i="5"/>
  <c r="J284" i="5"/>
  <c r="A286" i="5"/>
  <c r="B285" i="5"/>
  <c r="A63" i="5"/>
  <c r="B62" i="5"/>
  <c r="B515" i="18" l="1"/>
  <c r="A516" i="18"/>
  <c r="A87" i="10"/>
  <c r="B86" i="10"/>
  <c r="N285" i="5"/>
  <c r="J285" i="5"/>
  <c r="G62" i="5"/>
  <c r="F62" i="5"/>
  <c r="A287" i="5"/>
  <c r="B286" i="5"/>
  <c r="A64" i="5"/>
  <c r="B63" i="5"/>
  <c r="B516" i="18" l="1"/>
  <c r="A88" i="10"/>
  <c r="B87" i="10"/>
  <c r="N286" i="5"/>
  <c r="J286" i="5"/>
  <c r="G63" i="5"/>
  <c r="F63" i="5"/>
  <c r="A288" i="5"/>
  <c r="B287" i="5"/>
  <c r="A65" i="5"/>
  <c r="B64" i="5"/>
  <c r="A89" i="10" l="1"/>
  <c r="B88" i="10"/>
  <c r="G64" i="5"/>
  <c r="N287" i="5"/>
  <c r="J287" i="5"/>
  <c r="F64" i="5"/>
  <c r="A289" i="5"/>
  <c r="B288" i="5"/>
  <c r="A66" i="5"/>
  <c r="B65" i="5"/>
  <c r="B89" i="10" l="1"/>
  <c r="A90" i="10"/>
  <c r="G65" i="5"/>
  <c r="N288" i="5"/>
  <c r="J288" i="5"/>
  <c r="F65" i="5"/>
  <c r="B289" i="5"/>
  <c r="A290" i="5"/>
  <c r="A67" i="5"/>
  <c r="B66" i="5"/>
  <c r="A91" i="10" l="1"/>
  <c r="B90" i="10"/>
  <c r="G66" i="5"/>
  <c r="N289" i="5"/>
  <c r="J289" i="5"/>
  <c r="F66" i="5"/>
  <c r="A291" i="5"/>
  <c r="B290" i="5"/>
  <c r="A68" i="5"/>
  <c r="B67" i="5"/>
  <c r="A92" i="10" l="1"/>
  <c r="B91" i="10"/>
  <c r="G67" i="5"/>
  <c r="N290" i="5"/>
  <c r="J290" i="5"/>
  <c r="F67" i="5"/>
  <c r="A292" i="5"/>
  <c r="B291" i="5"/>
  <c r="A69" i="5"/>
  <c r="B68" i="5"/>
  <c r="A93" i="10" l="1"/>
  <c r="B92" i="10"/>
  <c r="G68" i="5"/>
  <c r="N291" i="5"/>
  <c r="J291" i="5"/>
  <c r="F68" i="5"/>
  <c r="A293" i="5"/>
  <c r="B292" i="5"/>
  <c r="A70" i="5"/>
  <c r="B69" i="5"/>
  <c r="A94" i="10" l="1"/>
  <c r="B93" i="10"/>
  <c r="G69" i="5"/>
  <c r="N292" i="5"/>
  <c r="J292" i="5"/>
  <c r="F69" i="5"/>
  <c r="A294" i="5"/>
  <c r="B293" i="5"/>
  <c r="A71" i="5"/>
  <c r="B70" i="5"/>
  <c r="A95" i="10" l="1"/>
  <c r="B94" i="10"/>
  <c r="G70" i="5"/>
  <c r="N293" i="5"/>
  <c r="J293" i="5"/>
  <c r="F70" i="5"/>
  <c r="A295" i="5"/>
  <c r="B294" i="5"/>
  <c r="A72" i="5"/>
  <c r="B71" i="5"/>
  <c r="B95" i="10" l="1"/>
  <c r="A96" i="10"/>
  <c r="G71" i="5"/>
  <c r="N294" i="5"/>
  <c r="J294" i="5"/>
  <c r="F71" i="5"/>
  <c r="A296" i="5"/>
  <c r="B295" i="5"/>
  <c r="A73" i="5"/>
  <c r="B72" i="5"/>
  <c r="A97" i="10" l="1"/>
  <c r="B96" i="10"/>
  <c r="G72" i="5"/>
  <c r="N295" i="5"/>
  <c r="J295" i="5"/>
  <c r="F72" i="5"/>
  <c r="A297" i="5"/>
  <c r="B296" i="5"/>
  <c r="A74" i="5"/>
  <c r="B73" i="5"/>
  <c r="A98" i="10" l="1"/>
  <c r="B97" i="10"/>
  <c r="G73" i="5"/>
  <c r="N296" i="5"/>
  <c r="J296" i="5"/>
  <c r="F73" i="5"/>
  <c r="B297" i="5"/>
  <c r="A298" i="5"/>
  <c r="A75" i="5"/>
  <c r="B74" i="5"/>
  <c r="A99" i="10" l="1"/>
  <c r="B98" i="10"/>
  <c r="G74" i="5"/>
  <c r="N297" i="5"/>
  <c r="J297" i="5"/>
  <c r="F74" i="5"/>
  <c r="A299" i="5"/>
  <c r="B298" i="5"/>
  <c r="A76" i="5"/>
  <c r="B75" i="5"/>
  <c r="A100" i="10" l="1"/>
  <c r="B99" i="10"/>
  <c r="G75" i="5"/>
  <c r="N298" i="5"/>
  <c r="J298" i="5"/>
  <c r="F75" i="5"/>
  <c r="A300" i="5"/>
  <c r="B299" i="5"/>
  <c r="A77" i="5"/>
  <c r="B76" i="5"/>
  <c r="A101" i="10" l="1"/>
  <c r="B100" i="10"/>
  <c r="G76" i="5"/>
  <c r="N299" i="5"/>
  <c r="J299" i="5"/>
  <c r="F76" i="5"/>
  <c r="A301" i="5"/>
  <c r="B300" i="5"/>
  <c r="A78" i="5"/>
  <c r="B77" i="5"/>
  <c r="B101" i="10" l="1"/>
  <c r="A102" i="10"/>
  <c r="G77" i="5"/>
  <c r="N300" i="5"/>
  <c r="J300" i="5"/>
  <c r="F77" i="5"/>
  <c r="B301" i="5"/>
  <c r="A302" i="5"/>
  <c r="A79" i="5"/>
  <c r="B78" i="5"/>
  <c r="A103" i="10" l="1"/>
  <c r="B102" i="10"/>
  <c r="G78" i="5"/>
  <c r="N301" i="5"/>
  <c r="J301" i="5"/>
  <c r="F78" i="5"/>
  <c r="B302" i="5"/>
  <c r="A303" i="5"/>
  <c r="A80" i="5"/>
  <c r="B79" i="5"/>
  <c r="A104" i="10" l="1"/>
  <c r="B103" i="10"/>
  <c r="G79" i="5"/>
  <c r="N302" i="5"/>
  <c r="J302" i="5"/>
  <c r="F79" i="5"/>
  <c r="A304" i="5"/>
  <c r="B303" i="5"/>
  <c r="A81" i="5"/>
  <c r="B80" i="5"/>
  <c r="A105" i="10" l="1"/>
  <c r="B104" i="10"/>
  <c r="G80" i="5"/>
  <c r="N303" i="5"/>
  <c r="J303" i="5"/>
  <c r="F80" i="5"/>
  <c r="A305" i="5"/>
  <c r="B304" i="5"/>
  <c r="A82" i="5"/>
  <c r="B81" i="5"/>
  <c r="A106" i="10" l="1"/>
  <c r="B105" i="10"/>
  <c r="N304" i="5"/>
  <c r="J304" i="5"/>
  <c r="G81" i="5"/>
  <c r="F81" i="5"/>
  <c r="B305" i="5"/>
  <c r="A306" i="5"/>
  <c r="A83" i="5"/>
  <c r="B82" i="5"/>
  <c r="A107" i="10" l="1"/>
  <c r="B106" i="10"/>
  <c r="G82" i="5"/>
  <c r="N305" i="5"/>
  <c r="J305" i="5"/>
  <c r="F82" i="5"/>
  <c r="A307" i="5"/>
  <c r="B306" i="5"/>
  <c r="A84" i="5"/>
  <c r="B83" i="5"/>
  <c r="B107" i="10" l="1"/>
  <c r="A108" i="10"/>
  <c r="G83" i="5"/>
  <c r="N306" i="5"/>
  <c r="J306" i="5"/>
  <c r="F83" i="5"/>
  <c r="A308" i="5"/>
  <c r="B307" i="5"/>
  <c r="A85" i="5"/>
  <c r="B84" i="5"/>
  <c r="A109" i="10" l="1"/>
  <c r="B108" i="10"/>
  <c r="G84" i="5"/>
  <c r="F84" i="5"/>
  <c r="N307" i="5"/>
  <c r="J307" i="5"/>
  <c r="A309" i="5"/>
  <c r="B308" i="5"/>
  <c r="A86" i="5"/>
  <c r="B85" i="5"/>
  <c r="A110" i="10" l="1"/>
  <c r="B109" i="10"/>
  <c r="N308" i="5"/>
  <c r="J308" i="5"/>
  <c r="G85" i="5"/>
  <c r="F85" i="5"/>
  <c r="A310" i="5"/>
  <c r="B309" i="5"/>
  <c r="A87" i="5"/>
  <c r="B86" i="5"/>
  <c r="A111" i="10" l="1"/>
  <c r="B110" i="10"/>
  <c r="G86" i="5"/>
  <c r="F86" i="5"/>
  <c r="N309" i="5"/>
  <c r="J309" i="5"/>
  <c r="A311" i="5"/>
  <c r="B310" i="5"/>
  <c r="A88" i="5"/>
  <c r="B87" i="5"/>
  <c r="A112" i="10" l="1"/>
  <c r="B111" i="10"/>
  <c r="G87" i="5"/>
  <c r="F87" i="5"/>
  <c r="N310" i="5"/>
  <c r="J310" i="5"/>
  <c r="A312" i="5"/>
  <c r="B311" i="5"/>
  <c r="A89" i="5"/>
  <c r="B88" i="5"/>
  <c r="A113" i="10" l="1"/>
  <c r="B112" i="10"/>
  <c r="G88" i="5"/>
  <c r="F88" i="5"/>
  <c r="N311" i="5"/>
  <c r="J311" i="5"/>
  <c r="A313" i="5"/>
  <c r="B312" i="5"/>
  <c r="A90" i="5"/>
  <c r="B89" i="5"/>
  <c r="B113" i="10" l="1"/>
  <c r="A114" i="10"/>
  <c r="N312" i="5"/>
  <c r="J312" i="5"/>
  <c r="G89" i="5"/>
  <c r="F89" i="5"/>
  <c r="B313" i="5"/>
  <c r="A314" i="5"/>
  <c r="A91" i="5"/>
  <c r="B90" i="5"/>
  <c r="A115" i="10" l="1"/>
  <c r="B114" i="10"/>
  <c r="G90" i="5"/>
  <c r="F90" i="5"/>
  <c r="N313" i="5"/>
  <c r="J313" i="5"/>
  <c r="B314" i="5"/>
  <c r="A315" i="5"/>
  <c r="A92" i="5"/>
  <c r="B91" i="5"/>
  <c r="A116" i="10" l="1"/>
  <c r="B115" i="10"/>
  <c r="G91" i="5"/>
  <c r="F91" i="5"/>
  <c r="N314" i="5"/>
  <c r="J314" i="5"/>
  <c r="A316" i="5"/>
  <c r="B315" i="5"/>
  <c r="A93" i="5"/>
  <c r="B92" i="5"/>
  <c r="A117" i="10" l="1"/>
  <c r="B116" i="10"/>
  <c r="G92" i="5"/>
  <c r="N315" i="5"/>
  <c r="J315" i="5"/>
  <c r="F92" i="5"/>
  <c r="A317" i="5"/>
  <c r="B316" i="5"/>
  <c r="A94" i="5"/>
  <c r="B93" i="5"/>
  <c r="A118" i="10" l="1"/>
  <c r="B117" i="10"/>
  <c r="G93" i="5"/>
  <c r="N316" i="5"/>
  <c r="J316" i="5"/>
  <c r="F93" i="5"/>
  <c r="A318" i="5"/>
  <c r="B317" i="5"/>
  <c r="A95" i="5"/>
  <c r="B94" i="5"/>
  <c r="A119" i="10" l="1"/>
  <c r="B118" i="10"/>
  <c r="G94" i="5"/>
  <c r="N317" i="5"/>
  <c r="J317" i="5"/>
  <c r="F94" i="5"/>
  <c r="A319" i="5"/>
  <c r="B318" i="5"/>
  <c r="A96" i="5"/>
  <c r="B95" i="5"/>
  <c r="B119" i="10" l="1"/>
  <c r="A120" i="10"/>
  <c r="N318" i="5"/>
  <c r="J318" i="5"/>
  <c r="G95" i="5"/>
  <c r="F95" i="5"/>
  <c r="A320" i="5"/>
  <c r="B319" i="5"/>
  <c r="A97" i="5"/>
  <c r="B96" i="5"/>
  <c r="A121" i="10" l="1"/>
  <c r="B120" i="10"/>
  <c r="N319" i="5"/>
  <c r="J319" i="5"/>
  <c r="G96" i="5"/>
  <c r="F96" i="5"/>
  <c r="B320" i="5"/>
  <c r="A321" i="5"/>
  <c r="A98" i="5"/>
  <c r="B97" i="5"/>
  <c r="A122" i="10" l="1"/>
  <c r="B121" i="10"/>
  <c r="G97" i="5"/>
  <c r="N320" i="5"/>
  <c r="J320" i="5"/>
  <c r="F97" i="5"/>
  <c r="A322" i="5"/>
  <c r="B321" i="5"/>
  <c r="A99" i="5"/>
  <c r="B98" i="5"/>
  <c r="A123" i="10" l="1"/>
  <c r="B122" i="10"/>
  <c r="G98" i="5"/>
  <c r="N321" i="5"/>
  <c r="J321" i="5"/>
  <c r="F98" i="5"/>
  <c r="B322" i="5"/>
  <c r="A323" i="5"/>
  <c r="A100" i="5"/>
  <c r="B99" i="5"/>
  <c r="A124" i="10" l="1"/>
  <c r="B123" i="10"/>
  <c r="G99" i="5"/>
  <c r="N322" i="5"/>
  <c r="J322" i="5"/>
  <c r="F99" i="5"/>
  <c r="A324" i="5"/>
  <c r="B323" i="5"/>
  <c r="A101" i="5"/>
  <c r="B100" i="5"/>
  <c r="A125" i="10" l="1"/>
  <c r="B124" i="10"/>
  <c r="G100" i="5"/>
  <c r="N323" i="5"/>
  <c r="J323" i="5"/>
  <c r="F100" i="5"/>
  <c r="A325" i="5"/>
  <c r="B324" i="5"/>
  <c r="A102" i="5"/>
  <c r="B101" i="5"/>
  <c r="B125" i="10" l="1"/>
  <c r="A126" i="10"/>
  <c r="G101" i="5"/>
  <c r="N324" i="5"/>
  <c r="J324" i="5"/>
  <c r="F101" i="5"/>
  <c r="A326" i="5"/>
  <c r="B325" i="5"/>
  <c r="A103" i="5"/>
  <c r="B102" i="5"/>
  <c r="A127" i="10" l="1"/>
  <c r="B126" i="10"/>
  <c r="G102" i="5"/>
  <c r="N325" i="5"/>
  <c r="J325" i="5"/>
  <c r="F102" i="5"/>
  <c r="A327" i="5"/>
  <c r="B326" i="5"/>
  <c r="A104" i="5"/>
  <c r="B103" i="5"/>
  <c r="A128" i="10" l="1"/>
  <c r="B127" i="10"/>
  <c r="G103" i="5"/>
  <c r="N326" i="5"/>
  <c r="J326" i="5"/>
  <c r="F103" i="5"/>
  <c r="A328" i="5"/>
  <c r="B327" i="5"/>
  <c r="A105" i="5"/>
  <c r="B104" i="5"/>
  <c r="A129" i="10" l="1"/>
  <c r="B128" i="10"/>
  <c r="G104" i="5"/>
  <c r="N327" i="5"/>
  <c r="J327" i="5"/>
  <c r="F104" i="5"/>
  <c r="A329" i="5"/>
  <c r="B328" i="5"/>
  <c r="A106" i="5"/>
  <c r="B105" i="5"/>
  <c r="A130" i="10" l="1"/>
  <c r="B129" i="10"/>
  <c r="N328" i="5"/>
  <c r="J328" i="5"/>
  <c r="G105" i="5"/>
  <c r="F105" i="5"/>
  <c r="A330" i="5"/>
  <c r="B329" i="5"/>
  <c r="A107" i="5"/>
  <c r="B106" i="5"/>
  <c r="A131" i="10" l="1"/>
  <c r="B131" i="10" s="1"/>
  <c r="B130" i="10"/>
  <c r="N329" i="5"/>
  <c r="J329" i="5"/>
  <c r="G106" i="5"/>
  <c r="F106" i="5"/>
  <c r="A331" i="5"/>
  <c r="B330" i="5"/>
  <c r="A108" i="5"/>
  <c r="B107" i="5"/>
  <c r="M133" i="10" l="1"/>
  <c r="M134" i="10"/>
  <c r="N330" i="5"/>
  <c r="J330" i="5"/>
  <c r="G107" i="5"/>
  <c r="F107" i="5"/>
  <c r="A332" i="5"/>
  <c r="B331" i="5"/>
  <c r="A109" i="5"/>
  <c r="B108" i="5"/>
  <c r="G108" i="5" l="1"/>
  <c r="N331" i="5"/>
  <c r="J331" i="5"/>
  <c r="F108" i="5"/>
  <c r="B332" i="5"/>
  <c r="A333" i="5"/>
  <c r="A110" i="5"/>
  <c r="B109" i="5"/>
  <c r="G109" i="5" l="1"/>
  <c r="N332" i="5"/>
  <c r="J332" i="5"/>
  <c r="F109" i="5"/>
  <c r="A334" i="5"/>
  <c r="B333" i="5"/>
  <c r="A111" i="5"/>
  <c r="B110" i="5"/>
  <c r="G110" i="5" l="1"/>
  <c r="N333" i="5"/>
  <c r="J333" i="5"/>
  <c r="F110" i="5"/>
  <c r="B334" i="5"/>
  <c r="A335" i="5"/>
  <c r="A112" i="5"/>
  <c r="B111" i="5"/>
  <c r="G111" i="5" l="1"/>
  <c r="N334" i="5"/>
  <c r="J334" i="5"/>
  <c r="F111" i="5"/>
  <c r="A336" i="5"/>
  <c r="B335" i="5"/>
  <c r="A113" i="5"/>
  <c r="B112" i="5"/>
  <c r="G112" i="5" l="1"/>
  <c r="N335" i="5"/>
  <c r="J335" i="5"/>
  <c r="F112" i="5"/>
  <c r="A337" i="5"/>
  <c r="B336" i="5"/>
  <c r="A114" i="5"/>
  <c r="B113" i="5"/>
  <c r="G113" i="5" l="1"/>
  <c r="N336" i="5"/>
  <c r="J336" i="5"/>
  <c r="F113" i="5"/>
  <c r="B337" i="5"/>
  <c r="A338" i="5"/>
  <c r="A115" i="5"/>
  <c r="B114" i="5"/>
  <c r="N337" i="5" l="1"/>
  <c r="J337" i="5"/>
  <c r="G114" i="5"/>
  <c r="F114" i="5"/>
  <c r="B338" i="5"/>
  <c r="A339" i="5"/>
  <c r="A116" i="5"/>
  <c r="B115" i="5"/>
  <c r="N338" i="5" l="1"/>
  <c r="J338" i="5"/>
  <c r="G115" i="5"/>
  <c r="F115" i="5"/>
  <c r="A340" i="5"/>
  <c r="B339" i="5"/>
  <c r="A117" i="5"/>
  <c r="B116" i="5"/>
  <c r="G116" i="5" l="1"/>
  <c r="N339" i="5"/>
  <c r="J339" i="5"/>
  <c r="F116" i="5"/>
  <c r="A341" i="5"/>
  <c r="B340" i="5"/>
  <c r="A118" i="5"/>
  <c r="B117" i="5"/>
  <c r="G117" i="5" l="1"/>
  <c r="N340" i="5"/>
  <c r="J340" i="5"/>
  <c r="F117" i="5"/>
  <c r="A342" i="5"/>
  <c r="B341" i="5"/>
  <c r="A119" i="5"/>
  <c r="B118" i="5"/>
  <c r="N341" i="5" l="1"/>
  <c r="J341" i="5"/>
  <c r="G118" i="5"/>
  <c r="F118" i="5"/>
  <c r="A343" i="5"/>
  <c r="B342" i="5"/>
  <c r="A120" i="5"/>
  <c r="B119" i="5"/>
  <c r="G119" i="5" l="1"/>
  <c r="N342" i="5"/>
  <c r="J342" i="5"/>
  <c r="F119" i="5"/>
  <c r="A344" i="5"/>
  <c r="B343" i="5"/>
  <c r="A121" i="5"/>
  <c r="B120" i="5"/>
  <c r="G120" i="5" l="1"/>
  <c r="N343" i="5"/>
  <c r="J343" i="5"/>
  <c r="F120" i="5"/>
  <c r="A345" i="5"/>
  <c r="B344" i="5"/>
  <c r="A122" i="5"/>
  <c r="B121" i="5"/>
  <c r="G121" i="5" l="1"/>
  <c r="N344" i="5"/>
  <c r="J344" i="5"/>
  <c r="F121" i="5"/>
  <c r="A346" i="5"/>
  <c r="B345" i="5"/>
  <c r="A123" i="5"/>
  <c r="B122" i="5"/>
  <c r="N345" i="5" l="1"/>
  <c r="J345" i="5"/>
  <c r="G122" i="5"/>
  <c r="F122" i="5"/>
  <c r="B346" i="5"/>
  <c r="A347" i="5"/>
  <c r="A124" i="5"/>
  <c r="B123" i="5"/>
  <c r="G123" i="5" l="1"/>
  <c r="N346" i="5"/>
  <c r="J346" i="5"/>
  <c r="F123" i="5"/>
  <c r="A348" i="5"/>
  <c r="B347" i="5"/>
  <c r="A125" i="5"/>
  <c r="B124" i="5"/>
  <c r="G124" i="5" l="1"/>
  <c r="N347" i="5"/>
  <c r="J347" i="5"/>
  <c r="F124" i="5"/>
  <c r="A349" i="5"/>
  <c r="B348" i="5"/>
  <c r="A126" i="5"/>
  <c r="B125" i="5"/>
  <c r="N348" i="5" l="1"/>
  <c r="J348" i="5"/>
  <c r="G125" i="5"/>
  <c r="F125" i="5"/>
  <c r="A350" i="5"/>
  <c r="B349" i="5"/>
  <c r="A127" i="5"/>
  <c r="B126" i="5"/>
  <c r="N349" i="5" l="1"/>
  <c r="J349" i="5"/>
  <c r="G126" i="5"/>
  <c r="F126" i="5"/>
  <c r="B350" i="5"/>
  <c r="A351" i="5"/>
  <c r="B351" i="5" s="1"/>
  <c r="A128" i="5"/>
  <c r="B127" i="5"/>
  <c r="G127" i="5" l="1"/>
  <c r="N350" i="5"/>
  <c r="J350" i="5"/>
  <c r="N351" i="5"/>
  <c r="J351" i="5"/>
  <c r="F127" i="5"/>
  <c r="A129" i="5"/>
  <c r="B128" i="5"/>
  <c r="G128" i="5" l="1"/>
  <c r="F128" i="5"/>
  <c r="A130" i="5"/>
  <c r="B129" i="5"/>
  <c r="G129" i="5" l="1"/>
  <c r="F129" i="5"/>
  <c r="B130" i="5"/>
  <c r="A131" i="5"/>
  <c r="B131" i="5" s="1"/>
  <c r="G130" i="5" l="1"/>
  <c r="G131" i="5"/>
  <c r="F131" i="5"/>
  <c r="F130" i="5"/>
</calcChain>
</file>

<file path=xl/connections.xml><?xml version="1.0" encoding="utf-8"?>
<connections xmlns="http://schemas.openxmlformats.org/spreadsheetml/2006/main">
  <connection id="1" name="BC_noSysex" type="6" refreshedVersion="4" background="1" saveData="1">
    <textPr codePage="437" sourceFile="C:\work\Arduino\doc\Windy1\BC_noSysex.log" tab="0" delimiter=":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<sst xmlns="http://schemas.openxmlformats.org/spreadsheetml/2006/main" count="1029" uniqueCount="227">
  <si>
    <t>time</t>
  </si>
  <si>
    <t xml:space="preserve">noise </t>
  </si>
  <si>
    <t>corrected</t>
  </si>
  <si>
    <t>windy1</t>
  </si>
  <si>
    <t>Breath Dn</t>
  </si>
  <si>
    <t>DnNorm</t>
  </si>
  <si>
    <t>corr-0.2</t>
  </si>
  <si>
    <t>cor-0.1</t>
  </si>
  <si>
    <t>cor-0.2</t>
  </si>
  <si>
    <t>brth</t>
  </si>
  <si>
    <t>interp</t>
  </si>
  <si>
    <t>cor-0.05</t>
  </si>
  <si>
    <t>cor-0.01</t>
  </si>
  <si>
    <t>norm0</t>
  </si>
  <si>
    <t>norm-.05</t>
  </si>
  <si>
    <t>hi c</t>
  </si>
  <si>
    <t>hi x</t>
  </si>
  <si>
    <t>mid x^2</t>
  </si>
  <si>
    <t>mid x</t>
  </si>
  <si>
    <t>mid c</t>
  </si>
  <si>
    <t>lo x^2</t>
  </si>
  <si>
    <t xml:space="preserve">lo x </t>
  </si>
  <si>
    <t>lo c</t>
  </si>
  <si>
    <t>BC</t>
  </si>
  <si>
    <t xml:space="preserve">BC </t>
  </si>
  <si>
    <t xml:space="preserve">*Matt EVI4000s                 </t>
  </si>
  <si>
    <t>CCBREATHCURVEOSC1</t>
  </si>
  <si>
    <t>CCBREATHCURVEOSC2</t>
  </si>
  <si>
    <t>CCBREATHCURVEOSCFILTER1</t>
  </si>
  <si>
    <t>CCBREATHCURVEOSCFILTER2</t>
  </si>
  <si>
    <t>CCBREATHCURVENOISEFILTER3</t>
  </si>
  <si>
    <t>CCBREATHCURVENOISEFILTER4</t>
  </si>
  <si>
    <t>CCNOISEBREATHCURVE</t>
  </si>
  <si>
    <t xml:space="preserve">*Flugelhorn                    </t>
  </si>
  <si>
    <t xml:space="preserve">*Trumpet                       </t>
  </si>
  <si>
    <t xml:space="preserve">*Trumpets                      </t>
  </si>
  <si>
    <t xml:space="preserve">*Fuzz Horns                    </t>
  </si>
  <si>
    <t xml:space="preserve">*Flute                         </t>
  </si>
  <si>
    <t xml:space="preserve">*Oboe                          </t>
  </si>
  <si>
    <t xml:space="preserve">*Recorder                      </t>
  </si>
  <si>
    <t xml:space="preserve">*Ambient Recorder              </t>
  </si>
  <si>
    <t xml:space="preserve">*Clarinet                      </t>
  </si>
  <si>
    <t xml:space="preserve">*Classical Clarinet            </t>
  </si>
  <si>
    <t xml:space="preserve">*Bass Clarinet                 </t>
  </si>
  <si>
    <t xml:space="preserve">*Soprano Saxish                </t>
  </si>
  <si>
    <t xml:space="preserve">*Overblown                     </t>
  </si>
  <si>
    <t xml:space="preserve">*Fuzzcorder                    </t>
  </si>
  <si>
    <t xml:space="preserve">*EWI Flutish                   </t>
  </si>
  <si>
    <t xml:space="preserve">*Harmonica                     </t>
  </si>
  <si>
    <t xml:space="preserve">*Violin                        </t>
  </si>
  <si>
    <t xml:space="preserve">*Cello                         </t>
  </si>
  <si>
    <t xml:space="preserve">*Breath String                 </t>
  </si>
  <si>
    <t xml:space="preserve">*String Lead                   </t>
  </si>
  <si>
    <t xml:space="preserve">*String Machine                </t>
  </si>
  <si>
    <t xml:space="preserve">*Juno Brass                    </t>
  </si>
  <si>
    <t xml:space="preserve">*Brash Brass                   </t>
  </si>
  <si>
    <t xml:space="preserve">*Phat Brass                    </t>
  </si>
  <si>
    <t xml:space="preserve">*Squares                       </t>
  </si>
  <si>
    <t xml:space="preserve">*Brassynol                     </t>
  </si>
  <si>
    <t xml:space="preserve">*Hammer Lead                   </t>
  </si>
  <si>
    <t xml:space="preserve">*Zawinul                       </t>
  </si>
  <si>
    <t xml:space="preserve">*Zawi Lead                     </t>
  </si>
  <si>
    <t xml:space="preserve">*Fusion                        </t>
  </si>
  <si>
    <t xml:space="preserve">*Fippletronic                  </t>
  </si>
  <si>
    <t xml:space="preserve">*Blow It Out                   </t>
  </si>
  <si>
    <t xml:space="preserve">*Octaver                       </t>
  </si>
  <si>
    <t xml:space="preserve">*Frapple                       </t>
  </si>
  <si>
    <t xml:space="preserve">*EWV2000                       </t>
  </si>
  <si>
    <t xml:space="preserve">*Pluckish                      </t>
  </si>
  <si>
    <t xml:space="preserve">*Patchman                      </t>
  </si>
  <si>
    <t xml:space="preserve">*Quasar                        </t>
  </si>
  <si>
    <t xml:space="preserve">*Looper                        </t>
  </si>
  <si>
    <t xml:space="preserve">*Big Bottom                    </t>
  </si>
  <si>
    <t xml:space="preserve">*China Lead -4th               </t>
  </si>
  <si>
    <t xml:space="preserve">*D-50 Lead                     </t>
  </si>
  <si>
    <t xml:space="preserve">*Electrolosys                  </t>
  </si>
  <si>
    <t xml:space="preserve">*5th Flute                     </t>
  </si>
  <si>
    <t xml:space="preserve">*Guitarrish                    </t>
  </si>
  <si>
    <t xml:space="preserve">*Funkitron                     </t>
  </si>
  <si>
    <t xml:space="preserve">*Funky Balls                   </t>
  </si>
  <si>
    <t xml:space="preserve">*Funk Lead                     </t>
  </si>
  <si>
    <t xml:space="preserve">*Funky Pluck                   </t>
  </si>
  <si>
    <t xml:space="preserve">*Herbie!                       </t>
  </si>
  <si>
    <t xml:space="preserve">*Arpy                          </t>
  </si>
  <si>
    <t xml:space="preserve">*Bootsy Lead                   </t>
  </si>
  <si>
    <t xml:space="preserve">*Funky Lead                    </t>
  </si>
  <si>
    <t xml:space="preserve">*MegaLyle                      </t>
  </si>
  <si>
    <t xml:space="preserve">*Michael Lead                  </t>
  </si>
  <si>
    <t xml:space="preserve">*AfriLead                      </t>
  </si>
  <si>
    <t xml:space="preserve">*Phazar                        </t>
  </si>
  <si>
    <t xml:space="preserve">*Frazzler                      </t>
  </si>
  <si>
    <t xml:space="preserve">*Fuzzy Reso Pluck              </t>
  </si>
  <si>
    <t xml:space="preserve">*Pulse Lead                    </t>
  </si>
  <si>
    <t xml:space="preserve">*Vocalis                       </t>
  </si>
  <si>
    <t xml:space="preserve">*Dream -4th                    </t>
  </si>
  <si>
    <t xml:space="preserve">*Chariot                       </t>
  </si>
  <si>
    <t xml:space="preserve">*Nyle                          </t>
  </si>
  <si>
    <t xml:space="preserve">*Square Lead                   </t>
  </si>
  <si>
    <t xml:space="preserve">*EWI Lead                      </t>
  </si>
  <si>
    <t xml:space="preserve">*Juddly                        </t>
  </si>
  <si>
    <t xml:space="preserve">*Resonant Lead                 </t>
  </si>
  <si>
    <t xml:space="preserve">*Funky Octaves                 </t>
  </si>
  <si>
    <t xml:space="preserve">*Lyle                          </t>
  </si>
  <si>
    <t xml:space="preserve">*Arpy Lead                     </t>
  </si>
  <si>
    <t xml:space="preserve">*80s Brass                     </t>
  </si>
  <si>
    <t xml:space="preserve">*One Oscillator!               </t>
  </si>
  <si>
    <t xml:space="preserve">*Take The Fifth!               </t>
  </si>
  <si>
    <t xml:space="preserve">*Viper                         </t>
  </si>
  <si>
    <t xml:space="preserve">*Mintzer Lead                  </t>
  </si>
  <si>
    <t xml:space="preserve">*Zazzle                        </t>
  </si>
  <si>
    <t xml:space="preserve">*EWI4000s                      </t>
  </si>
  <si>
    <t xml:space="preserve">*Mean                          </t>
  </si>
  <si>
    <t xml:space="preserve">*Timbuktu                      </t>
  </si>
  <si>
    <t xml:space="preserve">*Fagen Lead                    </t>
  </si>
  <si>
    <t xml:space="preserve">*Eastern                       </t>
  </si>
  <si>
    <t xml:space="preserve">*Skipper                       </t>
  </si>
  <si>
    <t xml:space="preserve">*Tigress                       </t>
  </si>
  <si>
    <t xml:space="preserve">*Jan Lead 5th                  </t>
  </si>
  <si>
    <t xml:space="preserve">*Metheny                       </t>
  </si>
  <si>
    <t xml:space="preserve">*Pillow Talk                   </t>
  </si>
  <si>
    <t xml:space="preserve">*Brecker -6th                  </t>
  </si>
  <si>
    <t xml:space="preserve">*Electro                       </t>
  </si>
  <si>
    <t xml:space="preserve">*Harsh                         </t>
  </si>
  <si>
    <t xml:space="preserve">*Zappy                         </t>
  </si>
  <si>
    <t xml:space="preserve">*Phillaphill                   </t>
  </si>
  <si>
    <t xml:space="preserve">*Reso Bass                     </t>
  </si>
  <si>
    <t xml:space="preserve">*Clavi Bass                    </t>
  </si>
  <si>
    <t xml:space="preserve">*Pulse Bass                    </t>
  </si>
  <si>
    <t xml:space="preserve">*EWI Bass!                     </t>
  </si>
  <si>
    <t xml:space="preserve">*Ow Bass                       </t>
  </si>
  <si>
    <t xml:space="preserve">*Moog Bass 1001                </t>
  </si>
  <si>
    <t>R</t>
  </si>
  <si>
    <t>C1</t>
  </si>
  <si>
    <t>C2</t>
  </si>
  <si>
    <t>C3</t>
  </si>
  <si>
    <t>swpToscFilt</t>
  </si>
  <si>
    <t>BC-osc</t>
  </si>
  <si>
    <t>gamma-osc</t>
  </si>
  <si>
    <t>gamma-filt</t>
  </si>
  <si>
    <t>filterBreathMod</t>
  </si>
  <si>
    <t>bottomed at C2</t>
  </si>
  <si>
    <t>semi</t>
  </si>
  <si>
    <t>BCF = -25%</t>
  </si>
  <si>
    <t>BCF = -37.5</t>
  </si>
  <si>
    <t>FBC(with Mod@ 25%)-&gt;</t>
  </si>
  <si>
    <t>Fn96</t>
  </si>
  <si>
    <t>Fn32</t>
  </si>
  <si>
    <t>Fn64</t>
  </si>
  <si>
    <t>FBC</t>
  </si>
  <si>
    <t>loSlope</t>
  </si>
  <si>
    <t>FBCnorm</t>
  </si>
  <si>
    <t>midItercept</t>
  </si>
  <si>
    <t>hiSlope</t>
  </si>
  <si>
    <t>BCF64-c4kf6</t>
  </si>
  <si>
    <t>BCF64-c4kf12</t>
  </si>
  <si>
    <t>oBC</t>
  </si>
  <si>
    <t>midInt_hi</t>
  </si>
  <si>
    <t>midInt_lo</t>
  </si>
  <si>
    <t>CC02</t>
  </si>
  <si>
    <t>level10% Bknob-50%</t>
  </si>
  <si>
    <t>cc02norm</t>
  </si>
  <si>
    <t>cc02@127</t>
  </si>
  <si>
    <t>level%</t>
  </si>
  <si>
    <t>level10% Bknob -50%</t>
  </si>
  <si>
    <t>NoiseLevel = pow((float)patch-&gt;nrpn_msb_noise[CCNOISELEVEL]*DIV127,.35)*maxNoiseLevel;</t>
  </si>
  <si>
    <t>NoiseLevel</t>
  </si>
  <si>
    <t>Linear</t>
  </si>
  <si>
    <t>log pot</t>
  </si>
  <si>
    <t>Ym</t>
  </si>
  <si>
    <t>b</t>
  </si>
  <si>
    <t>a</t>
  </si>
  <si>
    <t>maxDelayLevel*pow(EffectsDelayLevel, gammaDelayLevel)</t>
  </si>
  <si>
    <t>DelayLevel</t>
  </si>
  <si>
    <t>00003BD5</t>
  </si>
  <si>
    <t>--</t>
  </si>
  <si>
    <t>G</t>
  </si>
  <si>
    <t>Note</t>
  </si>
  <si>
    <t>On</t>
  </si>
  <si>
    <t>00003BDF</t>
  </si>
  <si>
    <t>Off</t>
  </si>
  <si>
    <t>00003BFD</t>
  </si>
  <si>
    <t>00003C00</t>
  </si>
  <si>
    <t>hex</t>
  </si>
  <si>
    <t>LevelKnob</t>
  </si>
  <si>
    <t>LknobNorm</t>
  </si>
  <si>
    <t>LevelNorm</t>
  </si>
  <si>
    <t>AmpNorm</t>
  </si>
  <si>
    <t>LeveRMSmV</t>
  </si>
  <si>
    <t>AmpRMSmV</t>
  </si>
  <si>
    <t>Beaknob</t>
  </si>
  <si>
    <t>pitch difference</t>
  </si>
  <si>
    <t>TriRMSmV</t>
  </si>
  <si>
    <t>TriNorm</t>
  </si>
  <si>
    <t>tanh(x/k)</t>
  </si>
  <si>
    <t>cubic</t>
  </si>
  <si>
    <t>k_cubic</t>
  </si>
  <si>
    <t>k_tanh</t>
  </si>
  <si>
    <t>a_cubic</t>
  </si>
  <si>
    <t>a_sqr</t>
  </si>
  <si>
    <t>sqr</t>
  </si>
  <si>
    <t>k_sqr</t>
  </si>
  <si>
    <t>x^2</t>
  </si>
  <si>
    <t>x*x^2</t>
  </si>
  <si>
    <t>scale_cubic</t>
  </si>
  <si>
    <t>midInt</t>
  </si>
  <si>
    <t>loSlopSq</t>
  </si>
  <si>
    <t>k</t>
  </si>
  <si>
    <t>BCnorm</t>
  </si>
  <si>
    <t>max</t>
  </si>
  <si>
    <t>swpToscCurve</t>
  </si>
  <si>
    <t>x</t>
  </si>
  <si>
    <t>Ymid</t>
  </si>
  <si>
    <t>y</t>
  </si>
  <si>
    <t>FrOffset(semitones) that Fc moved</t>
  </si>
  <si>
    <t>cN: freq Slider set to Nth octave of c-note</t>
  </si>
  <si>
    <t>BCF64-c9kf0</t>
  </si>
  <si>
    <t>BCF64-c8kf0</t>
  </si>
  <si>
    <t>BCF64-c7kf0</t>
  </si>
  <si>
    <t>BCF64-c6kf0</t>
  </si>
  <si>
    <t>BCF64-c5kf0</t>
  </si>
  <si>
    <t>BCF64-c4kf0</t>
  </si>
  <si>
    <t>0 semitones of depth means the Fc = freq Slider</t>
  </si>
  <si>
    <t>kf w/ fBrthMod@0, effectively moves Fc from slider position</t>
  </si>
  <si>
    <t>kf anchor is NN=72</t>
  </si>
  <si>
    <t>slopes</t>
  </si>
  <si>
    <t>filter breath mod slope / freq slider = NN/96</t>
  </si>
  <si>
    <t>BCF64 is brth crv filter set to 64 (0%)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</si>
</sst>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sz val="10"/>
      <color theme="1"/>
      <name val="Arial Unicode MS"/>
      <family val="2"/>
    </font>
    <font>
      <sz val="11"/>
      <color rgb="FF0061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0" borderId="0" applyNumberFormat="0" applyFill="0" applyBorder="0" applyAlignment="0" applyProtection="0"/>
  </cellStyleXfs>
  <cellXfs count="20">
    <xf numFmtId="0" fontId="0" fillId="0" borderId="0" xfId="0"/>
    <xf numFmtId="164" fontId="0" fillId="0" borderId="0" xfId="0" applyNumberFormat="1"/>
    <xf numFmtId="0" fontId="1" fillId="0" borderId="0" xfId="0" applyFont="1"/>
    <xf numFmtId="164" fontId="2" fillId="2" borderId="0" xfId="1" applyNumberFormat="1"/>
    <xf numFmtId="0" fontId="2" fillId="2" borderId="0" xfId="1"/>
    <xf numFmtId="11" fontId="0" fillId="0" borderId="0" xfId="0" applyNumberFormat="1"/>
    <xf numFmtId="0" fontId="0" fillId="0" borderId="0" xfId="0" applyNumberFormat="1"/>
    <xf numFmtId="0" fontId="0" fillId="0" borderId="1" xfId="0" applyBorder="1"/>
    <xf numFmtId="0" fontId="0" fillId="0" borderId="2" xfId="0" applyBorder="1"/>
    <xf numFmtId="9" fontId="0" fillId="0" borderId="0" xfId="0" applyNumberFormat="1"/>
    <xf numFmtId="9" fontId="0" fillId="3" borderId="0" xfId="0" applyNumberFormat="1" applyFill="1"/>
    <xf numFmtId="0" fontId="0" fillId="3" borderId="0" xfId="0" applyFill="1"/>
    <xf numFmtId="0" fontId="0" fillId="0" borderId="0" xfId="0" applyAlignment="1">
      <alignment horizontal="left" wrapText="1"/>
    </xf>
    <xf numFmtId="2" fontId="0" fillId="0" borderId="0" xfId="0" applyNumberFormat="1"/>
    <xf numFmtId="164" fontId="0" fillId="3" borderId="0" xfId="0" applyNumberFormat="1" applyFill="1"/>
    <xf numFmtId="0" fontId="3" fillId="0" borderId="0" xfId="2"/>
    <xf numFmtId="0" fontId="0" fillId="0" borderId="0" xfId="0" applyAlignment="1">
      <alignment vertical="center"/>
    </xf>
    <xf numFmtId="0" fontId="0" fillId="0" borderId="0" xfId="0" applyBorder="1"/>
    <xf numFmtId="0" fontId="0" fillId="0" borderId="0" xfId="0" applyAlignment="1">
      <alignment wrapText="1"/>
    </xf>
    <xf numFmtId="0" fontId="0" fillId="0" borderId="0" xfId="0" applyAlignment="1"/>
  </cellXfs>
  <cellStyles count="3">
    <cellStyle name="Good" xfId="1" builtinId="26"/>
    <cellStyle name="Hyperlink" xfId="2" builtinId="8"/>
    <cellStyle name="Normal" xfId="0" builtinId="0"/>
  </cellStyles>
  <dxfs count="0"/>
  <tableStyles count="0" defaultTableStyle="TableStyleMedium2" defaultPivotStyle="PivotStyleLight16"/>
  <colors>
    <mruColors>
      <color rgb="FFCC99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onnections" Target="connection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011351706036744"/>
          <c:y val="3.7153141571589263E-2"/>
          <c:w val="0.69994969378827643"/>
          <c:h val="0.85243194600674921"/>
        </c:manualLayout>
      </c:layout>
      <c:scatterChart>
        <c:scatterStyle val="lineMarker"/>
        <c:varyColors val="0"/>
        <c:ser>
          <c:idx val="0"/>
          <c:order val="0"/>
          <c:tx>
            <c:strRef>
              <c:f>SweepTimeNoiseFilter!$B$1</c:f>
              <c:strCache>
                <c:ptCount val="1"/>
                <c:pt idx="0">
                  <c:v>time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2"/>
          </c:marker>
          <c:xVal>
            <c:numRef>
              <c:f>SweepTimeNoiseFilter!$A$2:$A$23</c:f>
              <c:numCache>
                <c:formatCode>General</c:formatCode>
                <c:ptCount val="22"/>
                <c:pt idx="0">
                  <c:v>1</c:v>
                </c:pt>
                <c:pt idx="1">
                  <c:v>0.99</c:v>
                </c:pt>
                <c:pt idx="2">
                  <c:v>0.98</c:v>
                </c:pt>
                <c:pt idx="3">
                  <c:v>0.97</c:v>
                </c:pt>
                <c:pt idx="4">
                  <c:v>0.96</c:v>
                </c:pt>
                <c:pt idx="5">
                  <c:v>0.95</c:v>
                </c:pt>
                <c:pt idx="6">
                  <c:v>0.94</c:v>
                </c:pt>
                <c:pt idx="7">
                  <c:v>0.92999999999999994</c:v>
                </c:pt>
                <c:pt idx="8">
                  <c:v>0.91999999999999993</c:v>
                </c:pt>
                <c:pt idx="9">
                  <c:v>0.90999999999999992</c:v>
                </c:pt>
                <c:pt idx="10">
                  <c:v>0.89999999999999991</c:v>
                </c:pt>
                <c:pt idx="11">
                  <c:v>0.85</c:v>
                </c:pt>
                <c:pt idx="12">
                  <c:v>0.8</c:v>
                </c:pt>
                <c:pt idx="13">
                  <c:v>0.7</c:v>
                </c:pt>
                <c:pt idx="14">
                  <c:v>0.6</c:v>
                </c:pt>
                <c:pt idx="15">
                  <c:v>0.5</c:v>
                </c:pt>
                <c:pt idx="16">
                  <c:v>0.4</c:v>
                </c:pt>
                <c:pt idx="17">
                  <c:v>0.38</c:v>
                </c:pt>
                <c:pt idx="18">
                  <c:v>0.3</c:v>
                </c:pt>
                <c:pt idx="19">
                  <c:v>0.2</c:v>
                </c:pt>
                <c:pt idx="20">
                  <c:v>0.1</c:v>
                </c:pt>
                <c:pt idx="21">
                  <c:v>0.05</c:v>
                </c:pt>
              </c:numCache>
            </c:numRef>
          </c:xVal>
          <c:yVal>
            <c:numRef>
              <c:f>SweepTimeNoiseFilter!$B$2:$B$23</c:f>
              <c:numCache>
                <c:formatCode>General</c:formatCode>
                <c:ptCount val="22"/>
                <c:pt idx="0">
                  <c:v>3.5</c:v>
                </c:pt>
                <c:pt idx="1">
                  <c:v>3</c:v>
                </c:pt>
                <c:pt idx="2">
                  <c:v>2.5</c:v>
                </c:pt>
                <c:pt idx="3">
                  <c:v>2.15</c:v>
                </c:pt>
                <c:pt idx="4">
                  <c:v>1.85</c:v>
                </c:pt>
                <c:pt idx="5">
                  <c:v>1.55</c:v>
                </c:pt>
                <c:pt idx="6">
                  <c:v>1.35</c:v>
                </c:pt>
                <c:pt idx="7">
                  <c:v>1.1499999999999999</c:v>
                </c:pt>
                <c:pt idx="8">
                  <c:v>0.91</c:v>
                </c:pt>
                <c:pt idx="9">
                  <c:v>0.8</c:v>
                </c:pt>
                <c:pt idx="10">
                  <c:v>0.7</c:v>
                </c:pt>
                <c:pt idx="11">
                  <c:v>0.5</c:v>
                </c:pt>
                <c:pt idx="12">
                  <c:v>0.35</c:v>
                </c:pt>
                <c:pt idx="13">
                  <c:v>0.193</c:v>
                </c:pt>
                <c:pt idx="14">
                  <c:v>0.125</c:v>
                </c:pt>
                <c:pt idx="15">
                  <c:v>8.5000000000000006E-2</c:v>
                </c:pt>
                <c:pt idx="16">
                  <c:v>5.5E-2</c:v>
                </c:pt>
                <c:pt idx="17">
                  <c:v>5.04E-2</c:v>
                </c:pt>
                <c:pt idx="18">
                  <c:v>3.2000000000000001E-2</c:v>
                </c:pt>
                <c:pt idx="19">
                  <c:v>2.4E-2</c:v>
                </c:pt>
                <c:pt idx="20">
                  <c:v>1.6E-2</c:v>
                </c:pt>
                <c:pt idx="21">
                  <c:v>1.2999999999999999E-2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SweepTimeNoiseFilter!$C$1</c:f>
              <c:strCache>
                <c:ptCount val="1"/>
                <c:pt idx="0">
                  <c:v>corrected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2"/>
          </c:marker>
          <c:xVal>
            <c:numRef>
              <c:f>SweepTimeNoiseFilter!$A$2:$A$23</c:f>
              <c:numCache>
                <c:formatCode>General</c:formatCode>
                <c:ptCount val="22"/>
                <c:pt idx="0">
                  <c:v>1</c:v>
                </c:pt>
                <c:pt idx="1">
                  <c:v>0.99</c:v>
                </c:pt>
                <c:pt idx="2">
                  <c:v>0.98</c:v>
                </c:pt>
                <c:pt idx="3">
                  <c:v>0.97</c:v>
                </c:pt>
                <c:pt idx="4">
                  <c:v>0.96</c:v>
                </c:pt>
                <c:pt idx="5">
                  <c:v>0.95</c:v>
                </c:pt>
                <c:pt idx="6">
                  <c:v>0.94</c:v>
                </c:pt>
                <c:pt idx="7">
                  <c:v>0.92999999999999994</c:v>
                </c:pt>
                <c:pt idx="8">
                  <c:v>0.91999999999999993</c:v>
                </c:pt>
                <c:pt idx="9">
                  <c:v>0.90999999999999992</c:v>
                </c:pt>
                <c:pt idx="10">
                  <c:v>0.89999999999999991</c:v>
                </c:pt>
                <c:pt idx="11">
                  <c:v>0.85</c:v>
                </c:pt>
                <c:pt idx="12">
                  <c:v>0.8</c:v>
                </c:pt>
                <c:pt idx="13">
                  <c:v>0.7</c:v>
                </c:pt>
                <c:pt idx="14">
                  <c:v>0.6</c:v>
                </c:pt>
                <c:pt idx="15">
                  <c:v>0.5</c:v>
                </c:pt>
                <c:pt idx="16">
                  <c:v>0.4</c:v>
                </c:pt>
                <c:pt idx="17">
                  <c:v>0.38</c:v>
                </c:pt>
                <c:pt idx="18">
                  <c:v>0.3</c:v>
                </c:pt>
                <c:pt idx="19">
                  <c:v>0.2</c:v>
                </c:pt>
                <c:pt idx="20">
                  <c:v>0.1</c:v>
                </c:pt>
                <c:pt idx="21">
                  <c:v>0.05</c:v>
                </c:pt>
              </c:numCache>
            </c:numRef>
          </c:xVal>
          <c:yVal>
            <c:numRef>
              <c:f>SweepTimeNoiseFilter!$C$2:$C$23</c:f>
              <c:numCache>
                <c:formatCode>General</c:formatCode>
                <c:ptCount val="22"/>
                <c:pt idx="0">
                  <c:v>3.4921466661456062</c:v>
                </c:pt>
                <c:pt idx="1">
                  <c:v>2.9677872388432736</c:v>
                </c:pt>
                <c:pt idx="2">
                  <c:v>2.5221624224512897</c:v>
                </c:pt>
                <c:pt idx="3">
                  <c:v>2.1434499083919274</c:v>
                </c:pt>
                <c:pt idx="4">
                  <c:v>1.8216025537800595</c:v>
                </c:pt>
                <c:pt idx="5">
                  <c:v>1.5480818333783486</c:v>
                </c:pt>
                <c:pt idx="6">
                  <c:v>1.3156313147798946</c:v>
                </c:pt>
                <c:pt idx="7">
                  <c:v>1.1180841471746963</c:v>
                </c:pt>
                <c:pt idx="8">
                  <c:v>0.95019945642789305</c:v>
                </c:pt>
                <c:pt idx="9">
                  <c:v>0.80752330607437772</c:v>
                </c:pt>
                <c:pt idx="10">
                  <c:v>0.69416337587776245</c:v>
                </c:pt>
                <c:pt idx="11">
                  <c:v>0.5029256493343004</c:v>
                </c:pt>
                <c:pt idx="12">
                  <c:v>0.36437273637275241</c:v>
                </c:pt>
                <c:pt idx="13">
                  <c:v>0.19126259843928511</c:v>
                </c:pt>
                <c:pt idx="14">
                  <c:v>0.12533170908825497</c:v>
                </c:pt>
                <c:pt idx="15">
                  <c:v>8.2640005819856671E-2</c:v>
                </c:pt>
                <c:pt idx="16">
                  <c:v>5.4490364901167182E-2</c:v>
                </c:pt>
                <c:pt idx="17">
                  <c:v>5.0135527837078732E-2</c:v>
                </c:pt>
                <c:pt idx="18">
                  <c:v>3.5929327903664245E-2</c:v>
                </c:pt>
                <c:pt idx="19">
                  <c:v>2.3690731488960445E-2</c:v>
                </c:pt>
                <c:pt idx="20">
                  <c:v>1.562096457765309E-2</c:v>
                </c:pt>
                <c:pt idx="21">
                  <c:v>1.268447614802546E-2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SweepTimeNoiseFilter!$D$1</c:f>
              <c:strCache>
                <c:ptCount val="1"/>
                <c:pt idx="0">
                  <c:v>windy1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3"/>
          </c:marker>
          <c:xVal>
            <c:numRef>
              <c:f>SweepTimeNoiseFilter!$A$2:$A$23</c:f>
              <c:numCache>
                <c:formatCode>General</c:formatCode>
                <c:ptCount val="22"/>
                <c:pt idx="0">
                  <c:v>1</c:v>
                </c:pt>
                <c:pt idx="1">
                  <c:v>0.99</c:v>
                </c:pt>
                <c:pt idx="2">
                  <c:v>0.98</c:v>
                </c:pt>
                <c:pt idx="3">
                  <c:v>0.97</c:v>
                </c:pt>
                <c:pt idx="4">
                  <c:v>0.96</c:v>
                </c:pt>
                <c:pt idx="5">
                  <c:v>0.95</c:v>
                </c:pt>
                <c:pt idx="6">
                  <c:v>0.94</c:v>
                </c:pt>
                <c:pt idx="7">
                  <c:v>0.92999999999999994</c:v>
                </c:pt>
                <c:pt idx="8">
                  <c:v>0.91999999999999993</c:v>
                </c:pt>
                <c:pt idx="9">
                  <c:v>0.90999999999999992</c:v>
                </c:pt>
                <c:pt idx="10">
                  <c:v>0.89999999999999991</c:v>
                </c:pt>
                <c:pt idx="11">
                  <c:v>0.85</c:v>
                </c:pt>
                <c:pt idx="12">
                  <c:v>0.8</c:v>
                </c:pt>
                <c:pt idx="13">
                  <c:v>0.7</c:v>
                </c:pt>
                <c:pt idx="14">
                  <c:v>0.6</c:v>
                </c:pt>
                <c:pt idx="15">
                  <c:v>0.5</c:v>
                </c:pt>
                <c:pt idx="16">
                  <c:v>0.4</c:v>
                </c:pt>
                <c:pt idx="17">
                  <c:v>0.38</c:v>
                </c:pt>
                <c:pt idx="18">
                  <c:v>0.3</c:v>
                </c:pt>
                <c:pt idx="19">
                  <c:v>0.2</c:v>
                </c:pt>
                <c:pt idx="20">
                  <c:v>0.1</c:v>
                </c:pt>
                <c:pt idx="21">
                  <c:v>0.05</c:v>
                </c:pt>
              </c:numCache>
            </c:numRef>
          </c:xVal>
          <c:yVal>
            <c:numRef>
              <c:f>SweepTimeNoiseFilter!$D$2:$D$23</c:f>
              <c:numCache>
                <c:formatCode>General</c:formatCode>
                <c:ptCount val="22"/>
                <c:pt idx="0">
                  <c:v>1</c:v>
                </c:pt>
                <c:pt idx="1">
                  <c:v>0.96059600999999994</c:v>
                </c:pt>
                <c:pt idx="2">
                  <c:v>0.92236815999999988</c:v>
                </c:pt>
                <c:pt idx="3">
                  <c:v>0.88529280999999993</c:v>
                </c:pt>
                <c:pt idx="4">
                  <c:v>0.84934655999999997</c:v>
                </c:pt>
                <c:pt idx="5">
                  <c:v>0.81450624999999999</c:v>
                </c:pt>
                <c:pt idx="6">
                  <c:v>0.78074895999999994</c:v>
                </c:pt>
                <c:pt idx="7">
                  <c:v>0.74805200999999977</c:v>
                </c:pt>
                <c:pt idx="8">
                  <c:v>0.71639295999999975</c:v>
                </c:pt>
                <c:pt idx="9">
                  <c:v>0.68574960999999968</c:v>
                </c:pt>
                <c:pt idx="10">
                  <c:v>0.65609999999999968</c:v>
                </c:pt>
                <c:pt idx="11">
                  <c:v>0.52200624999999989</c:v>
                </c:pt>
                <c:pt idx="12">
                  <c:v>0.40960000000000019</c:v>
                </c:pt>
                <c:pt idx="13">
                  <c:v>0.24009999999999992</c:v>
                </c:pt>
                <c:pt idx="14">
                  <c:v>0.12959999999999999</c:v>
                </c:pt>
                <c:pt idx="15">
                  <c:v>6.25E-2</c:v>
                </c:pt>
                <c:pt idx="16">
                  <c:v>2.5600000000000012E-2</c:v>
                </c:pt>
                <c:pt idx="17">
                  <c:v>2.0851359999999999E-2</c:v>
                </c:pt>
                <c:pt idx="18">
                  <c:v>8.0999999999999996E-3</c:v>
                </c:pt>
                <c:pt idx="19">
                  <c:v>1.6000000000000007E-3</c:v>
                </c:pt>
                <c:pt idx="20">
                  <c:v>1.0000000000000005E-4</c:v>
                </c:pt>
                <c:pt idx="21">
                  <c:v>6.2500000000000028E-6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814272"/>
        <c:axId val="300688512"/>
      </c:scatterChart>
      <c:valAx>
        <c:axId val="2998142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00688512"/>
        <c:crosses val="autoZero"/>
        <c:crossBetween val="midCat"/>
      </c:valAx>
      <c:valAx>
        <c:axId val="3006885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9981427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SweepTimeNoiseFilter!$B$1</c:f>
              <c:strCache>
                <c:ptCount val="1"/>
                <c:pt idx="0">
                  <c:v>time</c:v>
                </c:pt>
              </c:strCache>
            </c:strRef>
          </c:tx>
          <c:spPr>
            <a:ln w="28575">
              <a:noFill/>
            </a:ln>
          </c:spPr>
          <c:trendline>
            <c:trendlineType val="exp"/>
            <c:dispRSqr val="0"/>
            <c:dispEq val="1"/>
            <c:trendlineLbl>
              <c:layout>
                <c:manualLayout>
                  <c:x val="-4.9868766404199472E-4"/>
                  <c:y val="-3.3229075532225136E-2"/>
                </c:manualLayout>
              </c:layout>
              <c:numFmt formatCode="General" sourceLinked="0"/>
            </c:trendlineLbl>
          </c:trendline>
          <c:xVal>
            <c:numRef>
              <c:f>SweepTimeNoiseFilter!$A$2:$A$11</c:f>
              <c:numCache>
                <c:formatCode>General</c:formatCode>
                <c:ptCount val="10"/>
                <c:pt idx="0">
                  <c:v>1</c:v>
                </c:pt>
                <c:pt idx="1">
                  <c:v>0.99</c:v>
                </c:pt>
                <c:pt idx="2">
                  <c:v>0.98</c:v>
                </c:pt>
                <c:pt idx="3">
                  <c:v>0.97</c:v>
                </c:pt>
                <c:pt idx="4">
                  <c:v>0.96</c:v>
                </c:pt>
                <c:pt idx="5">
                  <c:v>0.95</c:v>
                </c:pt>
                <c:pt idx="6">
                  <c:v>0.94</c:v>
                </c:pt>
                <c:pt idx="7">
                  <c:v>0.92999999999999994</c:v>
                </c:pt>
                <c:pt idx="8">
                  <c:v>0.91999999999999993</c:v>
                </c:pt>
                <c:pt idx="9">
                  <c:v>0.90999999999999992</c:v>
                </c:pt>
              </c:numCache>
            </c:numRef>
          </c:xVal>
          <c:yVal>
            <c:numRef>
              <c:f>SweepTimeNoiseFilter!$B$2:$B$11</c:f>
              <c:numCache>
                <c:formatCode>General</c:formatCode>
                <c:ptCount val="10"/>
                <c:pt idx="0">
                  <c:v>3.5</c:v>
                </c:pt>
                <c:pt idx="1">
                  <c:v>3</c:v>
                </c:pt>
                <c:pt idx="2">
                  <c:v>2.5</c:v>
                </c:pt>
                <c:pt idx="3">
                  <c:v>2.15</c:v>
                </c:pt>
                <c:pt idx="4">
                  <c:v>1.85</c:v>
                </c:pt>
                <c:pt idx="5">
                  <c:v>1.55</c:v>
                </c:pt>
                <c:pt idx="6">
                  <c:v>1.35</c:v>
                </c:pt>
                <c:pt idx="7">
                  <c:v>1.1499999999999999</c:v>
                </c:pt>
                <c:pt idx="8">
                  <c:v>0.91</c:v>
                </c:pt>
                <c:pt idx="9">
                  <c:v>0.8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0694528"/>
        <c:axId val="300708608"/>
      </c:scatterChart>
      <c:valAx>
        <c:axId val="3006945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00708608"/>
        <c:crosses val="autoZero"/>
        <c:crossBetween val="midCat"/>
      </c:valAx>
      <c:valAx>
        <c:axId val="3007086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0069452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SweepTimeNoiseFilter!$B$1</c:f>
              <c:strCache>
                <c:ptCount val="1"/>
                <c:pt idx="0">
                  <c:v>time</c:v>
                </c:pt>
              </c:strCache>
            </c:strRef>
          </c:tx>
          <c:spPr>
            <a:ln w="28575">
              <a:noFill/>
            </a:ln>
          </c:spPr>
          <c:trendline>
            <c:trendlineType val="exp"/>
            <c:dispRSqr val="0"/>
            <c:dispEq val="1"/>
            <c:trendlineLbl>
              <c:numFmt formatCode="General" sourceLinked="0"/>
            </c:trendlineLbl>
          </c:trendline>
          <c:xVal>
            <c:numRef>
              <c:f>SweepTimeNoiseFilter!$A$15:$A$23</c:f>
              <c:numCache>
                <c:formatCode>General</c:formatCode>
                <c:ptCount val="9"/>
                <c:pt idx="0">
                  <c:v>0.7</c:v>
                </c:pt>
                <c:pt idx="1">
                  <c:v>0.6</c:v>
                </c:pt>
                <c:pt idx="2">
                  <c:v>0.5</c:v>
                </c:pt>
                <c:pt idx="3">
                  <c:v>0.4</c:v>
                </c:pt>
                <c:pt idx="4">
                  <c:v>0.38</c:v>
                </c:pt>
                <c:pt idx="5">
                  <c:v>0.3</c:v>
                </c:pt>
                <c:pt idx="6">
                  <c:v>0.2</c:v>
                </c:pt>
                <c:pt idx="7">
                  <c:v>0.1</c:v>
                </c:pt>
                <c:pt idx="8">
                  <c:v>0.05</c:v>
                </c:pt>
              </c:numCache>
            </c:numRef>
          </c:xVal>
          <c:yVal>
            <c:numRef>
              <c:f>SweepTimeNoiseFilter!$B$15:$B$23</c:f>
              <c:numCache>
                <c:formatCode>General</c:formatCode>
                <c:ptCount val="9"/>
                <c:pt idx="0">
                  <c:v>0.193</c:v>
                </c:pt>
                <c:pt idx="1">
                  <c:v>0.125</c:v>
                </c:pt>
                <c:pt idx="2">
                  <c:v>8.5000000000000006E-2</c:v>
                </c:pt>
                <c:pt idx="3">
                  <c:v>5.5E-2</c:v>
                </c:pt>
                <c:pt idx="4">
                  <c:v>5.04E-2</c:v>
                </c:pt>
                <c:pt idx="5">
                  <c:v>3.2000000000000001E-2</c:v>
                </c:pt>
                <c:pt idx="6">
                  <c:v>2.4E-2</c:v>
                </c:pt>
                <c:pt idx="7">
                  <c:v>1.6E-2</c:v>
                </c:pt>
                <c:pt idx="8">
                  <c:v>1.2999999999999999E-2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0813312"/>
        <c:axId val="300819200"/>
      </c:scatterChart>
      <c:valAx>
        <c:axId val="3008133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00819200"/>
        <c:crosses val="autoZero"/>
        <c:crossBetween val="midCat"/>
      </c:valAx>
      <c:valAx>
        <c:axId val="3008192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0081331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SweepTimeNoiseFilter!$B$1</c:f>
              <c:strCache>
                <c:ptCount val="1"/>
                <c:pt idx="0">
                  <c:v>time</c:v>
                </c:pt>
              </c:strCache>
            </c:strRef>
          </c:tx>
          <c:spPr>
            <a:ln w="28575">
              <a:noFill/>
            </a:ln>
          </c:spPr>
          <c:trendline>
            <c:trendlineType val="exp"/>
            <c:dispRSqr val="0"/>
            <c:dispEq val="1"/>
            <c:trendlineLbl>
              <c:numFmt formatCode="General" sourceLinked="0"/>
            </c:trendlineLbl>
          </c:trendline>
          <c:xVal>
            <c:numRef>
              <c:f>SweepTimeNoiseFilter!$A$12:$A$15</c:f>
              <c:numCache>
                <c:formatCode>General</c:formatCode>
                <c:ptCount val="4"/>
                <c:pt idx="0">
                  <c:v>0.89999999999999991</c:v>
                </c:pt>
                <c:pt idx="1">
                  <c:v>0.85</c:v>
                </c:pt>
                <c:pt idx="2">
                  <c:v>0.8</c:v>
                </c:pt>
                <c:pt idx="3">
                  <c:v>0.7</c:v>
                </c:pt>
              </c:numCache>
            </c:numRef>
          </c:xVal>
          <c:yVal>
            <c:numRef>
              <c:f>SweepTimeNoiseFilter!$B$12:$B$15</c:f>
              <c:numCache>
                <c:formatCode>General</c:formatCode>
                <c:ptCount val="4"/>
                <c:pt idx="0">
                  <c:v>0.7</c:v>
                </c:pt>
                <c:pt idx="1">
                  <c:v>0.5</c:v>
                </c:pt>
                <c:pt idx="2">
                  <c:v>0.35</c:v>
                </c:pt>
                <c:pt idx="3">
                  <c:v>0.193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0830720"/>
        <c:axId val="300832256"/>
      </c:scatterChart>
      <c:valAx>
        <c:axId val="3008307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00832256"/>
        <c:crosses val="autoZero"/>
        <c:crossBetween val="midCat"/>
      </c:valAx>
      <c:valAx>
        <c:axId val="300832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0083072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power"/>
            <c:dispRSqr val="0"/>
            <c:dispEq val="1"/>
            <c:trendlineLbl>
              <c:numFmt formatCode="General" sourceLinked="0"/>
            </c:trendlineLbl>
          </c:trendline>
          <c:trendline>
            <c:trendlineType val="poly"/>
            <c:order val="2"/>
            <c:dispRSqr val="0"/>
            <c:dispEq val="0"/>
          </c:trendline>
          <c:xVal>
            <c:numRef>
              <c:f>SweepTimeNoiseFilter!$Z$5:$Z$12</c:f>
              <c:numCache>
                <c:formatCode>General</c:formatCode>
                <c:ptCount val="8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300</c:v>
                </c:pt>
                <c:pt idx="6">
                  <c:v>400</c:v>
                </c:pt>
                <c:pt idx="7">
                  <c:v>500</c:v>
                </c:pt>
              </c:numCache>
            </c:numRef>
          </c:xVal>
          <c:yVal>
            <c:numRef>
              <c:f>SweepTimeNoiseFilter!$AA$5:$AA$12</c:f>
              <c:numCache>
                <c:formatCode>General</c:formatCode>
                <c:ptCount val="8"/>
                <c:pt idx="0">
                  <c:v>1.7</c:v>
                </c:pt>
                <c:pt idx="1">
                  <c:v>1.6</c:v>
                </c:pt>
                <c:pt idx="2">
                  <c:v>1.2</c:v>
                </c:pt>
                <c:pt idx="3">
                  <c:v>0.8</c:v>
                </c:pt>
                <c:pt idx="4">
                  <c:v>0.6</c:v>
                </c:pt>
                <c:pt idx="5">
                  <c:v>0.4</c:v>
                </c:pt>
                <c:pt idx="6">
                  <c:v>0.28000000000000003</c:v>
                </c:pt>
                <c:pt idx="7">
                  <c:v>0.26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0862464"/>
        <c:axId val="300868352"/>
      </c:scatterChart>
      <c:valAx>
        <c:axId val="3008624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00868352"/>
        <c:crosses val="autoZero"/>
        <c:crossBetween val="midCat"/>
      </c:valAx>
      <c:valAx>
        <c:axId val="3008683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00862464"/>
        <c:crosses val="autoZero"/>
        <c:crossBetween val="midCat"/>
      </c:valAx>
    </c:plotArea>
    <c:legend>
      <c:legendPos val="r"/>
      <c:legendEntry>
        <c:idx val="1"/>
        <c:delete val="1"/>
      </c:legendEntry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poly"/>
            <c:order val="3"/>
            <c:dispRSqr val="0"/>
            <c:dispEq val="1"/>
            <c:trendlineLbl>
              <c:numFmt formatCode="General" sourceLinked="0"/>
            </c:trendlineLbl>
          </c:trendline>
          <c:xVal>
            <c:numRef>
              <c:f>SweepTimeNoiseFilter!$Z$5:$Z$12</c:f>
              <c:numCache>
                <c:formatCode>General</c:formatCode>
                <c:ptCount val="8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300</c:v>
                </c:pt>
                <c:pt idx="6">
                  <c:v>400</c:v>
                </c:pt>
                <c:pt idx="7">
                  <c:v>500</c:v>
                </c:pt>
              </c:numCache>
            </c:numRef>
          </c:xVal>
          <c:yVal>
            <c:numRef>
              <c:f>SweepTimeNoiseFilter!$AB$5:$AB$12</c:f>
              <c:numCache>
                <c:formatCode>General</c:formatCode>
                <c:ptCount val="8"/>
                <c:pt idx="0">
                  <c:v>1</c:v>
                </c:pt>
                <c:pt idx="1">
                  <c:v>0.93055555555555569</c:v>
                </c:pt>
                <c:pt idx="2">
                  <c:v>0.65277777777777779</c:v>
                </c:pt>
                <c:pt idx="3">
                  <c:v>0.37500000000000006</c:v>
                </c:pt>
                <c:pt idx="4">
                  <c:v>0.2361111111111111</c:v>
                </c:pt>
                <c:pt idx="5">
                  <c:v>9.7222222222222238E-2</c:v>
                </c:pt>
                <c:pt idx="6">
                  <c:v>1.3888888888888902E-2</c:v>
                </c:pt>
                <c:pt idx="7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0578688"/>
        <c:axId val="300580224"/>
      </c:scatterChart>
      <c:valAx>
        <c:axId val="3005786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00580224"/>
        <c:crosses val="autoZero"/>
        <c:crossBetween val="midCat"/>
      </c:valAx>
      <c:valAx>
        <c:axId val="3005802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0057868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SweepTimeNoiseFilter!$H$28</c:f>
              <c:strCache>
                <c:ptCount val="1"/>
                <c:pt idx="0">
                  <c:v>swpToscCurve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2"/>
          </c:marker>
          <c:xVal>
            <c:numRef>
              <c:f>SweepTimeNoiseFilter!$A$29:$A$52</c:f>
              <c:numCache>
                <c:formatCode>General</c:formatCode>
                <c:ptCount val="24"/>
                <c:pt idx="0">
                  <c:v>1</c:v>
                </c:pt>
                <c:pt idx="1">
                  <c:v>0.99</c:v>
                </c:pt>
                <c:pt idx="2">
                  <c:v>0.98</c:v>
                </c:pt>
                <c:pt idx="3">
                  <c:v>0.97</c:v>
                </c:pt>
                <c:pt idx="4">
                  <c:v>0.96</c:v>
                </c:pt>
                <c:pt idx="5">
                  <c:v>0.95</c:v>
                </c:pt>
                <c:pt idx="6">
                  <c:v>0.94</c:v>
                </c:pt>
                <c:pt idx="7">
                  <c:v>0.92999999999999994</c:v>
                </c:pt>
                <c:pt idx="8">
                  <c:v>0.91999999999999993</c:v>
                </c:pt>
                <c:pt idx="9">
                  <c:v>0.90999999999999992</c:v>
                </c:pt>
                <c:pt idx="10">
                  <c:v>0.89999999999999991</c:v>
                </c:pt>
                <c:pt idx="11">
                  <c:v>0.85</c:v>
                </c:pt>
                <c:pt idx="12">
                  <c:v>0.8</c:v>
                </c:pt>
                <c:pt idx="13">
                  <c:v>0.72</c:v>
                </c:pt>
                <c:pt idx="14">
                  <c:v>0.7</c:v>
                </c:pt>
                <c:pt idx="15">
                  <c:v>0.6</c:v>
                </c:pt>
                <c:pt idx="16">
                  <c:v>0.5</c:v>
                </c:pt>
                <c:pt idx="17">
                  <c:v>0.4</c:v>
                </c:pt>
                <c:pt idx="18">
                  <c:v>0.38</c:v>
                </c:pt>
                <c:pt idx="19">
                  <c:v>0.3</c:v>
                </c:pt>
                <c:pt idx="20">
                  <c:v>0.2</c:v>
                </c:pt>
                <c:pt idx="21">
                  <c:v>0.1</c:v>
                </c:pt>
                <c:pt idx="22">
                  <c:v>0.05</c:v>
                </c:pt>
                <c:pt idx="23">
                  <c:v>0</c:v>
                </c:pt>
              </c:numCache>
            </c:numRef>
          </c:xVal>
          <c:yVal>
            <c:numRef>
              <c:f>SweepTimeNoiseFilter!$H$29:$H$52</c:f>
              <c:numCache>
                <c:formatCode>General</c:formatCode>
                <c:ptCount val="24"/>
                <c:pt idx="0">
                  <c:v>3656.5220916707726</c:v>
                </c:pt>
                <c:pt idx="1">
                  <c:v>3269.0925784814485</c:v>
                </c:pt>
                <c:pt idx="2">
                  <c:v>2922.713447028375</c:v>
                </c:pt>
                <c:pt idx="3">
                  <c:v>2613.035173634793</c:v>
                </c:pt>
                <c:pt idx="4">
                  <c:v>2336.1690916346356</c:v>
                </c:pt>
                <c:pt idx="5">
                  <c:v>2088.6385609257713</c:v>
                </c:pt>
                <c:pt idx="6">
                  <c:v>1867.3353113894959</c:v>
                </c:pt>
                <c:pt idx="7">
                  <c:v>1669.4804119754201</c:v>
                </c:pt>
                <c:pt idx="8">
                  <c:v>1492.5893753359549</c:v>
                </c:pt>
                <c:pt idx="9">
                  <c:v>1334.4409598251557</c:v>
                </c:pt>
                <c:pt idx="10">
                  <c:v>1193.0492771049453</c:v>
                </c:pt>
                <c:pt idx="11">
                  <c:v>906.23110937123806</c:v>
                </c:pt>
                <c:pt idx="12">
                  <c:v>658.71723542271093</c:v>
                </c:pt>
                <c:pt idx="13">
                  <c:v>395.39859648407685</c:v>
                </c:pt>
                <c:pt idx="14">
                  <c:v>348.03197617718922</c:v>
                </c:pt>
                <c:pt idx="15">
                  <c:v>246.00406532062524</c:v>
                </c:pt>
                <c:pt idx="16">
                  <c:v>177.74466630130286</c:v>
                </c:pt>
                <c:pt idx="17">
                  <c:v>128.42538336667354</c:v>
                </c:pt>
                <c:pt idx="18">
                  <c:v>120.34324822467937</c:v>
                </c:pt>
                <c:pt idx="19">
                  <c:v>92.790852384391229</c:v>
                </c:pt>
                <c:pt idx="20">
                  <c:v>67.04392901548637</c:v>
                </c:pt>
                <c:pt idx="21">
                  <c:v>48.441072609326298</c:v>
                </c:pt>
                <c:pt idx="22">
                  <c:v>41.175691145704164</c:v>
                </c:pt>
                <c:pt idx="23">
                  <c:v>30</c:v>
                </c:pt>
              </c:numCache>
            </c:numRef>
          </c:yVal>
          <c:smooth val="0"/>
        </c:ser>
        <c:ser>
          <c:idx val="1"/>
          <c:order val="1"/>
          <c:spPr>
            <a:ln w="28575">
              <a:noFill/>
            </a:ln>
          </c:spPr>
          <c:marker>
            <c:symbol val="square"/>
            <c:size val="2"/>
          </c:marker>
          <c:xVal>
            <c:numRef>
              <c:f>SweepTimeNoiseFilter!$A$29:$A$52</c:f>
              <c:numCache>
                <c:formatCode>General</c:formatCode>
                <c:ptCount val="24"/>
                <c:pt idx="0">
                  <c:v>1</c:v>
                </c:pt>
                <c:pt idx="1">
                  <c:v>0.99</c:v>
                </c:pt>
                <c:pt idx="2">
                  <c:v>0.98</c:v>
                </c:pt>
                <c:pt idx="3">
                  <c:v>0.97</c:v>
                </c:pt>
                <c:pt idx="4">
                  <c:v>0.96</c:v>
                </c:pt>
                <c:pt idx="5">
                  <c:v>0.95</c:v>
                </c:pt>
                <c:pt idx="6">
                  <c:v>0.94</c:v>
                </c:pt>
                <c:pt idx="7">
                  <c:v>0.92999999999999994</c:v>
                </c:pt>
                <c:pt idx="8">
                  <c:v>0.91999999999999993</c:v>
                </c:pt>
                <c:pt idx="9">
                  <c:v>0.90999999999999992</c:v>
                </c:pt>
                <c:pt idx="10">
                  <c:v>0.89999999999999991</c:v>
                </c:pt>
                <c:pt idx="11">
                  <c:v>0.85</c:v>
                </c:pt>
                <c:pt idx="12">
                  <c:v>0.8</c:v>
                </c:pt>
                <c:pt idx="13">
                  <c:v>0.72</c:v>
                </c:pt>
                <c:pt idx="14">
                  <c:v>0.7</c:v>
                </c:pt>
                <c:pt idx="15">
                  <c:v>0.6</c:v>
                </c:pt>
                <c:pt idx="16">
                  <c:v>0.5</c:v>
                </c:pt>
                <c:pt idx="17">
                  <c:v>0.4</c:v>
                </c:pt>
                <c:pt idx="18">
                  <c:v>0.38</c:v>
                </c:pt>
                <c:pt idx="19">
                  <c:v>0.3</c:v>
                </c:pt>
                <c:pt idx="20">
                  <c:v>0.2</c:v>
                </c:pt>
                <c:pt idx="21">
                  <c:v>0.1</c:v>
                </c:pt>
                <c:pt idx="22">
                  <c:v>0.05</c:v>
                </c:pt>
                <c:pt idx="23">
                  <c:v>0</c:v>
                </c:pt>
              </c:numCache>
            </c:numRef>
          </c:xVal>
          <c:yVal>
            <c:numRef>
              <c:f>SweepTimeNoiseFilter!$I$29:$I$52</c:f>
              <c:numCache>
                <c:formatCode>General</c:formatCode>
                <c:ptCount val="24"/>
                <c:pt idx="0">
                  <c:v>3641.5220916707726</c:v>
                </c:pt>
                <c:pt idx="1">
                  <c:v>3254.0925784814485</c:v>
                </c:pt>
                <c:pt idx="2">
                  <c:v>2907.713447028375</c:v>
                </c:pt>
                <c:pt idx="3">
                  <c:v>2598.035173634793</c:v>
                </c:pt>
                <c:pt idx="4">
                  <c:v>2321.1690916346356</c:v>
                </c:pt>
                <c:pt idx="5">
                  <c:v>2073.6385609257713</c:v>
                </c:pt>
                <c:pt idx="6">
                  <c:v>1852.3353113894959</c:v>
                </c:pt>
                <c:pt idx="7">
                  <c:v>1654.4804119754201</c:v>
                </c:pt>
                <c:pt idx="8">
                  <c:v>1477.5893753359549</c:v>
                </c:pt>
                <c:pt idx="9">
                  <c:v>1319.4409598251557</c:v>
                </c:pt>
                <c:pt idx="10">
                  <c:v>1178.0492771049453</c:v>
                </c:pt>
                <c:pt idx="11">
                  <c:v>891.23110937123806</c:v>
                </c:pt>
                <c:pt idx="12">
                  <c:v>643.71723542271093</c:v>
                </c:pt>
                <c:pt idx="13">
                  <c:v>380.39859648407685</c:v>
                </c:pt>
                <c:pt idx="14">
                  <c:v>333.03197617718922</c:v>
                </c:pt>
                <c:pt idx="15">
                  <c:v>231.00406532062524</c:v>
                </c:pt>
                <c:pt idx="16">
                  <c:v>162.74466630130286</c:v>
                </c:pt>
                <c:pt idx="17">
                  <c:v>113.42538336667354</c:v>
                </c:pt>
                <c:pt idx="18">
                  <c:v>105.34324822467937</c:v>
                </c:pt>
                <c:pt idx="19">
                  <c:v>77.790852384391229</c:v>
                </c:pt>
                <c:pt idx="20">
                  <c:v>52.04392901548637</c:v>
                </c:pt>
                <c:pt idx="21">
                  <c:v>33.441072609326298</c:v>
                </c:pt>
                <c:pt idx="22">
                  <c:v>26.175691145704164</c:v>
                </c:pt>
                <c:pt idx="23">
                  <c:v>15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0606976"/>
        <c:axId val="300608512"/>
      </c:scatterChart>
      <c:valAx>
        <c:axId val="3006069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00608512"/>
        <c:crosses val="autoZero"/>
        <c:crossBetween val="midCat"/>
      </c:valAx>
      <c:valAx>
        <c:axId val="3006085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0060697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011351706036744"/>
          <c:y val="3.7153141571589263E-2"/>
          <c:w val="0.69994969378827643"/>
          <c:h val="0.85243194600674921"/>
        </c:manualLayout>
      </c:layout>
      <c:scatterChart>
        <c:scatterStyle val="lineMarker"/>
        <c:varyColors val="0"/>
        <c:ser>
          <c:idx val="0"/>
          <c:order val="0"/>
          <c:tx>
            <c:strRef>
              <c:f>NoiseTime!$B$1</c:f>
              <c:strCache>
                <c:ptCount val="1"/>
                <c:pt idx="0">
                  <c:v>time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2"/>
          </c:marker>
          <c:xVal>
            <c:numRef>
              <c:f>NoiseTime!$A$2:$A$22</c:f>
              <c:numCache>
                <c:formatCode>General</c:formatCode>
                <c:ptCount val="21"/>
                <c:pt idx="0">
                  <c:v>1</c:v>
                </c:pt>
                <c:pt idx="1">
                  <c:v>0.99</c:v>
                </c:pt>
                <c:pt idx="2">
                  <c:v>0.98</c:v>
                </c:pt>
                <c:pt idx="3">
                  <c:v>0.97</c:v>
                </c:pt>
                <c:pt idx="4">
                  <c:v>0.96</c:v>
                </c:pt>
                <c:pt idx="5">
                  <c:v>0.95</c:v>
                </c:pt>
                <c:pt idx="6">
                  <c:v>0.94</c:v>
                </c:pt>
                <c:pt idx="7">
                  <c:v>0.92999999999999994</c:v>
                </c:pt>
                <c:pt idx="8">
                  <c:v>0.91999999999999993</c:v>
                </c:pt>
                <c:pt idx="9">
                  <c:v>0.90999999999999992</c:v>
                </c:pt>
                <c:pt idx="10">
                  <c:v>0.89999999999999991</c:v>
                </c:pt>
                <c:pt idx="11">
                  <c:v>0.85</c:v>
                </c:pt>
                <c:pt idx="12">
                  <c:v>0.8</c:v>
                </c:pt>
                <c:pt idx="13">
                  <c:v>0.7</c:v>
                </c:pt>
                <c:pt idx="14">
                  <c:v>0.6</c:v>
                </c:pt>
                <c:pt idx="15">
                  <c:v>0.5</c:v>
                </c:pt>
                <c:pt idx="16">
                  <c:v>0.4</c:v>
                </c:pt>
                <c:pt idx="17">
                  <c:v>0.3</c:v>
                </c:pt>
                <c:pt idx="18">
                  <c:v>0.2</c:v>
                </c:pt>
                <c:pt idx="19">
                  <c:v>0.1</c:v>
                </c:pt>
                <c:pt idx="20">
                  <c:v>0.05</c:v>
                </c:pt>
              </c:numCache>
            </c:numRef>
          </c:xVal>
          <c:yVal>
            <c:numRef>
              <c:f>NoiseTime!$B$2:$B$22</c:f>
              <c:numCache>
                <c:formatCode>General</c:formatCode>
                <c:ptCount val="21"/>
                <c:pt idx="0">
                  <c:v>3.47</c:v>
                </c:pt>
                <c:pt idx="1">
                  <c:v>3</c:v>
                </c:pt>
                <c:pt idx="2">
                  <c:v>2.63</c:v>
                </c:pt>
                <c:pt idx="3">
                  <c:v>2.4</c:v>
                </c:pt>
                <c:pt idx="4">
                  <c:v>2.2000000000000002</c:v>
                </c:pt>
                <c:pt idx="5">
                  <c:v>2</c:v>
                </c:pt>
                <c:pt idx="6">
                  <c:v>1.8</c:v>
                </c:pt>
                <c:pt idx="7">
                  <c:v>1.65</c:v>
                </c:pt>
                <c:pt idx="8">
                  <c:v>1.5</c:v>
                </c:pt>
                <c:pt idx="9">
                  <c:v>1.35</c:v>
                </c:pt>
                <c:pt idx="10">
                  <c:v>1.2</c:v>
                </c:pt>
                <c:pt idx="11">
                  <c:v>0.85</c:v>
                </c:pt>
                <c:pt idx="12">
                  <c:v>0.63600000000000001</c:v>
                </c:pt>
                <c:pt idx="13">
                  <c:v>0.41699999999999998</c:v>
                </c:pt>
                <c:pt idx="14">
                  <c:v>0.28999999999999998</c:v>
                </c:pt>
                <c:pt idx="15">
                  <c:v>0.22</c:v>
                </c:pt>
                <c:pt idx="16">
                  <c:v>0.156</c:v>
                </c:pt>
                <c:pt idx="17">
                  <c:v>0.121</c:v>
                </c:pt>
                <c:pt idx="18">
                  <c:v>9.8000000000000004E-2</c:v>
                </c:pt>
                <c:pt idx="19">
                  <c:v>7.9000000000000001E-2</c:v>
                </c:pt>
                <c:pt idx="20">
                  <c:v>6.3E-2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NoiseTime!$C$1</c:f>
              <c:strCache>
                <c:ptCount val="1"/>
                <c:pt idx="0">
                  <c:v>corrected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2"/>
          </c:marker>
          <c:xVal>
            <c:numRef>
              <c:f>NoiseTime!$A$2:$A$22</c:f>
              <c:numCache>
                <c:formatCode>General</c:formatCode>
                <c:ptCount val="21"/>
                <c:pt idx="0">
                  <c:v>1</c:v>
                </c:pt>
                <c:pt idx="1">
                  <c:v>0.99</c:v>
                </c:pt>
                <c:pt idx="2">
                  <c:v>0.98</c:v>
                </c:pt>
                <c:pt idx="3">
                  <c:v>0.97</c:v>
                </c:pt>
                <c:pt idx="4">
                  <c:v>0.96</c:v>
                </c:pt>
                <c:pt idx="5">
                  <c:v>0.95</c:v>
                </c:pt>
                <c:pt idx="6">
                  <c:v>0.94</c:v>
                </c:pt>
                <c:pt idx="7">
                  <c:v>0.92999999999999994</c:v>
                </c:pt>
                <c:pt idx="8">
                  <c:v>0.91999999999999993</c:v>
                </c:pt>
                <c:pt idx="9">
                  <c:v>0.90999999999999992</c:v>
                </c:pt>
                <c:pt idx="10">
                  <c:v>0.89999999999999991</c:v>
                </c:pt>
                <c:pt idx="11">
                  <c:v>0.85</c:v>
                </c:pt>
                <c:pt idx="12">
                  <c:v>0.8</c:v>
                </c:pt>
                <c:pt idx="13">
                  <c:v>0.7</c:v>
                </c:pt>
                <c:pt idx="14">
                  <c:v>0.6</c:v>
                </c:pt>
                <c:pt idx="15">
                  <c:v>0.5</c:v>
                </c:pt>
                <c:pt idx="16">
                  <c:v>0.4</c:v>
                </c:pt>
                <c:pt idx="17">
                  <c:v>0.3</c:v>
                </c:pt>
                <c:pt idx="18">
                  <c:v>0.2</c:v>
                </c:pt>
                <c:pt idx="19">
                  <c:v>0.1</c:v>
                </c:pt>
                <c:pt idx="20">
                  <c:v>0.05</c:v>
                </c:pt>
              </c:numCache>
            </c:numRef>
          </c:xVal>
          <c:yVal>
            <c:numRef>
              <c:f>NoiseTime!$C$2:$C$22</c:f>
              <c:numCache>
                <c:formatCode>General</c:formatCode>
                <c:ptCount val="21"/>
                <c:pt idx="0">
                  <c:v>3.2859625674443329</c:v>
                </c:pt>
                <c:pt idx="1">
                  <c:v>2.9613925921599615</c:v>
                </c:pt>
                <c:pt idx="2">
                  <c:v>2.6688819196503157</c:v>
                </c:pt>
                <c:pt idx="3">
                  <c:v>2.4052639018189295</c:v>
                </c:pt>
                <c:pt idx="4">
                  <c:v>2.1676846752932541</c:v>
                </c:pt>
                <c:pt idx="5">
                  <c:v>1.9535722662065489</c:v>
                </c:pt>
                <c:pt idx="6">
                  <c:v>1.7606087466458153</c:v>
                </c:pt>
                <c:pt idx="7">
                  <c:v>1.5867051413382478</c:v>
                </c:pt>
                <c:pt idx="8">
                  <c:v>1.4299788129223183</c:v>
                </c:pt>
                <c:pt idx="9">
                  <c:v>1.2887330809819364</c:v>
                </c:pt>
                <c:pt idx="10">
                  <c:v>1.161438854204492</c:v>
                </c:pt>
                <c:pt idx="11">
                  <c:v>0.87251099626260953</c:v>
                </c:pt>
                <c:pt idx="12">
                  <c:v>0.6727509872993348</c:v>
                </c:pt>
                <c:pt idx="13">
                  <c:v>0.39996428561668956</c:v>
                </c:pt>
                <c:pt idx="14">
                  <c:v>0.29367366225294345</c:v>
                </c:pt>
                <c:pt idx="15">
                  <c:v>0.22306632717272054</c:v>
                </c:pt>
                <c:pt idx="16">
                  <c:v>0.16943496375057884</c:v>
                </c:pt>
                <c:pt idx="17">
                  <c:v>0.12869807516457271</c:v>
                </c:pt>
                <c:pt idx="18">
                  <c:v>9.7755470207721087E-2</c:v>
                </c:pt>
                <c:pt idx="19">
                  <c:v>7.4252330062533858E-2</c:v>
                </c:pt>
                <c:pt idx="20">
                  <c:v>6.471345621682488E-2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NoiseTime!$D$1</c:f>
              <c:strCache>
                <c:ptCount val="1"/>
                <c:pt idx="0">
                  <c:v>windy1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3"/>
          </c:marker>
          <c:xVal>
            <c:numRef>
              <c:f>NoiseTime!$A$2:$A$22</c:f>
              <c:numCache>
                <c:formatCode>General</c:formatCode>
                <c:ptCount val="21"/>
                <c:pt idx="0">
                  <c:v>1</c:v>
                </c:pt>
                <c:pt idx="1">
                  <c:v>0.99</c:v>
                </c:pt>
                <c:pt idx="2">
                  <c:v>0.98</c:v>
                </c:pt>
                <c:pt idx="3">
                  <c:v>0.97</c:v>
                </c:pt>
                <c:pt idx="4">
                  <c:v>0.96</c:v>
                </c:pt>
                <c:pt idx="5">
                  <c:v>0.95</c:v>
                </c:pt>
                <c:pt idx="6">
                  <c:v>0.94</c:v>
                </c:pt>
                <c:pt idx="7">
                  <c:v>0.92999999999999994</c:v>
                </c:pt>
                <c:pt idx="8">
                  <c:v>0.91999999999999993</c:v>
                </c:pt>
                <c:pt idx="9">
                  <c:v>0.90999999999999992</c:v>
                </c:pt>
                <c:pt idx="10">
                  <c:v>0.89999999999999991</c:v>
                </c:pt>
                <c:pt idx="11">
                  <c:v>0.85</c:v>
                </c:pt>
                <c:pt idx="12">
                  <c:v>0.8</c:v>
                </c:pt>
                <c:pt idx="13">
                  <c:v>0.7</c:v>
                </c:pt>
                <c:pt idx="14">
                  <c:v>0.6</c:v>
                </c:pt>
                <c:pt idx="15">
                  <c:v>0.5</c:v>
                </c:pt>
                <c:pt idx="16">
                  <c:v>0.4</c:v>
                </c:pt>
                <c:pt idx="17">
                  <c:v>0.3</c:v>
                </c:pt>
                <c:pt idx="18">
                  <c:v>0.2</c:v>
                </c:pt>
                <c:pt idx="19">
                  <c:v>0.1</c:v>
                </c:pt>
                <c:pt idx="20">
                  <c:v>0.05</c:v>
                </c:pt>
              </c:numCache>
            </c:numRef>
          </c:xVal>
          <c:yVal>
            <c:numRef>
              <c:f>NoiseTime!$D$2:$D$22</c:f>
              <c:numCache>
                <c:formatCode>General</c:formatCode>
                <c:ptCount val="21"/>
                <c:pt idx="0">
                  <c:v>1</c:v>
                </c:pt>
                <c:pt idx="1">
                  <c:v>0.96059600999999994</c:v>
                </c:pt>
                <c:pt idx="2">
                  <c:v>0.92236815999999988</c:v>
                </c:pt>
                <c:pt idx="3">
                  <c:v>0.88529280999999993</c:v>
                </c:pt>
                <c:pt idx="4">
                  <c:v>0.84934655999999997</c:v>
                </c:pt>
                <c:pt idx="5">
                  <c:v>0.81450624999999999</c:v>
                </c:pt>
                <c:pt idx="6">
                  <c:v>0.78074895999999994</c:v>
                </c:pt>
                <c:pt idx="7">
                  <c:v>0.74805200999999977</c:v>
                </c:pt>
                <c:pt idx="8">
                  <c:v>0.71639295999999975</c:v>
                </c:pt>
                <c:pt idx="9">
                  <c:v>0.68574960999999968</c:v>
                </c:pt>
                <c:pt idx="10">
                  <c:v>0.65609999999999968</c:v>
                </c:pt>
                <c:pt idx="11">
                  <c:v>0.52200624999999989</c:v>
                </c:pt>
                <c:pt idx="12">
                  <c:v>0.40960000000000019</c:v>
                </c:pt>
                <c:pt idx="13">
                  <c:v>0.24009999999999992</c:v>
                </c:pt>
                <c:pt idx="14">
                  <c:v>0.12959999999999999</c:v>
                </c:pt>
                <c:pt idx="15">
                  <c:v>6.25E-2</c:v>
                </c:pt>
                <c:pt idx="16">
                  <c:v>2.5600000000000012E-2</c:v>
                </c:pt>
                <c:pt idx="17">
                  <c:v>8.0999999999999996E-3</c:v>
                </c:pt>
                <c:pt idx="18">
                  <c:v>1.6000000000000007E-3</c:v>
                </c:pt>
                <c:pt idx="19">
                  <c:v>1.0000000000000005E-4</c:v>
                </c:pt>
                <c:pt idx="20">
                  <c:v>6.2500000000000028E-6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0959232"/>
        <c:axId val="300960768"/>
      </c:scatterChart>
      <c:valAx>
        <c:axId val="3009592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00960768"/>
        <c:crosses val="autoZero"/>
        <c:crossBetween val="midCat"/>
      </c:valAx>
      <c:valAx>
        <c:axId val="3009607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0095923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NoiseTime!$B$1</c:f>
              <c:strCache>
                <c:ptCount val="1"/>
                <c:pt idx="0">
                  <c:v>time</c:v>
                </c:pt>
              </c:strCache>
            </c:strRef>
          </c:tx>
          <c:spPr>
            <a:ln w="28575">
              <a:noFill/>
            </a:ln>
          </c:spPr>
          <c:trendline>
            <c:trendlineType val="exp"/>
            <c:dispRSqr val="0"/>
            <c:dispEq val="1"/>
            <c:trendlineLbl>
              <c:numFmt formatCode="General" sourceLinked="0"/>
            </c:trendlineLbl>
          </c:trendline>
          <c:xVal>
            <c:numRef>
              <c:f>NoiseTime!$A$2:$A$11</c:f>
              <c:numCache>
                <c:formatCode>General</c:formatCode>
                <c:ptCount val="10"/>
                <c:pt idx="0">
                  <c:v>1</c:v>
                </c:pt>
                <c:pt idx="1">
                  <c:v>0.99</c:v>
                </c:pt>
                <c:pt idx="2">
                  <c:v>0.98</c:v>
                </c:pt>
                <c:pt idx="3">
                  <c:v>0.97</c:v>
                </c:pt>
                <c:pt idx="4">
                  <c:v>0.96</c:v>
                </c:pt>
                <c:pt idx="5">
                  <c:v>0.95</c:v>
                </c:pt>
                <c:pt idx="6">
                  <c:v>0.94</c:v>
                </c:pt>
                <c:pt idx="7">
                  <c:v>0.92999999999999994</c:v>
                </c:pt>
                <c:pt idx="8">
                  <c:v>0.91999999999999993</c:v>
                </c:pt>
                <c:pt idx="9">
                  <c:v>0.90999999999999992</c:v>
                </c:pt>
              </c:numCache>
            </c:numRef>
          </c:xVal>
          <c:yVal>
            <c:numRef>
              <c:f>NoiseTime!$B$2:$B$11</c:f>
              <c:numCache>
                <c:formatCode>General</c:formatCode>
                <c:ptCount val="10"/>
                <c:pt idx="0">
                  <c:v>3.47</c:v>
                </c:pt>
                <c:pt idx="1">
                  <c:v>3</c:v>
                </c:pt>
                <c:pt idx="2">
                  <c:v>2.63</c:v>
                </c:pt>
                <c:pt idx="3">
                  <c:v>2.4</c:v>
                </c:pt>
                <c:pt idx="4">
                  <c:v>2.2000000000000002</c:v>
                </c:pt>
                <c:pt idx="5">
                  <c:v>2</c:v>
                </c:pt>
                <c:pt idx="6">
                  <c:v>1.8</c:v>
                </c:pt>
                <c:pt idx="7">
                  <c:v>1.65</c:v>
                </c:pt>
                <c:pt idx="8">
                  <c:v>1.5</c:v>
                </c:pt>
                <c:pt idx="9">
                  <c:v>1.35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0987520"/>
        <c:axId val="300989056"/>
      </c:scatterChart>
      <c:valAx>
        <c:axId val="3009875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00989056"/>
        <c:crosses val="autoZero"/>
        <c:crossBetween val="midCat"/>
      </c:valAx>
      <c:valAx>
        <c:axId val="3009890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0098752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NoiseTime!$B$1</c:f>
              <c:strCache>
                <c:ptCount val="1"/>
                <c:pt idx="0">
                  <c:v>time</c:v>
                </c:pt>
              </c:strCache>
            </c:strRef>
          </c:tx>
          <c:spPr>
            <a:ln w="28575">
              <a:noFill/>
            </a:ln>
          </c:spPr>
          <c:trendline>
            <c:trendlineType val="exp"/>
            <c:dispRSqr val="0"/>
            <c:dispEq val="1"/>
            <c:trendlineLbl>
              <c:numFmt formatCode="General" sourceLinked="0"/>
            </c:trendlineLbl>
          </c:trendline>
          <c:xVal>
            <c:numRef>
              <c:f>NoiseTime!$A$15:$A$22</c:f>
              <c:numCache>
                <c:formatCode>General</c:formatCode>
                <c:ptCount val="8"/>
                <c:pt idx="0">
                  <c:v>0.7</c:v>
                </c:pt>
                <c:pt idx="1">
                  <c:v>0.6</c:v>
                </c:pt>
                <c:pt idx="2">
                  <c:v>0.5</c:v>
                </c:pt>
                <c:pt idx="3">
                  <c:v>0.4</c:v>
                </c:pt>
                <c:pt idx="4">
                  <c:v>0.3</c:v>
                </c:pt>
                <c:pt idx="5">
                  <c:v>0.2</c:v>
                </c:pt>
                <c:pt idx="6">
                  <c:v>0.1</c:v>
                </c:pt>
                <c:pt idx="7">
                  <c:v>0.05</c:v>
                </c:pt>
              </c:numCache>
            </c:numRef>
          </c:xVal>
          <c:yVal>
            <c:numRef>
              <c:f>NoiseTime!$B$15:$B$22</c:f>
              <c:numCache>
                <c:formatCode>General</c:formatCode>
                <c:ptCount val="8"/>
                <c:pt idx="0">
                  <c:v>0.41699999999999998</c:v>
                </c:pt>
                <c:pt idx="1">
                  <c:v>0.28999999999999998</c:v>
                </c:pt>
                <c:pt idx="2">
                  <c:v>0.22</c:v>
                </c:pt>
                <c:pt idx="3">
                  <c:v>0.156</c:v>
                </c:pt>
                <c:pt idx="4">
                  <c:v>0.121</c:v>
                </c:pt>
                <c:pt idx="5">
                  <c:v>9.8000000000000004E-2</c:v>
                </c:pt>
                <c:pt idx="6">
                  <c:v>7.9000000000000001E-2</c:v>
                </c:pt>
                <c:pt idx="7">
                  <c:v>6.3E-2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1002112"/>
        <c:axId val="301003904"/>
      </c:scatterChart>
      <c:valAx>
        <c:axId val="3010021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01003904"/>
        <c:crosses val="autoZero"/>
        <c:crossBetween val="midCat"/>
      </c:valAx>
      <c:valAx>
        <c:axId val="3010039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0100211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NoiseTime!$B$1</c:f>
              <c:strCache>
                <c:ptCount val="1"/>
                <c:pt idx="0">
                  <c:v>time</c:v>
                </c:pt>
              </c:strCache>
            </c:strRef>
          </c:tx>
          <c:spPr>
            <a:ln w="28575">
              <a:noFill/>
            </a:ln>
          </c:spPr>
          <c:trendline>
            <c:trendlineType val="exp"/>
            <c:dispRSqr val="0"/>
            <c:dispEq val="1"/>
            <c:trendlineLbl>
              <c:numFmt formatCode="General" sourceLinked="0"/>
            </c:trendlineLbl>
          </c:trendline>
          <c:xVal>
            <c:numRef>
              <c:f>NoiseTime!$A$12:$A$15</c:f>
              <c:numCache>
                <c:formatCode>General</c:formatCode>
                <c:ptCount val="4"/>
                <c:pt idx="0">
                  <c:v>0.89999999999999991</c:v>
                </c:pt>
                <c:pt idx="1">
                  <c:v>0.85</c:v>
                </c:pt>
                <c:pt idx="2">
                  <c:v>0.8</c:v>
                </c:pt>
                <c:pt idx="3">
                  <c:v>0.7</c:v>
                </c:pt>
              </c:numCache>
            </c:numRef>
          </c:xVal>
          <c:yVal>
            <c:numRef>
              <c:f>NoiseTime!$B$12:$B$15</c:f>
              <c:numCache>
                <c:formatCode>General</c:formatCode>
                <c:ptCount val="4"/>
                <c:pt idx="0">
                  <c:v>1.2</c:v>
                </c:pt>
                <c:pt idx="1">
                  <c:v>0.85</c:v>
                </c:pt>
                <c:pt idx="2">
                  <c:v>0.63600000000000001</c:v>
                </c:pt>
                <c:pt idx="3">
                  <c:v>0.41699999999999998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1320064"/>
        <c:axId val="301321600"/>
      </c:scatterChart>
      <c:valAx>
        <c:axId val="3013200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01321600"/>
        <c:crosses val="autoZero"/>
        <c:crossBetween val="midCat"/>
      </c:valAx>
      <c:valAx>
        <c:axId val="3013216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0132006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Depth vs. freq slider 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FiltBC!$AD$5</c:f>
              <c:strCache>
                <c:ptCount val="1"/>
                <c:pt idx="0">
                  <c:v>BCF64-c9kf0</c:v>
                </c:pt>
              </c:strCache>
            </c:strRef>
          </c:tx>
          <c:spPr>
            <a:ln w="28575">
              <a:noFill/>
            </a:ln>
          </c:spPr>
          <c:trendline>
            <c:name>line</c:name>
            <c:trendlineType val="linear"/>
            <c:intercept val="0"/>
            <c:dispRSqr val="0"/>
            <c:dispEq val="1"/>
            <c:trendlineLbl>
              <c:layout/>
              <c:numFmt formatCode="General" sourceLinked="0"/>
            </c:trendlineLbl>
          </c:trendline>
          <c:xVal>
            <c:numRef>
              <c:f>FiltBC!$AC$6:$AC$12</c:f>
              <c:numCache>
                <c:formatCode>0%</c:formatCode>
                <c:ptCount val="7"/>
                <c:pt idx="0">
                  <c:v>0.06</c:v>
                </c:pt>
                <c:pt idx="1">
                  <c:v>0.125</c:v>
                </c:pt>
                <c:pt idx="2">
                  <c:v>0.25</c:v>
                </c:pt>
                <c:pt idx="3">
                  <c:v>0.5</c:v>
                </c:pt>
                <c:pt idx="4">
                  <c:v>0.62</c:v>
                </c:pt>
                <c:pt idx="5">
                  <c:v>0.65</c:v>
                </c:pt>
                <c:pt idx="6">
                  <c:v>0.69</c:v>
                </c:pt>
              </c:numCache>
            </c:numRef>
          </c:xVal>
          <c:yVal>
            <c:numRef>
              <c:f>FiltBC!$AD$6:$AD$12</c:f>
              <c:numCache>
                <c:formatCode>General</c:formatCode>
                <c:ptCount val="7"/>
                <c:pt idx="0">
                  <c:v>6</c:v>
                </c:pt>
                <c:pt idx="1">
                  <c:v>15</c:v>
                </c:pt>
                <c:pt idx="2">
                  <c:v>30</c:v>
                </c:pt>
                <c:pt idx="3">
                  <c:v>60</c:v>
                </c:pt>
                <c:pt idx="4">
                  <c:v>74</c:v>
                </c:pt>
                <c:pt idx="5">
                  <c:v>78</c:v>
                </c:pt>
                <c:pt idx="6">
                  <c:v>82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FiltBC!$AH$5</c:f>
              <c:strCache>
                <c:ptCount val="1"/>
                <c:pt idx="0">
                  <c:v>BCF = -25%</c:v>
                </c:pt>
              </c:strCache>
            </c:strRef>
          </c:tx>
          <c:spPr>
            <a:ln w="28575">
              <a:noFill/>
            </a:ln>
          </c:spPr>
          <c:trendline>
            <c:trendlineType val="linear"/>
            <c:intercept val="0"/>
            <c:dispRSqr val="0"/>
            <c:dispEq val="1"/>
            <c:trendlineLbl>
              <c:layout/>
              <c:numFmt formatCode="General" sourceLinked="0"/>
            </c:trendlineLbl>
          </c:trendline>
          <c:xVal>
            <c:numRef>
              <c:f>FiltBC!$AC$6:$AC$12</c:f>
              <c:numCache>
                <c:formatCode>0%</c:formatCode>
                <c:ptCount val="7"/>
                <c:pt idx="0">
                  <c:v>0.06</c:v>
                </c:pt>
                <c:pt idx="1">
                  <c:v>0.125</c:v>
                </c:pt>
                <c:pt idx="2">
                  <c:v>0.25</c:v>
                </c:pt>
                <c:pt idx="3">
                  <c:v>0.5</c:v>
                </c:pt>
                <c:pt idx="4">
                  <c:v>0.62</c:v>
                </c:pt>
                <c:pt idx="5">
                  <c:v>0.65</c:v>
                </c:pt>
                <c:pt idx="6">
                  <c:v>0.69</c:v>
                </c:pt>
              </c:numCache>
            </c:numRef>
          </c:xVal>
          <c:yVal>
            <c:numRef>
              <c:f>FiltBC!$AH$6:$AH$9</c:f>
              <c:numCache>
                <c:formatCode>General</c:formatCode>
                <c:ptCount val="4"/>
                <c:pt idx="0">
                  <c:v>4.5999999999999996</c:v>
                </c:pt>
                <c:pt idx="1">
                  <c:v>10.5</c:v>
                </c:pt>
                <c:pt idx="2">
                  <c:v>21.5</c:v>
                </c:pt>
                <c:pt idx="3">
                  <c:v>42.4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FiltBC!$AG$5</c:f>
              <c:strCache>
                <c:ptCount val="1"/>
                <c:pt idx="0">
                  <c:v>BCF64-c6kf0</c:v>
                </c:pt>
              </c:strCache>
            </c:strRef>
          </c:tx>
          <c:spPr>
            <a:ln w="28575">
              <a:noFill/>
            </a:ln>
          </c:spPr>
          <c:xVal>
            <c:numRef>
              <c:f>FiltBC!$AC$6:$AC$12</c:f>
              <c:numCache>
                <c:formatCode>0%</c:formatCode>
                <c:ptCount val="7"/>
                <c:pt idx="0">
                  <c:v>0.06</c:v>
                </c:pt>
                <c:pt idx="1">
                  <c:v>0.125</c:v>
                </c:pt>
                <c:pt idx="2">
                  <c:v>0.25</c:v>
                </c:pt>
                <c:pt idx="3">
                  <c:v>0.5</c:v>
                </c:pt>
                <c:pt idx="4">
                  <c:v>0.62</c:v>
                </c:pt>
                <c:pt idx="5">
                  <c:v>0.65</c:v>
                </c:pt>
                <c:pt idx="6">
                  <c:v>0.69</c:v>
                </c:pt>
              </c:numCache>
            </c:numRef>
          </c:xVal>
          <c:yVal>
            <c:numRef>
              <c:f>FiltBC!$AG$6:$AG$10</c:f>
              <c:numCache>
                <c:formatCode>General</c:formatCode>
                <c:ptCount val="5"/>
                <c:pt idx="1">
                  <c:v>10.5</c:v>
                </c:pt>
                <c:pt idx="3">
                  <c:v>42</c:v>
                </c:pt>
                <c:pt idx="4">
                  <c:v>48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FiltBC!$AE$5</c:f>
              <c:strCache>
                <c:ptCount val="1"/>
                <c:pt idx="0">
                  <c:v>BCF64-c8kf0</c:v>
                </c:pt>
              </c:strCache>
            </c:strRef>
          </c:tx>
          <c:spPr>
            <a:ln w="28575">
              <a:noFill/>
            </a:ln>
          </c:spPr>
          <c:trendline>
            <c:trendlineType val="linear"/>
            <c:intercept val="0"/>
            <c:dispRSqr val="0"/>
            <c:dispEq val="1"/>
            <c:trendlineLbl>
              <c:layout/>
              <c:numFmt formatCode="General" sourceLinked="0"/>
            </c:trendlineLbl>
          </c:trendline>
          <c:xVal>
            <c:numRef>
              <c:f>FiltBC!$AC$6:$AC$12</c:f>
              <c:numCache>
                <c:formatCode>0%</c:formatCode>
                <c:ptCount val="7"/>
                <c:pt idx="0">
                  <c:v>0.06</c:v>
                </c:pt>
                <c:pt idx="1">
                  <c:v>0.125</c:v>
                </c:pt>
                <c:pt idx="2">
                  <c:v>0.25</c:v>
                </c:pt>
                <c:pt idx="3">
                  <c:v>0.5</c:v>
                </c:pt>
                <c:pt idx="4">
                  <c:v>0.62</c:v>
                </c:pt>
                <c:pt idx="5">
                  <c:v>0.65</c:v>
                </c:pt>
                <c:pt idx="6">
                  <c:v>0.69</c:v>
                </c:pt>
              </c:numCache>
            </c:numRef>
          </c:xVal>
          <c:yVal>
            <c:numRef>
              <c:f>FiltBC!$AE$6:$AE$9</c:f>
              <c:numCache>
                <c:formatCode>General</c:formatCode>
                <c:ptCount val="4"/>
                <c:pt idx="1">
                  <c:v>13</c:v>
                </c:pt>
                <c:pt idx="2">
                  <c:v>27</c:v>
                </c:pt>
                <c:pt idx="3">
                  <c:v>54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FiltBC!$AJ$5</c:f>
              <c:strCache>
                <c:ptCount val="1"/>
                <c:pt idx="0">
                  <c:v>BCF64-c5kf0</c:v>
                </c:pt>
              </c:strCache>
            </c:strRef>
          </c:tx>
          <c:spPr>
            <a:ln w="28575">
              <a:noFill/>
            </a:ln>
          </c:spPr>
          <c:trendline>
            <c:trendlineType val="linear"/>
            <c:intercept val="0"/>
            <c:dispRSqr val="0"/>
            <c:dispEq val="1"/>
            <c:trendlineLbl>
              <c:layout/>
              <c:numFmt formatCode="General" sourceLinked="0"/>
            </c:trendlineLbl>
          </c:trendline>
          <c:xVal>
            <c:numRef>
              <c:f>FiltBC!$AC$6:$AC$12</c:f>
              <c:numCache>
                <c:formatCode>0%</c:formatCode>
                <c:ptCount val="7"/>
                <c:pt idx="0">
                  <c:v>0.06</c:v>
                </c:pt>
                <c:pt idx="1">
                  <c:v>0.125</c:v>
                </c:pt>
                <c:pt idx="2">
                  <c:v>0.25</c:v>
                </c:pt>
                <c:pt idx="3">
                  <c:v>0.5</c:v>
                </c:pt>
                <c:pt idx="4">
                  <c:v>0.62</c:v>
                </c:pt>
                <c:pt idx="5">
                  <c:v>0.65</c:v>
                </c:pt>
                <c:pt idx="6">
                  <c:v>0.69</c:v>
                </c:pt>
              </c:numCache>
            </c:numRef>
          </c:xVal>
          <c:yVal>
            <c:numRef>
              <c:f>FiltBC!$AJ$6:$AJ$9</c:f>
              <c:numCache>
                <c:formatCode>General</c:formatCode>
                <c:ptCount val="4"/>
                <c:pt idx="2">
                  <c:v>18</c:v>
                </c:pt>
                <c:pt idx="3">
                  <c:v>36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FiltBC!$AK$5</c:f>
              <c:strCache>
                <c:ptCount val="1"/>
                <c:pt idx="0">
                  <c:v>BCF64-c4kf0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4"/>
          </c:marker>
          <c:trendline>
            <c:trendlineType val="linear"/>
            <c:intercept val="0"/>
            <c:dispRSqr val="0"/>
            <c:dispEq val="1"/>
            <c:trendlineLbl>
              <c:layout/>
              <c:numFmt formatCode="General" sourceLinked="0"/>
            </c:trendlineLbl>
          </c:trendline>
          <c:xVal>
            <c:numRef>
              <c:f>FiltBC!$AC$6:$AC$12</c:f>
              <c:numCache>
                <c:formatCode>0%</c:formatCode>
                <c:ptCount val="7"/>
                <c:pt idx="0">
                  <c:v>0.06</c:v>
                </c:pt>
                <c:pt idx="1">
                  <c:v>0.125</c:v>
                </c:pt>
                <c:pt idx="2">
                  <c:v>0.25</c:v>
                </c:pt>
                <c:pt idx="3">
                  <c:v>0.5</c:v>
                </c:pt>
                <c:pt idx="4">
                  <c:v>0.62</c:v>
                </c:pt>
                <c:pt idx="5">
                  <c:v>0.65</c:v>
                </c:pt>
                <c:pt idx="6">
                  <c:v>0.69</c:v>
                </c:pt>
              </c:numCache>
            </c:numRef>
          </c:xVal>
          <c:yVal>
            <c:numRef>
              <c:f>FiltBC!$AK$6:$AK$9</c:f>
              <c:numCache>
                <c:formatCode>General</c:formatCode>
                <c:ptCount val="4"/>
                <c:pt idx="1">
                  <c:v>8</c:v>
                </c:pt>
                <c:pt idx="2">
                  <c:v>15</c:v>
                </c:pt>
              </c:numCache>
            </c:numRef>
          </c:yVal>
          <c:smooth val="0"/>
        </c:ser>
        <c:ser>
          <c:idx val="6"/>
          <c:order val="6"/>
          <c:tx>
            <c:strRef>
              <c:f>FiltBC!$AF$5</c:f>
              <c:strCache>
                <c:ptCount val="1"/>
                <c:pt idx="0">
                  <c:v>BCF64-c7kf0</c:v>
                </c:pt>
              </c:strCache>
            </c:strRef>
          </c:tx>
          <c:spPr>
            <a:ln w="28575">
              <a:noFill/>
            </a:ln>
          </c:spPr>
          <c:trendline>
            <c:trendlineType val="linear"/>
            <c:intercept val="0"/>
            <c:dispRSqr val="0"/>
            <c:dispEq val="1"/>
            <c:trendlineLbl>
              <c:layout/>
              <c:numFmt formatCode="General" sourceLinked="0"/>
            </c:trendlineLbl>
          </c:trendline>
          <c:xVal>
            <c:numRef>
              <c:f>FiltBC!$AC$6:$AC$12</c:f>
              <c:numCache>
                <c:formatCode>0%</c:formatCode>
                <c:ptCount val="7"/>
                <c:pt idx="0">
                  <c:v>0.06</c:v>
                </c:pt>
                <c:pt idx="1">
                  <c:v>0.125</c:v>
                </c:pt>
                <c:pt idx="2">
                  <c:v>0.25</c:v>
                </c:pt>
                <c:pt idx="3">
                  <c:v>0.5</c:v>
                </c:pt>
                <c:pt idx="4">
                  <c:v>0.62</c:v>
                </c:pt>
                <c:pt idx="5">
                  <c:v>0.65</c:v>
                </c:pt>
                <c:pt idx="6">
                  <c:v>0.69</c:v>
                </c:pt>
              </c:numCache>
            </c:numRef>
          </c:xVal>
          <c:yVal>
            <c:numRef>
              <c:f>FiltBC!$AF$6:$AF$9</c:f>
              <c:numCache>
                <c:formatCode>General</c:formatCode>
                <c:ptCount val="4"/>
                <c:pt idx="2">
                  <c:v>25</c:v>
                </c:pt>
                <c:pt idx="3">
                  <c:v>51</c:v>
                </c:pt>
              </c:numCache>
            </c:numRef>
          </c:yVal>
          <c:smooth val="0"/>
        </c:ser>
        <c:ser>
          <c:idx val="7"/>
          <c:order val="7"/>
          <c:tx>
            <c:strRef>
              <c:f>FiltBC!$AL$5</c:f>
              <c:strCache>
                <c:ptCount val="1"/>
                <c:pt idx="0">
                  <c:v>BCF64-c4kf6</c:v>
                </c:pt>
              </c:strCache>
            </c:strRef>
          </c:tx>
          <c:spPr>
            <a:ln w="28575">
              <a:noFill/>
            </a:ln>
          </c:spPr>
          <c:marker>
            <c:symbol val="plus"/>
            <c:size val="7"/>
          </c:marker>
          <c:trendline>
            <c:trendlineType val="linear"/>
            <c:dispRSqr val="0"/>
            <c:dispEq val="1"/>
            <c:trendlineLbl>
              <c:layout>
                <c:manualLayout>
                  <c:x val="-0.17741659480078326"/>
                  <c:y val="0.1195021536417786"/>
                </c:manualLayout>
              </c:layout>
              <c:numFmt formatCode="General" sourceLinked="0"/>
            </c:trendlineLbl>
          </c:trendline>
          <c:xVal>
            <c:numRef>
              <c:f>FiltBC!$AC$6:$AC$12</c:f>
              <c:numCache>
                <c:formatCode>0%</c:formatCode>
                <c:ptCount val="7"/>
                <c:pt idx="0">
                  <c:v>0.06</c:v>
                </c:pt>
                <c:pt idx="1">
                  <c:v>0.125</c:v>
                </c:pt>
                <c:pt idx="2">
                  <c:v>0.25</c:v>
                </c:pt>
                <c:pt idx="3">
                  <c:v>0.5</c:v>
                </c:pt>
                <c:pt idx="4">
                  <c:v>0.62</c:v>
                </c:pt>
                <c:pt idx="5">
                  <c:v>0.65</c:v>
                </c:pt>
                <c:pt idx="6">
                  <c:v>0.69</c:v>
                </c:pt>
              </c:numCache>
            </c:numRef>
          </c:xVal>
          <c:yVal>
            <c:numRef>
              <c:f>FiltBC!$AL$6:$AL$8</c:f>
              <c:numCache>
                <c:formatCode>General</c:formatCode>
                <c:ptCount val="3"/>
                <c:pt idx="0">
                  <c:v>9.6999999999999993</c:v>
                </c:pt>
                <c:pt idx="1">
                  <c:v>13.6</c:v>
                </c:pt>
                <c:pt idx="2">
                  <c:v>21.19</c:v>
                </c:pt>
              </c:numCache>
            </c:numRef>
          </c:yVal>
          <c:smooth val="0"/>
        </c:ser>
        <c:ser>
          <c:idx val="8"/>
          <c:order val="8"/>
          <c:tx>
            <c:strRef>
              <c:f>FiltBC!$AM$5</c:f>
              <c:strCache>
                <c:ptCount val="1"/>
                <c:pt idx="0">
                  <c:v>BCF64-c4kf12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4"/>
          </c:marker>
          <c:trendline>
            <c:trendlineType val="linear"/>
            <c:dispRSqr val="0"/>
            <c:dispEq val="0"/>
          </c:trendline>
          <c:xVal>
            <c:numRef>
              <c:f>FiltBC!$AC$6:$AC$12</c:f>
              <c:numCache>
                <c:formatCode>0%</c:formatCode>
                <c:ptCount val="7"/>
                <c:pt idx="0">
                  <c:v>0.06</c:v>
                </c:pt>
                <c:pt idx="1">
                  <c:v>0.125</c:v>
                </c:pt>
                <c:pt idx="2">
                  <c:v>0.25</c:v>
                </c:pt>
                <c:pt idx="3">
                  <c:v>0.5</c:v>
                </c:pt>
                <c:pt idx="4">
                  <c:v>0.62</c:v>
                </c:pt>
                <c:pt idx="5">
                  <c:v>0.65</c:v>
                </c:pt>
                <c:pt idx="6">
                  <c:v>0.69</c:v>
                </c:pt>
              </c:numCache>
            </c:numRef>
          </c:xVal>
          <c:yVal>
            <c:numRef>
              <c:f>FiltBC!$AM$6:$AM$8</c:f>
              <c:numCache>
                <c:formatCode>General</c:formatCode>
                <c:ptCount val="3"/>
                <c:pt idx="0">
                  <c:v>15.8</c:v>
                </c:pt>
                <c:pt idx="1">
                  <c:v>19.5</c:v>
                </c:pt>
                <c:pt idx="2">
                  <c:v>27.13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0004096"/>
        <c:axId val="300006016"/>
      </c:scatterChart>
      <c:valAx>
        <c:axId val="3000040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Filter</a:t>
                </a:r>
                <a:r>
                  <a:rPr lang="en-US" baseline="0"/>
                  <a:t> Breath Mod knob</a:t>
                </a:r>
              </a:p>
            </c:rich>
          </c:tx>
          <c:layout/>
          <c:overlay val="0"/>
        </c:title>
        <c:numFmt formatCode="0%" sourceLinked="1"/>
        <c:majorTickMark val="out"/>
        <c:minorTickMark val="none"/>
        <c:tickLblPos val="nextTo"/>
        <c:crossAx val="300006016"/>
        <c:crosses val="autoZero"/>
        <c:crossBetween val="midCat"/>
      </c:valAx>
      <c:valAx>
        <c:axId val="30000601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semi tones of depth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300004096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3"/>
          <c:order val="0"/>
          <c:spPr>
            <a:ln w="28575">
              <a:noFill/>
            </a:ln>
          </c:spPr>
          <c:xVal>
            <c:numRef>
              <c:f>FiltBC!$B$4:$B$130</c:f>
              <c:numCache>
                <c:formatCode>General</c:formatCode>
                <c:ptCount val="127"/>
                <c:pt idx="0">
                  <c:v>1</c:v>
                </c:pt>
                <c:pt idx="1">
                  <c:v>0.99212598425196852</c:v>
                </c:pt>
                <c:pt idx="2">
                  <c:v>0.98425196850393704</c:v>
                </c:pt>
                <c:pt idx="3">
                  <c:v>0.97637795275590555</c:v>
                </c:pt>
                <c:pt idx="4">
                  <c:v>0.96850393700787396</c:v>
                </c:pt>
                <c:pt idx="5">
                  <c:v>0.96062992125984248</c:v>
                </c:pt>
                <c:pt idx="6">
                  <c:v>0.952755905511811</c:v>
                </c:pt>
                <c:pt idx="7">
                  <c:v>0.94488188976377951</c:v>
                </c:pt>
                <c:pt idx="8">
                  <c:v>0.93700787401574803</c:v>
                </c:pt>
                <c:pt idx="9">
                  <c:v>0.92913385826771655</c:v>
                </c:pt>
                <c:pt idx="10">
                  <c:v>0.92125984251968507</c:v>
                </c:pt>
                <c:pt idx="11">
                  <c:v>0.91338582677165359</c:v>
                </c:pt>
                <c:pt idx="12">
                  <c:v>0.90551181102362199</c:v>
                </c:pt>
                <c:pt idx="13">
                  <c:v>0.89763779527559051</c:v>
                </c:pt>
                <c:pt idx="14">
                  <c:v>0.88976377952755903</c:v>
                </c:pt>
                <c:pt idx="15">
                  <c:v>0.88188976377952755</c:v>
                </c:pt>
                <c:pt idx="16">
                  <c:v>0.87401574803149606</c:v>
                </c:pt>
                <c:pt idx="17">
                  <c:v>0.86614173228346458</c:v>
                </c:pt>
                <c:pt idx="18">
                  <c:v>0.8582677165354331</c:v>
                </c:pt>
                <c:pt idx="19">
                  <c:v>0.85039370078740162</c:v>
                </c:pt>
                <c:pt idx="20">
                  <c:v>0.84251968503937003</c:v>
                </c:pt>
                <c:pt idx="21">
                  <c:v>0.83464566929133854</c:v>
                </c:pt>
                <c:pt idx="22">
                  <c:v>0.82677165354330706</c:v>
                </c:pt>
                <c:pt idx="23">
                  <c:v>0.81889763779527558</c:v>
                </c:pt>
                <c:pt idx="24">
                  <c:v>0.8110236220472441</c:v>
                </c:pt>
                <c:pt idx="25">
                  <c:v>0.80314960629921262</c:v>
                </c:pt>
                <c:pt idx="26">
                  <c:v>0.79527559055118113</c:v>
                </c:pt>
                <c:pt idx="27">
                  <c:v>0.78740157480314965</c:v>
                </c:pt>
                <c:pt idx="28">
                  <c:v>0.77952755905511806</c:v>
                </c:pt>
                <c:pt idx="29">
                  <c:v>0.77165354330708658</c:v>
                </c:pt>
                <c:pt idx="30">
                  <c:v>0.76377952755905509</c:v>
                </c:pt>
                <c:pt idx="31">
                  <c:v>0.75590551181102361</c:v>
                </c:pt>
                <c:pt idx="32">
                  <c:v>0.74803149606299213</c:v>
                </c:pt>
                <c:pt idx="33">
                  <c:v>0.74015748031496065</c:v>
                </c:pt>
                <c:pt idx="34">
                  <c:v>0.73228346456692917</c:v>
                </c:pt>
                <c:pt idx="35">
                  <c:v>0.72440944881889768</c:v>
                </c:pt>
                <c:pt idx="36">
                  <c:v>0.71653543307086609</c:v>
                </c:pt>
                <c:pt idx="37">
                  <c:v>0.70866141732283461</c:v>
                </c:pt>
                <c:pt idx="38">
                  <c:v>0.70078740157480313</c:v>
                </c:pt>
                <c:pt idx="39">
                  <c:v>0.69291338582677164</c:v>
                </c:pt>
                <c:pt idx="40">
                  <c:v>0.68503937007874016</c:v>
                </c:pt>
                <c:pt idx="41">
                  <c:v>0.67716535433070868</c:v>
                </c:pt>
                <c:pt idx="42">
                  <c:v>0.6692913385826772</c:v>
                </c:pt>
                <c:pt idx="43">
                  <c:v>0.66141732283464572</c:v>
                </c:pt>
                <c:pt idx="44">
                  <c:v>0.65354330708661412</c:v>
                </c:pt>
                <c:pt idx="45">
                  <c:v>0.64566929133858264</c:v>
                </c:pt>
                <c:pt idx="46">
                  <c:v>0.63779527559055116</c:v>
                </c:pt>
                <c:pt idx="47">
                  <c:v>0.62992125984251968</c:v>
                </c:pt>
                <c:pt idx="48">
                  <c:v>0.62204724409448819</c:v>
                </c:pt>
                <c:pt idx="49">
                  <c:v>0.61417322834645671</c:v>
                </c:pt>
                <c:pt idx="50">
                  <c:v>0.60629921259842523</c:v>
                </c:pt>
                <c:pt idx="51">
                  <c:v>0.59842519685039375</c:v>
                </c:pt>
                <c:pt idx="52">
                  <c:v>0.59055118110236215</c:v>
                </c:pt>
                <c:pt idx="53">
                  <c:v>0.58267716535433067</c:v>
                </c:pt>
                <c:pt idx="54">
                  <c:v>0.57480314960629919</c:v>
                </c:pt>
                <c:pt idx="55">
                  <c:v>0.56692913385826771</c:v>
                </c:pt>
                <c:pt idx="56">
                  <c:v>0.55905511811023623</c:v>
                </c:pt>
                <c:pt idx="57">
                  <c:v>0.55118110236220474</c:v>
                </c:pt>
                <c:pt idx="58">
                  <c:v>0.54330708661417326</c:v>
                </c:pt>
                <c:pt idx="59">
                  <c:v>0.53543307086614178</c:v>
                </c:pt>
                <c:pt idx="60">
                  <c:v>0.52755905511811019</c:v>
                </c:pt>
                <c:pt idx="61">
                  <c:v>0.51968503937007871</c:v>
                </c:pt>
                <c:pt idx="62">
                  <c:v>0.51181102362204722</c:v>
                </c:pt>
                <c:pt idx="63">
                  <c:v>0.50393700787401574</c:v>
                </c:pt>
                <c:pt idx="64">
                  <c:v>0.49606299212598426</c:v>
                </c:pt>
                <c:pt idx="65">
                  <c:v>0.48818897637795278</c:v>
                </c:pt>
                <c:pt idx="66">
                  <c:v>0.48031496062992124</c:v>
                </c:pt>
                <c:pt idx="67">
                  <c:v>0.47244094488188976</c:v>
                </c:pt>
                <c:pt idx="68">
                  <c:v>0.46456692913385828</c:v>
                </c:pt>
                <c:pt idx="69">
                  <c:v>0.45669291338582679</c:v>
                </c:pt>
                <c:pt idx="70">
                  <c:v>0.44881889763779526</c:v>
                </c:pt>
                <c:pt idx="71">
                  <c:v>0.44094488188976377</c:v>
                </c:pt>
                <c:pt idx="72">
                  <c:v>0.43307086614173229</c:v>
                </c:pt>
                <c:pt idx="73">
                  <c:v>0.42519685039370081</c:v>
                </c:pt>
                <c:pt idx="74">
                  <c:v>0.41732283464566927</c:v>
                </c:pt>
                <c:pt idx="75">
                  <c:v>0.40944881889763779</c:v>
                </c:pt>
                <c:pt idx="76">
                  <c:v>0.40157480314960631</c:v>
                </c:pt>
                <c:pt idx="77">
                  <c:v>0.39370078740157483</c:v>
                </c:pt>
                <c:pt idx="78">
                  <c:v>0.38582677165354329</c:v>
                </c:pt>
                <c:pt idx="79">
                  <c:v>0.37795275590551181</c:v>
                </c:pt>
                <c:pt idx="80">
                  <c:v>0.37007874015748032</c:v>
                </c:pt>
                <c:pt idx="81">
                  <c:v>0.36220472440944884</c:v>
                </c:pt>
                <c:pt idx="82">
                  <c:v>0.3543307086614173</c:v>
                </c:pt>
                <c:pt idx="83">
                  <c:v>0.34645669291338582</c:v>
                </c:pt>
                <c:pt idx="84">
                  <c:v>0.33858267716535434</c:v>
                </c:pt>
                <c:pt idx="85">
                  <c:v>0.33070866141732286</c:v>
                </c:pt>
                <c:pt idx="86">
                  <c:v>0.32283464566929132</c:v>
                </c:pt>
                <c:pt idx="87">
                  <c:v>0.31496062992125984</c:v>
                </c:pt>
                <c:pt idx="88">
                  <c:v>0.30708661417322836</c:v>
                </c:pt>
                <c:pt idx="89">
                  <c:v>0.29921259842519687</c:v>
                </c:pt>
                <c:pt idx="90">
                  <c:v>0.29133858267716534</c:v>
                </c:pt>
                <c:pt idx="91">
                  <c:v>0.28346456692913385</c:v>
                </c:pt>
                <c:pt idx="92">
                  <c:v>0.27559055118110237</c:v>
                </c:pt>
                <c:pt idx="93">
                  <c:v>0.26771653543307089</c:v>
                </c:pt>
                <c:pt idx="94">
                  <c:v>0.25984251968503935</c:v>
                </c:pt>
                <c:pt idx="95">
                  <c:v>0.25196850393700787</c:v>
                </c:pt>
                <c:pt idx="96">
                  <c:v>0.24409448818897639</c:v>
                </c:pt>
                <c:pt idx="97">
                  <c:v>0.23622047244094488</c:v>
                </c:pt>
                <c:pt idx="98">
                  <c:v>0.2283464566929134</c:v>
                </c:pt>
                <c:pt idx="99">
                  <c:v>0.22047244094488189</c:v>
                </c:pt>
                <c:pt idx="100">
                  <c:v>0.2125984251968504</c:v>
                </c:pt>
                <c:pt idx="101">
                  <c:v>0.20472440944881889</c:v>
                </c:pt>
                <c:pt idx="102">
                  <c:v>0.19685039370078741</c:v>
                </c:pt>
                <c:pt idx="103">
                  <c:v>0.1889763779527559</c:v>
                </c:pt>
                <c:pt idx="104">
                  <c:v>0.18110236220472442</c:v>
                </c:pt>
                <c:pt idx="105">
                  <c:v>0.17322834645669291</c:v>
                </c:pt>
                <c:pt idx="106">
                  <c:v>0.16535433070866143</c:v>
                </c:pt>
                <c:pt idx="107">
                  <c:v>0.15748031496062992</c:v>
                </c:pt>
                <c:pt idx="108">
                  <c:v>0.14960629921259844</c:v>
                </c:pt>
                <c:pt idx="109">
                  <c:v>0.14173228346456693</c:v>
                </c:pt>
                <c:pt idx="110">
                  <c:v>0.13385826771653545</c:v>
                </c:pt>
                <c:pt idx="111">
                  <c:v>0.12598425196850394</c:v>
                </c:pt>
                <c:pt idx="112">
                  <c:v>0.11811023622047244</c:v>
                </c:pt>
                <c:pt idx="113">
                  <c:v>0.11023622047244094</c:v>
                </c:pt>
                <c:pt idx="114">
                  <c:v>0.10236220472440945</c:v>
                </c:pt>
                <c:pt idx="115">
                  <c:v>9.4488188976377951E-2</c:v>
                </c:pt>
                <c:pt idx="116">
                  <c:v>8.6614173228346455E-2</c:v>
                </c:pt>
                <c:pt idx="117">
                  <c:v>7.874015748031496E-2</c:v>
                </c:pt>
                <c:pt idx="118">
                  <c:v>7.0866141732283464E-2</c:v>
                </c:pt>
                <c:pt idx="119">
                  <c:v>6.2992125984251968E-2</c:v>
                </c:pt>
                <c:pt idx="120">
                  <c:v>5.5118110236220472E-2</c:v>
                </c:pt>
                <c:pt idx="121">
                  <c:v>4.7244094488188976E-2</c:v>
                </c:pt>
                <c:pt idx="122">
                  <c:v>3.937007874015748E-2</c:v>
                </c:pt>
                <c:pt idx="123">
                  <c:v>3.1496062992125984E-2</c:v>
                </c:pt>
                <c:pt idx="124">
                  <c:v>2.3622047244094488E-2</c:v>
                </c:pt>
                <c:pt idx="125">
                  <c:v>1.5748031496062992E-2</c:v>
                </c:pt>
                <c:pt idx="126">
                  <c:v>7.874015748031496E-3</c:v>
                </c:pt>
              </c:numCache>
            </c:numRef>
          </c:xVal>
          <c:yVal>
            <c:numRef>
              <c:f>(FiltBC!$L$4:$L$130,FiltBC!$J$4:$J$131)</c:f>
              <c:numCache>
                <c:formatCode>General</c:formatCode>
                <c:ptCount val="255"/>
                <c:pt idx="0">
                  <c:v>1</c:v>
                </c:pt>
                <c:pt idx="7">
                  <c:v>0.98750000000000004</c:v>
                </c:pt>
                <c:pt idx="15">
                  <c:v>0.97499999999999998</c:v>
                </c:pt>
                <c:pt idx="31">
                  <c:v>0.95</c:v>
                </c:pt>
                <c:pt idx="47">
                  <c:v>0.91999999999999993</c:v>
                </c:pt>
                <c:pt idx="63">
                  <c:v>0.9</c:v>
                </c:pt>
                <c:pt idx="71">
                  <c:v>0.875</c:v>
                </c:pt>
                <c:pt idx="79">
                  <c:v>0.85</c:v>
                </c:pt>
                <c:pt idx="87">
                  <c:v>0.79249999999999998</c:v>
                </c:pt>
                <c:pt idx="95">
                  <c:v>0.75</c:v>
                </c:pt>
                <c:pt idx="111">
                  <c:v>0.59349999999999992</c:v>
                </c:pt>
                <c:pt idx="115">
                  <c:v>0.5625</c:v>
                </c:pt>
                <c:pt idx="119">
                  <c:v>0.52500000000000002</c:v>
                </c:pt>
                <c:pt idx="123">
                  <c:v>0.22500000000000001</c:v>
                </c:pt>
                <c:pt idx="126">
                  <c:v>0</c:v>
                </c:pt>
                <c:pt idx="127">
                  <c:v>1</c:v>
                </c:pt>
                <c:pt idx="134">
                  <c:v>0.9968413924257542</c:v>
                </c:pt>
                <c:pt idx="142">
                  <c:v>0.99301112017674498</c:v>
                </c:pt>
                <c:pt idx="158">
                  <c:v>0.98450624109251961</c:v>
                </c:pt>
                <c:pt idx="174">
                  <c:v>0.97454108115479521</c:v>
                </c:pt>
                <c:pt idx="190">
                  <c:v>0.96248187915150973</c:v>
                </c:pt>
                <c:pt idx="198">
                  <c:v>0.95533701404730387</c:v>
                </c:pt>
                <c:pt idx="206">
                  <c:v>0.94715480377385686</c:v>
                </c:pt>
                <c:pt idx="214">
                  <c:v>0.9375677146204997</c:v>
                </c:pt>
                <c:pt idx="222">
                  <c:v>0.92596602980597176</c:v>
                </c:pt>
                <c:pt idx="238">
                  <c:v>0.89083556472824099</c:v>
                </c:pt>
                <c:pt idx="242">
                  <c:v>0.8766494235182678</c:v>
                </c:pt>
                <c:pt idx="246">
                  <c:v>0.85703792346569518</c:v>
                </c:pt>
                <c:pt idx="250">
                  <c:v>0.82452253967034006</c:v>
                </c:pt>
                <c:pt idx="253">
                  <c:v>0.76314579855354014</c:v>
                </c:pt>
                <c:pt idx="254">
                  <c:v>0</c:v>
                </c:pt>
              </c:numCache>
            </c:numRef>
          </c:yVal>
          <c:smooth val="0"/>
        </c:ser>
        <c:ser>
          <c:idx val="1"/>
          <c:order val="1"/>
          <c:spPr>
            <a:ln w="28575">
              <a:noFill/>
            </a:ln>
          </c:spPr>
          <c:marker>
            <c:symbol val="square"/>
            <c:size val="4"/>
          </c:marker>
          <c:trendline>
            <c:name>FBC64</c:name>
            <c:trendlineType val="linear"/>
            <c:intercept val="0"/>
            <c:dispRSqr val="0"/>
            <c:dispEq val="1"/>
            <c:trendlineLbl>
              <c:layout>
                <c:manualLayout>
                  <c:x val="-0.22541119860017497"/>
                  <c:y val="0.23104986876640421"/>
                </c:manualLayout>
              </c:layout>
              <c:numFmt formatCode="General" sourceLinked="0"/>
            </c:trendlineLbl>
          </c:trendline>
          <c:xVal>
            <c:numRef>
              <c:f>FiltBC!$B$4:$B$130</c:f>
              <c:numCache>
                <c:formatCode>General</c:formatCode>
                <c:ptCount val="127"/>
                <c:pt idx="0">
                  <c:v>1</c:v>
                </c:pt>
                <c:pt idx="1">
                  <c:v>0.99212598425196852</c:v>
                </c:pt>
                <c:pt idx="2">
                  <c:v>0.98425196850393704</c:v>
                </c:pt>
                <c:pt idx="3">
                  <c:v>0.97637795275590555</c:v>
                </c:pt>
                <c:pt idx="4">
                  <c:v>0.96850393700787396</c:v>
                </c:pt>
                <c:pt idx="5">
                  <c:v>0.96062992125984248</c:v>
                </c:pt>
                <c:pt idx="6">
                  <c:v>0.952755905511811</c:v>
                </c:pt>
                <c:pt idx="7">
                  <c:v>0.94488188976377951</c:v>
                </c:pt>
                <c:pt idx="8">
                  <c:v>0.93700787401574803</c:v>
                </c:pt>
                <c:pt idx="9">
                  <c:v>0.92913385826771655</c:v>
                </c:pt>
                <c:pt idx="10">
                  <c:v>0.92125984251968507</c:v>
                </c:pt>
                <c:pt idx="11">
                  <c:v>0.91338582677165359</c:v>
                </c:pt>
                <c:pt idx="12">
                  <c:v>0.90551181102362199</c:v>
                </c:pt>
                <c:pt idx="13">
                  <c:v>0.89763779527559051</c:v>
                </c:pt>
                <c:pt idx="14">
                  <c:v>0.88976377952755903</c:v>
                </c:pt>
                <c:pt idx="15">
                  <c:v>0.88188976377952755</c:v>
                </c:pt>
                <c:pt idx="16">
                  <c:v>0.87401574803149606</c:v>
                </c:pt>
                <c:pt idx="17">
                  <c:v>0.86614173228346458</c:v>
                </c:pt>
                <c:pt idx="18">
                  <c:v>0.8582677165354331</c:v>
                </c:pt>
                <c:pt idx="19">
                  <c:v>0.85039370078740162</c:v>
                </c:pt>
                <c:pt idx="20">
                  <c:v>0.84251968503937003</c:v>
                </c:pt>
                <c:pt idx="21">
                  <c:v>0.83464566929133854</c:v>
                </c:pt>
                <c:pt idx="22">
                  <c:v>0.82677165354330706</c:v>
                </c:pt>
                <c:pt idx="23">
                  <c:v>0.81889763779527558</c:v>
                </c:pt>
                <c:pt idx="24">
                  <c:v>0.8110236220472441</c:v>
                </c:pt>
                <c:pt idx="25">
                  <c:v>0.80314960629921262</c:v>
                </c:pt>
                <c:pt idx="26">
                  <c:v>0.79527559055118113</c:v>
                </c:pt>
                <c:pt idx="27">
                  <c:v>0.78740157480314965</c:v>
                </c:pt>
                <c:pt idx="28">
                  <c:v>0.77952755905511806</c:v>
                </c:pt>
                <c:pt idx="29">
                  <c:v>0.77165354330708658</c:v>
                </c:pt>
                <c:pt idx="30">
                  <c:v>0.76377952755905509</c:v>
                </c:pt>
                <c:pt idx="31">
                  <c:v>0.75590551181102361</c:v>
                </c:pt>
                <c:pt idx="32">
                  <c:v>0.74803149606299213</c:v>
                </c:pt>
                <c:pt idx="33">
                  <c:v>0.74015748031496065</c:v>
                </c:pt>
                <c:pt idx="34">
                  <c:v>0.73228346456692917</c:v>
                </c:pt>
                <c:pt idx="35">
                  <c:v>0.72440944881889768</c:v>
                </c:pt>
                <c:pt idx="36">
                  <c:v>0.71653543307086609</c:v>
                </c:pt>
                <c:pt idx="37">
                  <c:v>0.70866141732283461</c:v>
                </c:pt>
                <c:pt idx="38">
                  <c:v>0.70078740157480313</c:v>
                </c:pt>
                <c:pt idx="39">
                  <c:v>0.69291338582677164</c:v>
                </c:pt>
                <c:pt idx="40">
                  <c:v>0.68503937007874016</c:v>
                </c:pt>
                <c:pt idx="41">
                  <c:v>0.67716535433070868</c:v>
                </c:pt>
                <c:pt idx="42">
                  <c:v>0.6692913385826772</c:v>
                </c:pt>
                <c:pt idx="43">
                  <c:v>0.66141732283464572</c:v>
                </c:pt>
                <c:pt idx="44">
                  <c:v>0.65354330708661412</c:v>
                </c:pt>
                <c:pt idx="45">
                  <c:v>0.64566929133858264</c:v>
                </c:pt>
                <c:pt idx="46">
                  <c:v>0.63779527559055116</c:v>
                </c:pt>
                <c:pt idx="47">
                  <c:v>0.62992125984251968</c:v>
                </c:pt>
                <c:pt idx="48">
                  <c:v>0.62204724409448819</c:v>
                </c:pt>
                <c:pt idx="49">
                  <c:v>0.61417322834645671</c:v>
                </c:pt>
                <c:pt idx="50">
                  <c:v>0.60629921259842523</c:v>
                </c:pt>
                <c:pt idx="51">
                  <c:v>0.59842519685039375</c:v>
                </c:pt>
                <c:pt idx="52">
                  <c:v>0.59055118110236215</c:v>
                </c:pt>
                <c:pt idx="53">
                  <c:v>0.58267716535433067</c:v>
                </c:pt>
                <c:pt idx="54">
                  <c:v>0.57480314960629919</c:v>
                </c:pt>
                <c:pt idx="55">
                  <c:v>0.56692913385826771</c:v>
                </c:pt>
                <c:pt idx="56">
                  <c:v>0.55905511811023623</c:v>
                </c:pt>
                <c:pt idx="57">
                  <c:v>0.55118110236220474</c:v>
                </c:pt>
                <c:pt idx="58">
                  <c:v>0.54330708661417326</c:v>
                </c:pt>
                <c:pt idx="59">
                  <c:v>0.53543307086614178</c:v>
                </c:pt>
                <c:pt idx="60">
                  <c:v>0.52755905511811019</c:v>
                </c:pt>
                <c:pt idx="61">
                  <c:v>0.51968503937007871</c:v>
                </c:pt>
                <c:pt idx="62">
                  <c:v>0.51181102362204722</c:v>
                </c:pt>
                <c:pt idx="63">
                  <c:v>0.50393700787401574</c:v>
                </c:pt>
                <c:pt idx="64">
                  <c:v>0.49606299212598426</c:v>
                </c:pt>
                <c:pt idx="65">
                  <c:v>0.48818897637795278</c:v>
                </c:pt>
                <c:pt idx="66">
                  <c:v>0.48031496062992124</c:v>
                </c:pt>
                <c:pt idx="67">
                  <c:v>0.47244094488188976</c:v>
                </c:pt>
                <c:pt idx="68">
                  <c:v>0.46456692913385828</c:v>
                </c:pt>
                <c:pt idx="69">
                  <c:v>0.45669291338582679</c:v>
                </c:pt>
                <c:pt idx="70">
                  <c:v>0.44881889763779526</c:v>
                </c:pt>
                <c:pt idx="71">
                  <c:v>0.44094488188976377</c:v>
                </c:pt>
                <c:pt idx="72">
                  <c:v>0.43307086614173229</c:v>
                </c:pt>
                <c:pt idx="73">
                  <c:v>0.42519685039370081</c:v>
                </c:pt>
                <c:pt idx="74">
                  <c:v>0.41732283464566927</c:v>
                </c:pt>
                <c:pt idx="75">
                  <c:v>0.40944881889763779</c:v>
                </c:pt>
                <c:pt idx="76">
                  <c:v>0.40157480314960631</c:v>
                </c:pt>
                <c:pt idx="77">
                  <c:v>0.39370078740157483</c:v>
                </c:pt>
                <c:pt idx="78">
                  <c:v>0.38582677165354329</c:v>
                </c:pt>
                <c:pt idx="79">
                  <c:v>0.37795275590551181</c:v>
                </c:pt>
                <c:pt idx="80">
                  <c:v>0.37007874015748032</c:v>
                </c:pt>
                <c:pt idx="81">
                  <c:v>0.36220472440944884</c:v>
                </c:pt>
                <c:pt idx="82">
                  <c:v>0.3543307086614173</c:v>
                </c:pt>
                <c:pt idx="83">
                  <c:v>0.34645669291338582</c:v>
                </c:pt>
                <c:pt idx="84">
                  <c:v>0.33858267716535434</c:v>
                </c:pt>
                <c:pt idx="85">
                  <c:v>0.33070866141732286</c:v>
                </c:pt>
                <c:pt idx="86">
                  <c:v>0.32283464566929132</c:v>
                </c:pt>
                <c:pt idx="87">
                  <c:v>0.31496062992125984</c:v>
                </c:pt>
                <c:pt idx="88">
                  <c:v>0.30708661417322836</c:v>
                </c:pt>
                <c:pt idx="89">
                  <c:v>0.29921259842519687</c:v>
                </c:pt>
                <c:pt idx="90">
                  <c:v>0.29133858267716534</c:v>
                </c:pt>
                <c:pt idx="91">
                  <c:v>0.28346456692913385</c:v>
                </c:pt>
                <c:pt idx="92">
                  <c:v>0.27559055118110237</c:v>
                </c:pt>
                <c:pt idx="93">
                  <c:v>0.26771653543307089</c:v>
                </c:pt>
                <c:pt idx="94">
                  <c:v>0.25984251968503935</c:v>
                </c:pt>
                <c:pt idx="95">
                  <c:v>0.25196850393700787</c:v>
                </c:pt>
                <c:pt idx="96">
                  <c:v>0.24409448818897639</c:v>
                </c:pt>
                <c:pt idx="97">
                  <c:v>0.23622047244094488</c:v>
                </c:pt>
                <c:pt idx="98">
                  <c:v>0.2283464566929134</c:v>
                </c:pt>
                <c:pt idx="99">
                  <c:v>0.22047244094488189</c:v>
                </c:pt>
                <c:pt idx="100">
                  <c:v>0.2125984251968504</c:v>
                </c:pt>
                <c:pt idx="101">
                  <c:v>0.20472440944881889</c:v>
                </c:pt>
                <c:pt idx="102">
                  <c:v>0.19685039370078741</c:v>
                </c:pt>
                <c:pt idx="103">
                  <c:v>0.1889763779527559</c:v>
                </c:pt>
                <c:pt idx="104">
                  <c:v>0.18110236220472442</c:v>
                </c:pt>
                <c:pt idx="105">
                  <c:v>0.17322834645669291</c:v>
                </c:pt>
                <c:pt idx="106">
                  <c:v>0.16535433070866143</c:v>
                </c:pt>
                <c:pt idx="107">
                  <c:v>0.15748031496062992</c:v>
                </c:pt>
                <c:pt idx="108">
                  <c:v>0.14960629921259844</c:v>
                </c:pt>
                <c:pt idx="109">
                  <c:v>0.14173228346456693</c:v>
                </c:pt>
                <c:pt idx="110">
                  <c:v>0.13385826771653545</c:v>
                </c:pt>
                <c:pt idx="111">
                  <c:v>0.12598425196850394</c:v>
                </c:pt>
                <c:pt idx="112">
                  <c:v>0.11811023622047244</c:v>
                </c:pt>
                <c:pt idx="113">
                  <c:v>0.11023622047244094</c:v>
                </c:pt>
                <c:pt idx="114">
                  <c:v>0.10236220472440945</c:v>
                </c:pt>
                <c:pt idx="115">
                  <c:v>9.4488188976377951E-2</c:v>
                </c:pt>
                <c:pt idx="116">
                  <c:v>8.6614173228346455E-2</c:v>
                </c:pt>
                <c:pt idx="117">
                  <c:v>7.874015748031496E-2</c:v>
                </c:pt>
                <c:pt idx="118">
                  <c:v>7.0866141732283464E-2</c:v>
                </c:pt>
                <c:pt idx="119">
                  <c:v>6.2992125984251968E-2</c:v>
                </c:pt>
                <c:pt idx="120">
                  <c:v>5.5118110236220472E-2</c:v>
                </c:pt>
                <c:pt idx="121">
                  <c:v>4.7244094488188976E-2</c:v>
                </c:pt>
                <c:pt idx="122">
                  <c:v>3.937007874015748E-2</c:v>
                </c:pt>
                <c:pt idx="123">
                  <c:v>3.1496062992125984E-2</c:v>
                </c:pt>
                <c:pt idx="124">
                  <c:v>2.3622047244094488E-2</c:v>
                </c:pt>
                <c:pt idx="125">
                  <c:v>1.5748031496062992E-2</c:v>
                </c:pt>
                <c:pt idx="126">
                  <c:v>7.874015748031496E-3</c:v>
                </c:pt>
              </c:numCache>
            </c:numRef>
          </c:xVal>
          <c:yVal>
            <c:numRef>
              <c:f>FiltBC!$Q$4:$Q$130</c:f>
              <c:numCache>
                <c:formatCode>General</c:formatCode>
                <c:ptCount val="127"/>
                <c:pt idx="0">
                  <c:v>1</c:v>
                </c:pt>
                <c:pt idx="15">
                  <c:v>0.8571428571428571</c:v>
                </c:pt>
                <c:pt idx="31">
                  <c:v>0.76190476190476186</c:v>
                </c:pt>
                <c:pt idx="47">
                  <c:v>0.61904761904761907</c:v>
                </c:pt>
                <c:pt idx="63">
                  <c:v>0.47619047619047616</c:v>
                </c:pt>
                <c:pt idx="79">
                  <c:v>0.38095238095238093</c:v>
                </c:pt>
                <c:pt idx="95">
                  <c:v>0.23809523809523808</c:v>
                </c:pt>
                <c:pt idx="111">
                  <c:v>9.5238095238095233E-2</c:v>
                </c:pt>
                <c:pt idx="126">
                  <c:v>0</c:v>
                </c:pt>
              </c:numCache>
            </c:numRef>
          </c:yVal>
          <c:smooth val="0"/>
        </c:ser>
        <c:ser>
          <c:idx val="2"/>
          <c:order val="2"/>
          <c:spPr>
            <a:ln w="28575">
              <a:noFill/>
            </a:ln>
          </c:spPr>
          <c:marker>
            <c:symbol val="triangle"/>
            <c:size val="4"/>
          </c:marker>
          <c:xVal>
            <c:numRef>
              <c:f>FiltBC!$B$4:$B$130</c:f>
              <c:numCache>
                <c:formatCode>General</c:formatCode>
                <c:ptCount val="127"/>
                <c:pt idx="0">
                  <c:v>1</c:v>
                </c:pt>
                <c:pt idx="1">
                  <c:v>0.99212598425196852</c:v>
                </c:pt>
                <c:pt idx="2">
                  <c:v>0.98425196850393704</c:v>
                </c:pt>
                <c:pt idx="3">
                  <c:v>0.97637795275590555</c:v>
                </c:pt>
                <c:pt idx="4">
                  <c:v>0.96850393700787396</c:v>
                </c:pt>
                <c:pt idx="5">
                  <c:v>0.96062992125984248</c:v>
                </c:pt>
                <c:pt idx="6">
                  <c:v>0.952755905511811</c:v>
                </c:pt>
                <c:pt idx="7">
                  <c:v>0.94488188976377951</c:v>
                </c:pt>
                <c:pt idx="8">
                  <c:v>0.93700787401574803</c:v>
                </c:pt>
                <c:pt idx="9">
                  <c:v>0.92913385826771655</c:v>
                </c:pt>
                <c:pt idx="10">
                  <c:v>0.92125984251968507</c:v>
                </c:pt>
                <c:pt idx="11">
                  <c:v>0.91338582677165359</c:v>
                </c:pt>
                <c:pt idx="12">
                  <c:v>0.90551181102362199</c:v>
                </c:pt>
                <c:pt idx="13">
                  <c:v>0.89763779527559051</c:v>
                </c:pt>
                <c:pt idx="14">
                  <c:v>0.88976377952755903</c:v>
                </c:pt>
                <c:pt idx="15">
                  <c:v>0.88188976377952755</c:v>
                </c:pt>
                <c:pt idx="16">
                  <c:v>0.87401574803149606</c:v>
                </c:pt>
                <c:pt idx="17">
                  <c:v>0.86614173228346458</c:v>
                </c:pt>
                <c:pt idx="18">
                  <c:v>0.8582677165354331</c:v>
                </c:pt>
                <c:pt idx="19">
                  <c:v>0.85039370078740162</c:v>
                </c:pt>
                <c:pt idx="20">
                  <c:v>0.84251968503937003</c:v>
                </c:pt>
                <c:pt idx="21">
                  <c:v>0.83464566929133854</c:v>
                </c:pt>
                <c:pt idx="22">
                  <c:v>0.82677165354330706</c:v>
                </c:pt>
                <c:pt idx="23">
                  <c:v>0.81889763779527558</c:v>
                </c:pt>
                <c:pt idx="24">
                  <c:v>0.8110236220472441</c:v>
                </c:pt>
                <c:pt idx="25">
                  <c:v>0.80314960629921262</c:v>
                </c:pt>
                <c:pt idx="26">
                  <c:v>0.79527559055118113</c:v>
                </c:pt>
                <c:pt idx="27">
                  <c:v>0.78740157480314965</c:v>
                </c:pt>
                <c:pt idx="28">
                  <c:v>0.77952755905511806</c:v>
                </c:pt>
                <c:pt idx="29">
                  <c:v>0.77165354330708658</c:v>
                </c:pt>
                <c:pt idx="30">
                  <c:v>0.76377952755905509</c:v>
                </c:pt>
                <c:pt idx="31">
                  <c:v>0.75590551181102361</c:v>
                </c:pt>
                <c:pt idx="32">
                  <c:v>0.74803149606299213</c:v>
                </c:pt>
                <c:pt idx="33">
                  <c:v>0.74015748031496065</c:v>
                </c:pt>
                <c:pt idx="34">
                  <c:v>0.73228346456692917</c:v>
                </c:pt>
                <c:pt idx="35">
                  <c:v>0.72440944881889768</c:v>
                </c:pt>
                <c:pt idx="36">
                  <c:v>0.71653543307086609</c:v>
                </c:pt>
                <c:pt idx="37">
                  <c:v>0.70866141732283461</c:v>
                </c:pt>
                <c:pt idx="38">
                  <c:v>0.70078740157480313</c:v>
                </c:pt>
                <c:pt idx="39">
                  <c:v>0.69291338582677164</c:v>
                </c:pt>
                <c:pt idx="40">
                  <c:v>0.68503937007874016</c:v>
                </c:pt>
                <c:pt idx="41">
                  <c:v>0.67716535433070868</c:v>
                </c:pt>
                <c:pt idx="42">
                  <c:v>0.6692913385826772</c:v>
                </c:pt>
                <c:pt idx="43">
                  <c:v>0.66141732283464572</c:v>
                </c:pt>
                <c:pt idx="44">
                  <c:v>0.65354330708661412</c:v>
                </c:pt>
                <c:pt idx="45">
                  <c:v>0.64566929133858264</c:v>
                </c:pt>
                <c:pt idx="46">
                  <c:v>0.63779527559055116</c:v>
                </c:pt>
                <c:pt idx="47">
                  <c:v>0.62992125984251968</c:v>
                </c:pt>
                <c:pt idx="48">
                  <c:v>0.62204724409448819</c:v>
                </c:pt>
                <c:pt idx="49">
                  <c:v>0.61417322834645671</c:v>
                </c:pt>
                <c:pt idx="50">
                  <c:v>0.60629921259842523</c:v>
                </c:pt>
                <c:pt idx="51">
                  <c:v>0.59842519685039375</c:v>
                </c:pt>
                <c:pt idx="52">
                  <c:v>0.59055118110236215</c:v>
                </c:pt>
                <c:pt idx="53">
                  <c:v>0.58267716535433067</c:v>
                </c:pt>
                <c:pt idx="54">
                  <c:v>0.57480314960629919</c:v>
                </c:pt>
                <c:pt idx="55">
                  <c:v>0.56692913385826771</c:v>
                </c:pt>
                <c:pt idx="56">
                  <c:v>0.55905511811023623</c:v>
                </c:pt>
                <c:pt idx="57">
                  <c:v>0.55118110236220474</c:v>
                </c:pt>
                <c:pt idx="58">
                  <c:v>0.54330708661417326</c:v>
                </c:pt>
                <c:pt idx="59">
                  <c:v>0.53543307086614178</c:v>
                </c:pt>
                <c:pt idx="60">
                  <c:v>0.52755905511811019</c:v>
                </c:pt>
                <c:pt idx="61">
                  <c:v>0.51968503937007871</c:v>
                </c:pt>
                <c:pt idx="62">
                  <c:v>0.51181102362204722</c:v>
                </c:pt>
                <c:pt idx="63">
                  <c:v>0.50393700787401574</c:v>
                </c:pt>
                <c:pt idx="64">
                  <c:v>0.49606299212598426</c:v>
                </c:pt>
                <c:pt idx="65">
                  <c:v>0.48818897637795278</c:v>
                </c:pt>
                <c:pt idx="66">
                  <c:v>0.48031496062992124</c:v>
                </c:pt>
                <c:pt idx="67">
                  <c:v>0.47244094488188976</c:v>
                </c:pt>
                <c:pt idx="68">
                  <c:v>0.46456692913385828</c:v>
                </c:pt>
                <c:pt idx="69">
                  <c:v>0.45669291338582679</c:v>
                </c:pt>
                <c:pt idx="70">
                  <c:v>0.44881889763779526</c:v>
                </c:pt>
                <c:pt idx="71">
                  <c:v>0.44094488188976377</c:v>
                </c:pt>
                <c:pt idx="72">
                  <c:v>0.43307086614173229</c:v>
                </c:pt>
                <c:pt idx="73">
                  <c:v>0.42519685039370081</c:v>
                </c:pt>
                <c:pt idx="74">
                  <c:v>0.41732283464566927</c:v>
                </c:pt>
                <c:pt idx="75">
                  <c:v>0.40944881889763779</c:v>
                </c:pt>
                <c:pt idx="76">
                  <c:v>0.40157480314960631</c:v>
                </c:pt>
                <c:pt idx="77">
                  <c:v>0.39370078740157483</c:v>
                </c:pt>
                <c:pt idx="78">
                  <c:v>0.38582677165354329</c:v>
                </c:pt>
                <c:pt idx="79">
                  <c:v>0.37795275590551181</c:v>
                </c:pt>
                <c:pt idx="80">
                  <c:v>0.37007874015748032</c:v>
                </c:pt>
                <c:pt idx="81">
                  <c:v>0.36220472440944884</c:v>
                </c:pt>
                <c:pt idx="82">
                  <c:v>0.3543307086614173</c:v>
                </c:pt>
                <c:pt idx="83">
                  <c:v>0.34645669291338582</c:v>
                </c:pt>
                <c:pt idx="84">
                  <c:v>0.33858267716535434</c:v>
                </c:pt>
                <c:pt idx="85">
                  <c:v>0.33070866141732286</c:v>
                </c:pt>
                <c:pt idx="86">
                  <c:v>0.32283464566929132</c:v>
                </c:pt>
                <c:pt idx="87">
                  <c:v>0.31496062992125984</c:v>
                </c:pt>
                <c:pt idx="88">
                  <c:v>0.30708661417322836</c:v>
                </c:pt>
                <c:pt idx="89">
                  <c:v>0.29921259842519687</c:v>
                </c:pt>
                <c:pt idx="90">
                  <c:v>0.29133858267716534</c:v>
                </c:pt>
                <c:pt idx="91">
                  <c:v>0.28346456692913385</c:v>
                </c:pt>
                <c:pt idx="92">
                  <c:v>0.27559055118110237</c:v>
                </c:pt>
                <c:pt idx="93">
                  <c:v>0.26771653543307089</c:v>
                </c:pt>
                <c:pt idx="94">
                  <c:v>0.25984251968503935</c:v>
                </c:pt>
                <c:pt idx="95">
                  <c:v>0.25196850393700787</c:v>
                </c:pt>
                <c:pt idx="96">
                  <c:v>0.24409448818897639</c:v>
                </c:pt>
                <c:pt idx="97">
                  <c:v>0.23622047244094488</c:v>
                </c:pt>
                <c:pt idx="98">
                  <c:v>0.2283464566929134</c:v>
                </c:pt>
                <c:pt idx="99">
                  <c:v>0.22047244094488189</c:v>
                </c:pt>
                <c:pt idx="100">
                  <c:v>0.2125984251968504</c:v>
                </c:pt>
                <c:pt idx="101">
                  <c:v>0.20472440944881889</c:v>
                </c:pt>
                <c:pt idx="102">
                  <c:v>0.19685039370078741</c:v>
                </c:pt>
                <c:pt idx="103">
                  <c:v>0.1889763779527559</c:v>
                </c:pt>
                <c:pt idx="104">
                  <c:v>0.18110236220472442</c:v>
                </c:pt>
                <c:pt idx="105">
                  <c:v>0.17322834645669291</c:v>
                </c:pt>
                <c:pt idx="106">
                  <c:v>0.16535433070866143</c:v>
                </c:pt>
                <c:pt idx="107">
                  <c:v>0.15748031496062992</c:v>
                </c:pt>
                <c:pt idx="108">
                  <c:v>0.14960629921259844</c:v>
                </c:pt>
                <c:pt idx="109">
                  <c:v>0.14173228346456693</c:v>
                </c:pt>
                <c:pt idx="110">
                  <c:v>0.13385826771653545</c:v>
                </c:pt>
                <c:pt idx="111">
                  <c:v>0.12598425196850394</c:v>
                </c:pt>
                <c:pt idx="112">
                  <c:v>0.11811023622047244</c:v>
                </c:pt>
                <c:pt idx="113">
                  <c:v>0.11023622047244094</c:v>
                </c:pt>
                <c:pt idx="114">
                  <c:v>0.10236220472440945</c:v>
                </c:pt>
                <c:pt idx="115">
                  <c:v>9.4488188976377951E-2</c:v>
                </c:pt>
                <c:pt idx="116">
                  <c:v>8.6614173228346455E-2</c:v>
                </c:pt>
                <c:pt idx="117">
                  <c:v>7.874015748031496E-2</c:v>
                </c:pt>
                <c:pt idx="118">
                  <c:v>7.0866141732283464E-2</c:v>
                </c:pt>
                <c:pt idx="119">
                  <c:v>6.2992125984251968E-2</c:v>
                </c:pt>
                <c:pt idx="120">
                  <c:v>5.5118110236220472E-2</c:v>
                </c:pt>
                <c:pt idx="121">
                  <c:v>4.7244094488188976E-2</c:v>
                </c:pt>
                <c:pt idx="122">
                  <c:v>3.937007874015748E-2</c:v>
                </c:pt>
                <c:pt idx="123">
                  <c:v>3.1496062992125984E-2</c:v>
                </c:pt>
                <c:pt idx="124">
                  <c:v>2.3622047244094488E-2</c:v>
                </c:pt>
                <c:pt idx="125">
                  <c:v>1.5748031496062992E-2</c:v>
                </c:pt>
                <c:pt idx="126">
                  <c:v>7.874015748031496E-3</c:v>
                </c:pt>
              </c:numCache>
            </c:numRef>
          </c:xVal>
          <c:yVal>
            <c:numRef>
              <c:f>FiltBC!$U$4:$U$130</c:f>
              <c:numCache>
                <c:formatCode>General</c:formatCode>
                <c:ptCount val="127"/>
                <c:pt idx="0">
                  <c:v>0.97683078196110884</c:v>
                </c:pt>
                <c:pt idx="1">
                  <c:v>0.9420769549027721</c:v>
                </c:pt>
                <c:pt idx="2">
                  <c:v>0.91311543235415804</c:v>
                </c:pt>
                <c:pt idx="3">
                  <c:v>0.88829127016963183</c:v>
                </c:pt>
                <c:pt idx="4">
                  <c:v>0.85519238725693014</c:v>
                </c:pt>
                <c:pt idx="5">
                  <c:v>0.82623086470831608</c:v>
                </c:pt>
                <c:pt idx="6">
                  <c:v>0.80057923045097223</c:v>
                </c:pt>
                <c:pt idx="7">
                  <c:v>0.77244517997517581</c:v>
                </c:pt>
                <c:pt idx="15">
                  <c:v>0.62143152668597434</c:v>
                </c:pt>
                <c:pt idx="31">
                  <c:v>0.49317335539925533</c:v>
                </c:pt>
                <c:pt idx="47">
                  <c:v>0.36491518411253626</c:v>
                </c:pt>
                <c:pt idx="63">
                  <c:v>0.24079437318990485</c:v>
                </c:pt>
                <c:pt idx="79">
                  <c:v>0.15721969383533307</c:v>
                </c:pt>
                <c:pt idx="95">
                  <c:v>0.10426148117501047</c:v>
                </c:pt>
                <c:pt idx="111">
                  <c:v>5.2130740587505234E-2</c:v>
                </c:pt>
                <c:pt idx="126">
                  <c:v>0</c:v>
                </c:pt>
              </c:numCache>
            </c:numRef>
          </c:yVal>
          <c:smooth val="0"/>
        </c:ser>
        <c:ser>
          <c:idx val="4"/>
          <c:order val="3"/>
          <c:spPr>
            <a:ln w="28575">
              <a:noFill/>
            </a:ln>
          </c:spPr>
          <c:xVal>
            <c:numRef>
              <c:f>FiltBC!$B$4:$B$130</c:f>
              <c:numCache>
                <c:formatCode>General</c:formatCode>
                <c:ptCount val="127"/>
                <c:pt idx="0">
                  <c:v>1</c:v>
                </c:pt>
                <c:pt idx="1">
                  <c:v>0.99212598425196852</c:v>
                </c:pt>
                <c:pt idx="2">
                  <c:v>0.98425196850393704</c:v>
                </c:pt>
                <c:pt idx="3">
                  <c:v>0.97637795275590555</c:v>
                </c:pt>
                <c:pt idx="4">
                  <c:v>0.96850393700787396</c:v>
                </c:pt>
                <c:pt idx="5">
                  <c:v>0.96062992125984248</c:v>
                </c:pt>
                <c:pt idx="6">
                  <c:v>0.952755905511811</c:v>
                </c:pt>
                <c:pt idx="7">
                  <c:v>0.94488188976377951</c:v>
                </c:pt>
                <c:pt idx="8">
                  <c:v>0.93700787401574803</c:v>
                </c:pt>
                <c:pt idx="9">
                  <c:v>0.92913385826771655</c:v>
                </c:pt>
                <c:pt idx="10">
                  <c:v>0.92125984251968507</c:v>
                </c:pt>
                <c:pt idx="11">
                  <c:v>0.91338582677165359</c:v>
                </c:pt>
                <c:pt idx="12">
                  <c:v>0.90551181102362199</c:v>
                </c:pt>
                <c:pt idx="13">
                  <c:v>0.89763779527559051</c:v>
                </c:pt>
                <c:pt idx="14">
                  <c:v>0.88976377952755903</c:v>
                </c:pt>
                <c:pt idx="15">
                  <c:v>0.88188976377952755</c:v>
                </c:pt>
                <c:pt idx="16">
                  <c:v>0.87401574803149606</c:v>
                </c:pt>
                <c:pt idx="17">
                  <c:v>0.86614173228346458</c:v>
                </c:pt>
                <c:pt idx="18">
                  <c:v>0.8582677165354331</c:v>
                </c:pt>
                <c:pt idx="19">
                  <c:v>0.85039370078740162</c:v>
                </c:pt>
                <c:pt idx="20">
                  <c:v>0.84251968503937003</c:v>
                </c:pt>
                <c:pt idx="21">
                  <c:v>0.83464566929133854</c:v>
                </c:pt>
                <c:pt idx="22">
                  <c:v>0.82677165354330706</c:v>
                </c:pt>
                <c:pt idx="23">
                  <c:v>0.81889763779527558</c:v>
                </c:pt>
                <c:pt idx="24">
                  <c:v>0.8110236220472441</c:v>
                </c:pt>
                <c:pt idx="25">
                  <c:v>0.80314960629921262</c:v>
                </c:pt>
                <c:pt idx="26">
                  <c:v>0.79527559055118113</c:v>
                </c:pt>
                <c:pt idx="27">
                  <c:v>0.78740157480314965</c:v>
                </c:pt>
                <c:pt idx="28">
                  <c:v>0.77952755905511806</c:v>
                </c:pt>
                <c:pt idx="29">
                  <c:v>0.77165354330708658</c:v>
                </c:pt>
                <c:pt idx="30">
                  <c:v>0.76377952755905509</c:v>
                </c:pt>
                <c:pt idx="31">
                  <c:v>0.75590551181102361</c:v>
                </c:pt>
                <c:pt idx="32">
                  <c:v>0.74803149606299213</c:v>
                </c:pt>
                <c:pt idx="33">
                  <c:v>0.74015748031496065</c:v>
                </c:pt>
                <c:pt idx="34">
                  <c:v>0.73228346456692917</c:v>
                </c:pt>
                <c:pt idx="35">
                  <c:v>0.72440944881889768</c:v>
                </c:pt>
                <c:pt idx="36">
                  <c:v>0.71653543307086609</c:v>
                </c:pt>
                <c:pt idx="37">
                  <c:v>0.70866141732283461</c:v>
                </c:pt>
                <c:pt idx="38">
                  <c:v>0.70078740157480313</c:v>
                </c:pt>
                <c:pt idx="39">
                  <c:v>0.69291338582677164</c:v>
                </c:pt>
                <c:pt idx="40">
                  <c:v>0.68503937007874016</c:v>
                </c:pt>
                <c:pt idx="41">
                  <c:v>0.67716535433070868</c:v>
                </c:pt>
                <c:pt idx="42">
                  <c:v>0.6692913385826772</c:v>
                </c:pt>
                <c:pt idx="43">
                  <c:v>0.66141732283464572</c:v>
                </c:pt>
                <c:pt idx="44">
                  <c:v>0.65354330708661412</c:v>
                </c:pt>
                <c:pt idx="45">
                  <c:v>0.64566929133858264</c:v>
                </c:pt>
                <c:pt idx="46">
                  <c:v>0.63779527559055116</c:v>
                </c:pt>
                <c:pt idx="47">
                  <c:v>0.62992125984251968</c:v>
                </c:pt>
                <c:pt idx="48">
                  <c:v>0.62204724409448819</c:v>
                </c:pt>
                <c:pt idx="49">
                  <c:v>0.61417322834645671</c:v>
                </c:pt>
                <c:pt idx="50">
                  <c:v>0.60629921259842523</c:v>
                </c:pt>
                <c:pt idx="51">
                  <c:v>0.59842519685039375</c:v>
                </c:pt>
                <c:pt idx="52">
                  <c:v>0.59055118110236215</c:v>
                </c:pt>
                <c:pt idx="53">
                  <c:v>0.58267716535433067</c:v>
                </c:pt>
                <c:pt idx="54">
                  <c:v>0.57480314960629919</c:v>
                </c:pt>
                <c:pt idx="55">
                  <c:v>0.56692913385826771</c:v>
                </c:pt>
                <c:pt idx="56">
                  <c:v>0.55905511811023623</c:v>
                </c:pt>
                <c:pt idx="57">
                  <c:v>0.55118110236220474</c:v>
                </c:pt>
                <c:pt idx="58">
                  <c:v>0.54330708661417326</c:v>
                </c:pt>
                <c:pt idx="59">
                  <c:v>0.53543307086614178</c:v>
                </c:pt>
                <c:pt idx="60">
                  <c:v>0.52755905511811019</c:v>
                </c:pt>
                <c:pt idx="61">
                  <c:v>0.51968503937007871</c:v>
                </c:pt>
                <c:pt idx="62">
                  <c:v>0.51181102362204722</c:v>
                </c:pt>
                <c:pt idx="63">
                  <c:v>0.50393700787401574</c:v>
                </c:pt>
                <c:pt idx="64">
                  <c:v>0.49606299212598426</c:v>
                </c:pt>
                <c:pt idx="65">
                  <c:v>0.48818897637795278</c:v>
                </c:pt>
                <c:pt idx="66">
                  <c:v>0.48031496062992124</c:v>
                </c:pt>
                <c:pt idx="67">
                  <c:v>0.47244094488188976</c:v>
                </c:pt>
                <c:pt idx="68">
                  <c:v>0.46456692913385828</c:v>
                </c:pt>
                <c:pt idx="69">
                  <c:v>0.45669291338582679</c:v>
                </c:pt>
                <c:pt idx="70">
                  <c:v>0.44881889763779526</c:v>
                </c:pt>
                <c:pt idx="71">
                  <c:v>0.44094488188976377</c:v>
                </c:pt>
                <c:pt idx="72">
                  <c:v>0.43307086614173229</c:v>
                </c:pt>
                <c:pt idx="73">
                  <c:v>0.42519685039370081</c:v>
                </c:pt>
                <c:pt idx="74">
                  <c:v>0.41732283464566927</c:v>
                </c:pt>
                <c:pt idx="75">
                  <c:v>0.40944881889763779</c:v>
                </c:pt>
                <c:pt idx="76">
                  <c:v>0.40157480314960631</c:v>
                </c:pt>
                <c:pt idx="77">
                  <c:v>0.39370078740157483</c:v>
                </c:pt>
                <c:pt idx="78">
                  <c:v>0.38582677165354329</c:v>
                </c:pt>
                <c:pt idx="79">
                  <c:v>0.37795275590551181</c:v>
                </c:pt>
                <c:pt idx="80">
                  <c:v>0.37007874015748032</c:v>
                </c:pt>
                <c:pt idx="81">
                  <c:v>0.36220472440944884</c:v>
                </c:pt>
                <c:pt idx="82">
                  <c:v>0.3543307086614173</c:v>
                </c:pt>
                <c:pt idx="83">
                  <c:v>0.34645669291338582</c:v>
                </c:pt>
                <c:pt idx="84">
                  <c:v>0.33858267716535434</c:v>
                </c:pt>
                <c:pt idx="85">
                  <c:v>0.33070866141732286</c:v>
                </c:pt>
                <c:pt idx="86">
                  <c:v>0.32283464566929132</c:v>
                </c:pt>
                <c:pt idx="87">
                  <c:v>0.31496062992125984</c:v>
                </c:pt>
                <c:pt idx="88">
                  <c:v>0.30708661417322836</c:v>
                </c:pt>
                <c:pt idx="89">
                  <c:v>0.29921259842519687</c:v>
                </c:pt>
                <c:pt idx="90">
                  <c:v>0.29133858267716534</c:v>
                </c:pt>
                <c:pt idx="91">
                  <c:v>0.28346456692913385</c:v>
                </c:pt>
                <c:pt idx="92">
                  <c:v>0.27559055118110237</c:v>
                </c:pt>
                <c:pt idx="93">
                  <c:v>0.26771653543307089</c:v>
                </c:pt>
                <c:pt idx="94">
                  <c:v>0.25984251968503935</c:v>
                </c:pt>
                <c:pt idx="95">
                  <c:v>0.25196850393700787</c:v>
                </c:pt>
                <c:pt idx="96">
                  <c:v>0.24409448818897639</c:v>
                </c:pt>
                <c:pt idx="97">
                  <c:v>0.23622047244094488</c:v>
                </c:pt>
                <c:pt idx="98">
                  <c:v>0.2283464566929134</c:v>
                </c:pt>
                <c:pt idx="99">
                  <c:v>0.22047244094488189</c:v>
                </c:pt>
                <c:pt idx="100">
                  <c:v>0.2125984251968504</c:v>
                </c:pt>
                <c:pt idx="101">
                  <c:v>0.20472440944881889</c:v>
                </c:pt>
                <c:pt idx="102">
                  <c:v>0.19685039370078741</c:v>
                </c:pt>
                <c:pt idx="103">
                  <c:v>0.1889763779527559</c:v>
                </c:pt>
                <c:pt idx="104">
                  <c:v>0.18110236220472442</c:v>
                </c:pt>
                <c:pt idx="105">
                  <c:v>0.17322834645669291</c:v>
                </c:pt>
                <c:pt idx="106">
                  <c:v>0.16535433070866143</c:v>
                </c:pt>
                <c:pt idx="107">
                  <c:v>0.15748031496062992</c:v>
                </c:pt>
                <c:pt idx="108">
                  <c:v>0.14960629921259844</c:v>
                </c:pt>
                <c:pt idx="109">
                  <c:v>0.14173228346456693</c:v>
                </c:pt>
                <c:pt idx="110">
                  <c:v>0.13385826771653545</c:v>
                </c:pt>
                <c:pt idx="111">
                  <c:v>0.12598425196850394</c:v>
                </c:pt>
                <c:pt idx="112">
                  <c:v>0.11811023622047244</c:v>
                </c:pt>
                <c:pt idx="113">
                  <c:v>0.11023622047244094</c:v>
                </c:pt>
                <c:pt idx="114">
                  <c:v>0.10236220472440945</c:v>
                </c:pt>
                <c:pt idx="115">
                  <c:v>9.4488188976377951E-2</c:v>
                </c:pt>
                <c:pt idx="116">
                  <c:v>8.6614173228346455E-2</c:v>
                </c:pt>
                <c:pt idx="117">
                  <c:v>7.874015748031496E-2</c:v>
                </c:pt>
                <c:pt idx="118">
                  <c:v>7.0866141732283464E-2</c:v>
                </c:pt>
                <c:pt idx="119">
                  <c:v>6.2992125984251968E-2</c:v>
                </c:pt>
                <c:pt idx="120">
                  <c:v>5.5118110236220472E-2</c:v>
                </c:pt>
                <c:pt idx="121">
                  <c:v>4.7244094488188976E-2</c:v>
                </c:pt>
                <c:pt idx="122">
                  <c:v>3.937007874015748E-2</c:v>
                </c:pt>
                <c:pt idx="123">
                  <c:v>3.1496062992125984E-2</c:v>
                </c:pt>
                <c:pt idx="124">
                  <c:v>2.3622047244094488E-2</c:v>
                </c:pt>
                <c:pt idx="125">
                  <c:v>1.5748031496062992E-2</c:v>
                </c:pt>
                <c:pt idx="126">
                  <c:v>7.874015748031496E-3</c:v>
                </c:pt>
              </c:numCache>
            </c:numRef>
          </c:xVal>
          <c:yVal>
            <c:numRef>
              <c:f>FiltBC!$X$4:$X$130</c:f>
              <c:numCache>
                <c:formatCode>General</c:formatCode>
                <c:ptCount val="127"/>
                <c:pt idx="0">
                  <c:v>0.9561320754716981</c:v>
                </c:pt>
                <c:pt idx="7">
                  <c:v>0.62971698113207553</c:v>
                </c:pt>
                <c:pt idx="15">
                  <c:v>0.49669811320754714</c:v>
                </c:pt>
                <c:pt idx="31">
                  <c:v>0.36792452830188677</c:v>
                </c:pt>
                <c:pt idx="47">
                  <c:v>0.2452830188679245</c:v>
                </c:pt>
                <c:pt idx="63">
                  <c:v>0.14622641509433953</c:v>
                </c:pt>
                <c:pt idx="79">
                  <c:v>0.10849056603773588</c:v>
                </c:pt>
                <c:pt idx="95">
                  <c:v>7.3584905660377301E-2</c:v>
                </c:pt>
                <c:pt idx="111">
                  <c:v>3.3018867924528267E-2</c:v>
                </c:pt>
                <c:pt idx="126">
                  <c:v>0</c:v>
                </c:pt>
              </c:numCache>
            </c:numRef>
          </c:yVal>
          <c:smooth val="0"/>
        </c:ser>
        <c:ser>
          <c:idx val="7"/>
          <c:order val="4"/>
          <c:spPr>
            <a:ln w="28575">
              <a:noFill/>
            </a:ln>
          </c:spPr>
          <c:marker>
            <c:symbol val="circle"/>
            <c:size val="4"/>
            <c:spPr>
              <a:solidFill>
                <a:schemeClr val="tx2">
                  <a:lumMod val="40000"/>
                  <a:lumOff val="60000"/>
                </a:schemeClr>
              </a:solidFill>
            </c:spPr>
          </c:marker>
          <c:xVal>
            <c:numRef>
              <c:f>FiltBC!$B$4:$B$130</c:f>
              <c:numCache>
                <c:formatCode>General</c:formatCode>
                <c:ptCount val="127"/>
                <c:pt idx="0">
                  <c:v>1</c:v>
                </c:pt>
                <c:pt idx="1">
                  <c:v>0.99212598425196852</c:v>
                </c:pt>
                <c:pt idx="2">
                  <c:v>0.98425196850393704</c:v>
                </c:pt>
                <c:pt idx="3">
                  <c:v>0.97637795275590555</c:v>
                </c:pt>
                <c:pt idx="4">
                  <c:v>0.96850393700787396</c:v>
                </c:pt>
                <c:pt idx="5">
                  <c:v>0.96062992125984248</c:v>
                </c:pt>
                <c:pt idx="6">
                  <c:v>0.952755905511811</c:v>
                </c:pt>
                <c:pt idx="7">
                  <c:v>0.94488188976377951</c:v>
                </c:pt>
                <c:pt idx="8">
                  <c:v>0.93700787401574803</c:v>
                </c:pt>
                <c:pt idx="9">
                  <c:v>0.92913385826771655</c:v>
                </c:pt>
                <c:pt idx="10">
                  <c:v>0.92125984251968507</c:v>
                </c:pt>
                <c:pt idx="11">
                  <c:v>0.91338582677165359</c:v>
                </c:pt>
                <c:pt idx="12">
                  <c:v>0.90551181102362199</c:v>
                </c:pt>
                <c:pt idx="13">
                  <c:v>0.89763779527559051</c:v>
                </c:pt>
                <c:pt idx="14">
                  <c:v>0.88976377952755903</c:v>
                </c:pt>
                <c:pt idx="15">
                  <c:v>0.88188976377952755</c:v>
                </c:pt>
                <c:pt idx="16">
                  <c:v>0.87401574803149606</c:v>
                </c:pt>
                <c:pt idx="17">
                  <c:v>0.86614173228346458</c:v>
                </c:pt>
                <c:pt idx="18">
                  <c:v>0.8582677165354331</c:v>
                </c:pt>
                <c:pt idx="19">
                  <c:v>0.85039370078740162</c:v>
                </c:pt>
                <c:pt idx="20">
                  <c:v>0.84251968503937003</c:v>
                </c:pt>
                <c:pt idx="21">
                  <c:v>0.83464566929133854</c:v>
                </c:pt>
                <c:pt idx="22">
                  <c:v>0.82677165354330706</c:v>
                </c:pt>
                <c:pt idx="23">
                  <c:v>0.81889763779527558</c:v>
                </c:pt>
                <c:pt idx="24">
                  <c:v>0.8110236220472441</c:v>
                </c:pt>
                <c:pt idx="25">
                  <c:v>0.80314960629921262</c:v>
                </c:pt>
                <c:pt idx="26">
                  <c:v>0.79527559055118113</c:v>
                </c:pt>
                <c:pt idx="27">
                  <c:v>0.78740157480314965</c:v>
                </c:pt>
                <c:pt idx="28">
                  <c:v>0.77952755905511806</c:v>
                </c:pt>
                <c:pt idx="29">
                  <c:v>0.77165354330708658</c:v>
                </c:pt>
                <c:pt idx="30">
                  <c:v>0.76377952755905509</c:v>
                </c:pt>
                <c:pt idx="31">
                  <c:v>0.75590551181102361</c:v>
                </c:pt>
                <c:pt idx="32">
                  <c:v>0.74803149606299213</c:v>
                </c:pt>
                <c:pt idx="33">
                  <c:v>0.74015748031496065</c:v>
                </c:pt>
                <c:pt idx="34">
                  <c:v>0.73228346456692917</c:v>
                </c:pt>
                <c:pt idx="35">
                  <c:v>0.72440944881889768</c:v>
                </c:pt>
                <c:pt idx="36">
                  <c:v>0.71653543307086609</c:v>
                </c:pt>
                <c:pt idx="37">
                  <c:v>0.70866141732283461</c:v>
                </c:pt>
                <c:pt idx="38">
                  <c:v>0.70078740157480313</c:v>
                </c:pt>
                <c:pt idx="39">
                  <c:v>0.69291338582677164</c:v>
                </c:pt>
                <c:pt idx="40">
                  <c:v>0.68503937007874016</c:v>
                </c:pt>
                <c:pt idx="41">
                  <c:v>0.67716535433070868</c:v>
                </c:pt>
                <c:pt idx="42">
                  <c:v>0.6692913385826772</c:v>
                </c:pt>
                <c:pt idx="43">
                  <c:v>0.66141732283464572</c:v>
                </c:pt>
                <c:pt idx="44">
                  <c:v>0.65354330708661412</c:v>
                </c:pt>
                <c:pt idx="45">
                  <c:v>0.64566929133858264</c:v>
                </c:pt>
                <c:pt idx="46">
                  <c:v>0.63779527559055116</c:v>
                </c:pt>
                <c:pt idx="47">
                  <c:v>0.62992125984251968</c:v>
                </c:pt>
                <c:pt idx="48">
                  <c:v>0.62204724409448819</c:v>
                </c:pt>
                <c:pt idx="49">
                  <c:v>0.61417322834645671</c:v>
                </c:pt>
                <c:pt idx="50">
                  <c:v>0.60629921259842523</c:v>
                </c:pt>
                <c:pt idx="51">
                  <c:v>0.59842519685039375</c:v>
                </c:pt>
                <c:pt idx="52">
                  <c:v>0.59055118110236215</c:v>
                </c:pt>
                <c:pt idx="53">
                  <c:v>0.58267716535433067</c:v>
                </c:pt>
                <c:pt idx="54">
                  <c:v>0.57480314960629919</c:v>
                </c:pt>
                <c:pt idx="55">
                  <c:v>0.56692913385826771</c:v>
                </c:pt>
                <c:pt idx="56">
                  <c:v>0.55905511811023623</c:v>
                </c:pt>
                <c:pt idx="57">
                  <c:v>0.55118110236220474</c:v>
                </c:pt>
                <c:pt idx="58">
                  <c:v>0.54330708661417326</c:v>
                </c:pt>
                <c:pt idx="59">
                  <c:v>0.53543307086614178</c:v>
                </c:pt>
                <c:pt idx="60">
                  <c:v>0.52755905511811019</c:v>
                </c:pt>
                <c:pt idx="61">
                  <c:v>0.51968503937007871</c:v>
                </c:pt>
                <c:pt idx="62">
                  <c:v>0.51181102362204722</c:v>
                </c:pt>
                <c:pt idx="63">
                  <c:v>0.50393700787401574</c:v>
                </c:pt>
                <c:pt idx="64">
                  <c:v>0.49606299212598426</c:v>
                </c:pt>
                <c:pt idx="65">
                  <c:v>0.48818897637795278</c:v>
                </c:pt>
                <c:pt idx="66">
                  <c:v>0.48031496062992124</c:v>
                </c:pt>
                <c:pt idx="67">
                  <c:v>0.47244094488188976</c:v>
                </c:pt>
                <c:pt idx="68">
                  <c:v>0.46456692913385828</c:v>
                </c:pt>
                <c:pt idx="69">
                  <c:v>0.45669291338582679</c:v>
                </c:pt>
                <c:pt idx="70">
                  <c:v>0.44881889763779526</c:v>
                </c:pt>
                <c:pt idx="71">
                  <c:v>0.44094488188976377</c:v>
                </c:pt>
                <c:pt idx="72">
                  <c:v>0.43307086614173229</c:v>
                </c:pt>
                <c:pt idx="73">
                  <c:v>0.42519685039370081</c:v>
                </c:pt>
                <c:pt idx="74">
                  <c:v>0.41732283464566927</c:v>
                </c:pt>
                <c:pt idx="75">
                  <c:v>0.40944881889763779</c:v>
                </c:pt>
                <c:pt idx="76">
                  <c:v>0.40157480314960631</c:v>
                </c:pt>
                <c:pt idx="77">
                  <c:v>0.39370078740157483</c:v>
                </c:pt>
                <c:pt idx="78">
                  <c:v>0.38582677165354329</c:v>
                </c:pt>
                <c:pt idx="79">
                  <c:v>0.37795275590551181</c:v>
                </c:pt>
                <c:pt idx="80">
                  <c:v>0.37007874015748032</c:v>
                </c:pt>
                <c:pt idx="81">
                  <c:v>0.36220472440944884</c:v>
                </c:pt>
                <c:pt idx="82">
                  <c:v>0.3543307086614173</c:v>
                </c:pt>
                <c:pt idx="83">
                  <c:v>0.34645669291338582</c:v>
                </c:pt>
                <c:pt idx="84">
                  <c:v>0.33858267716535434</c:v>
                </c:pt>
                <c:pt idx="85">
                  <c:v>0.33070866141732286</c:v>
                </c:pt>
                <c:pt idx="86">
                  <c:v>0.32283464566929132</c:v>
                </c:pt>
                <c:pt idx="87">
                  <c:v>0.31496062992125984</c:v>
                </c:pt>
                <c:pt idx="88">
                  <c:v>0.30708661417322836</c:v>
                </c:pt>
                <c:pt idx="89">
                  <c:v>0.29921259842519687</c:v>
                </c:pt>
                <c:pt idx="90">
                  <c:v>0.29133858267716534</c:v>
                </c:pt>
                <c:pt idx="91">
                  <c:v>0.28346456692913385</c:v>
                </c:pt>
                <c:pt idx="92">
                  <c:v>0.27559055118110237</c:v>
                </c:pt>
                <c:pt idx="93">
                  <c:v>0.26771653543307089</c:v>
                </c:pt>
                <c:pt idx="94">
                  <c:v>0.25984251968503935</c:v>
                </c:pt>
                <c:pt idx="95">
                  <c:v>0.25196850393700787</c:v>
                </c:pt>
                <c:pt idx="96">
                  <c:v>0.24409448818897639</c:v>
                </c:pt>
                <c:pt idx="97">
                  <c:v>0.23622047244094488</c:v>
                </c:pt>
                <c:pt idx="98">
                  <c:v>0.2283464566929134</c:v>
                </c:pt>
                <c:pt idx="99">
                  <c:v>0.22047244094488189</c:v>
                </c:pt>
                <c:pt idx="100">
                  <c:v>0.2125984251968504</c:v>
                </c:pt>
                <c:pt idx="101">
                  <c:v>0.20472440944881889</c:v>
                </c:pt>
                <c:pt idx="102">
                  <c:v>0.19685039370078741</c:v>
                </c:pt>
                <c:pt idx="103">
                  <c:v>0.1889763779527559</c:v>
                </c:pt>
                <c:pt idx="104">
                  <c:v>0.18110236220472442</c:v>
                </c:pt>
                <c:pt idx="105">
                  <c:v>0.17322834645669291</c:v>
                </c:pt>
                <c:pt idx="106">
                  <c:v>0.16535433070866143</c:v>
                </c:pt>
                <c:pt idx="107">
                  <c:v>0.15748031496062992</c:v>
                </c:pt>
                <c:pt idx="108">
                  <c:v>0.14960629921259844</c:v>
                </c:pt>
                <c:pt idx="109">
                  <c:v>0.14173228346456693</c:v>
                </c:pt>
                <c:pt idx="110">
                  <c:v>0.13385826771653545</c:v>
                </c:pt>
                <c:pt idx="111">
                  <c:v>0.12598425196850394</c:v>
                </c:pt>
                <c:pt idx="112">
                  <c:v>0.11811023622047244</c:v>
                </c:pt>
                <c:pt idx="113">
                  <c:v>0.11023622047244094</c:v>
                </c:pt>
                <c:pt idx="114">
                  <c:v>0.10236220472440945</c:v>
                </c:pt>
                <c:pt idx="115">
                  <c:v>9.4488188976377951E-2</c:v>
                </c:pt>
                <c:pt idx="116">
                  <c:v>8.6614173228346455E-2</c:v>
                </c:pt>
                <c:pt idx="117">
                  <c:v>7.874015748031496E-2</c:v>
                </c:pt>
                <c:pt idx="118">
                  <c:v>7.0866141732283464E-2</c:v>
                </c:pt>
                <c:pt idx="119">
                  <c:v>6.2992125984251968E-2</c:v>
                </c:pt>
                <c:pt idx="120">
                  <c:v>5.5118110236220472E-2</c:v>
                </c:pt>
                <c:pt idx="121">
                  <c:v>4.7244094488188976E-2</c:v>
                </c:pt>
                <c:pt idx="122">
                  <c:v>3.937007874015748E-2</c:v>
                </c:pt>
                <c:pt idx="123">
                  <c:v>3.1496062992125984E-2</c:v>
                </c:pt>
                <c:pt idx="124">
                  <c:v>2.3622047244094488E-2</c:v>
                </c:pt>
                <c:pt idx="125">
                  <c:v>1.5748031496062992E-2</c:v>
                </c:pt>
                <c:pt idx="126">
                  <c:v>7.874015748031496E-3</c:v>
                </c:pt>
              </c:numCache>
            </c:numRef>
          </c:xVal>
          <c:yVal>
            <c:numRef>
              <c:f>FiltBC!$I$4:$I$130</c:f>
              <c:numCache>
                <c:formatCode>General</c:formatCode>
                <c:ptCount val="127"/>
                <c:pt idx="0">
                  <c:v>1</c:v>
                </c:pt>
                <c:pt idx="63">
                  <c:v>0.95964912280701742</c:v>
                </c:pt>
                <c:pt idx="95">
                  <c:v>0.94078947368421051</c:v>
                </c:pt>
                <c:pt idx="103">
                  <c:v>0.93728070175438594</c:v>
                </c:pt>
                <c:pt idx="111">
                  <c:v>0.88157894736842113</c:v>
                </c:pt>
                <c:pt idx="117">
                  <c:v>0.83070175438596494</c:v>
                </c:pt>
                <c:pt idx="121">
                  <c:v>0.79824561403508787</c:v>
                </c:pt>
                <c:pt idx="122">
                  <c:v>0.78947368421052633</c:v>
                </c:pt>
                <c:pt idx="123">
                  <c:v>0.7807017543859649</c:v>
                </c:pt>
                <c:pt idx="124">
                  <c:v>0.74912280701754397</c:v>
                </c:pt>
                <c:pt idx="125">
                  <c:v>0.42675438596491228</c:v>
                </c:pt>
                <c:pt idx="126">
                  <c:v>0.16228070175438594</c:v>
                </c:pt>
              </c:numCache>
            </c:numRef>
          </c:yVal>
          <c:smooth val="0"/>
        </c:ser>
        <c:ser>
          <c:idx val="5"/>
          <c:order val="5"/>
          <c:spPr>
            <a:ln w="28575">
              <a:noFill/>
            </a:ln>
          </c:spPr>
          <c:marker>
            <c:symbol val="circle"/>
            <c:size val="4"/>
          </c:marker>
          <c:xVal>
            <c:numRef>
              <c:f>FiltBC!$B$4:$B$130</c:f>
              <c:numCache>
                <c:formatCode>General</c:formatCode>
                <c:ptCount val="127"/>
                <c:pt idx="0">
                  <c:v>1</c:v>
                </c:pt>
                <c:pt idx="1">
                  <c:v>0.99212598425196852</c:v>
                </c:pt>
                <c:pt idx="2">
                  <c:v>0.98425196850393704</c:v>
                </c:pt>
                <c:pt idx="3">
                  <c:v>0.97637795275590555</c:v>
                </c:pt>
                <c:pt idx="4">
                  <c:v>0.96850393700787396</c:v>
                </c:pt>
                <c:pt idx="5">
                  <c:v>0.96062992125984248</c:v>
                </c:pt>
                <c:pt idx="6">
                  <c:v>0.952755905511811</c:v>
                </c:pt>
                <c:pt idx="7">
                  <c:v>0.94488188976377951</c:v>
                </c:pt>
                <c:pt idx="8">
                  <c:v>0.93700787401574803</c:v>
                </c:pt>
                <c:pt idx="9">
                  <c:v>0.92913385826771655</c:v>
                </c:pt>
                <c:pt idx="10">
                  <c:v>0.92125984251968507</c:v>
                </c:pt>
                <c:pt idx="11">
                  <c:v>0.91338582677165359</c:v>
                </c:pt>
                <c:pt idx="12">
                  <c:v>0.90551181102362199</c:v>
                </c:pt>
                <c:pt idx="13">
                  <c:v>0.89763779527559051</c:v>
                </c:pt>
                <c:pt idx="14">
                  <c:v>0.88976377952755903</c:v>
                </c:pt>
                <c:pt idx="15">
                  <c:v>0.88188976377952755</c:v>
                </c:pt>
                <c:pt idx="16">
                  <c:v>0.87401574803149606</c:v>
                </c:pt>
                <c:pt idx="17">
                  <c:v>0.86614173228346458</c:v>
                </c:pt>
                <c:pt idx="18">
                  <c:v>0.8582677165354331</c:v>
                </c:pt>
                <c:pt idx="19">
                  <c:v>0.85039370078740162</c:v>
                </c:pt>
                <c:pt idx="20">
                  <c:v>0.84251968503937003</c:v>
                </c:pt>
                <c:pt idx="21">
                  <c:v>0.83464566929133854</c:v>
                </c:pt>
                <c:pt idx="22">
                  <c:v>0.82677165354330706</c:v>
                </c:pt>
                <c:pt idx="23">
                  <c:v>0.81889763779527558</c:v>
                </c:pt>
                <c:pt idx="24">
                  <c:v>0.8110236220472441</c:v>
                </c:pt>
                <c:pt idx="25">
                  <c:v>0.80314960629921262</c:v>
                </c:pt>
                <c:pt idx="26">
                  <c:v>0.79527559055118113</c:v>
                </c:pt>
                <c:pt idx="27">
                  <c:v>0.78740157480314965</c:v>
                </c:pt>
                <c:pt idx="28">
                  <c:v>0.77952755905511806</c:v>
                </c:pt>
                <c:pt idx="29">
                  <c:v>0.77165354330708658</c:v>
                </c:pt>
                <c:pt idx="30">
                  <c:v>0.76377952755905509</c:v>
                </c:pt>
                <c:pt idx="31">
                  <c:v>0.75590551181102361</c:v>
                </c:pt>
                <c:pt idx="32">
                  <c:v>0.74803149606299213</c:v>
                </c:pt>
                <c:pt idx="33">
                  <c:v>0.74015748031496065</c:v>
                </c:pt>
                <c:pt idx="34">
                  <c:v>0.73228346456692917</c:v>
                </c:pt>
                <c:pt idx="35">
                  <c:v>0.72440944881889768</c:v>
                </c:pt>
                <c:pt idx="36">
                  <c:v>0.71653543307086609</c:v>
                </c:pt>
                <c:pt idx="37">
                  <c:v>0.70866141732283461</c:v>
                </c:pt>
                <c:pt idx="38">
                  <c:v>0.70078740157480313</c:v>
                </c:pt>
                <c:pt idx="39">
                  <c:v>0.69291338582677164</c:v>
                </c:pt>
                <c:pt idx="40">
                  <c:v>0.68503937007874016</c:v>
                </c:pt>
                <c:pt idx="41">
                  <c:v>0.67716535433070868</c:v>
                </c:pt>
                <c:pt idx="42">
                  <c:v>0.6692913385826772</c:v>
                </c:pt>
                <c:pt idx="43">
                  <c:v>0.66141732283464572</c:v>
                </c:pt>
                <c:pt idx="44">
                  <c:v>0.65354330708661412</c:v>
                </c:pt>
                <c:pt idx="45">
                  <c:v>0.64566929133858264</c:v>
                </c:pt>
                <c:pt idx="46">
                  <c:v>0.63779527559055116</c:v>
                </c:pt>
                <c:pt idx="47">
                  <c:v>0.62992125984251968</c:v>
                </c:pt>
                <c:pt idx="48">
                  <c:v>0.62204724409448819</c:v>
                </c:pt>
                <c:pt idx="49">
                  <c:v>0.61417322834645671</c:v>
                </c:pt>
                <c:pt idx="50">
                  <c:v>0.60629921259842523</c:v>
                </c:pt>
                <c:pt idx="51">
                  <c:v>0.59842519685039375</c:v>
                </c:pt>
                <c:pt idx="52">
                  <c:v>0.59055118110236215</c:v>
                </c:pt>
                <c:pt idx="53">
                  <c:v>0.58267716535433067</c:v>
                </c:pt>
                <c:pt idx="54">
                  <c:v>0.57480314960629919</c:v>
                </c:pt>
                <c:pt idx="55">
                  <c:v>0.56692913385826771</c:v>
                </c:pt>
                <c:pt idx="56">
                  <c:v>0.55905511811023623</c:v>
                </c:pt>
                <c:pt idx="57">
                  <c:v>0.55118110236220474</c:v>
                </c:pt>
                <c:pt idx="58">
                  <c:v>0.54330708661417326</c:v>
                </c:pt>
                <c:pt idx="59">
                  <c:v>0.53543307086614178</c:v>
                </c:pt>
                <c:pt idx="60">
                  <c:v>0.52755905511811019</c:v>
                </c:pt>
                <c:pt idx="61">
                  <c:v>0.51968503937007871</c:v>
                </c:pt>
                <c:pt idx="62">
                  <c:v>0.51181102362204722</c:v>
                </c:pt>
                <c:pt idx="63">
                  <c:v>0.50393700787401574</c:v>
                </c:pt>
                <c:pt idx="64">
                  <c:v>0.49606299212598426</c:v>
                </c:pt>
                <c:pt idx="65">
                  <c:v>0.48818897637795278</c:v>
                </c:pt>
                <c:pt idx="66">
                  <c:v>0.48031496062992124</c:v>
                </c:pt>
                <c:pt idx="67">
                  <c:v>0.47244094488188976</c:v>
                </c:pt>
                <c:pt idx="68">
                  <c:v>0.46456692913385828</c:v>
                </c:pt>
                <c:pt idx="69">
                  <c:v>0.45669291338582679</c:v>
                </c:pt>
                <c:pt idx="70">
                  <c:v>0.44881889763779526</c:v>
                </c:pt>
                <c:pt idx="71">
                  <c:v>0.44094488188976377</c:v>
                </c:pt>
                <c:pt idx="72">
                  <c:v>0.43307086614173229</c:v>
                </c:pt>
                <c:pt idx="73">
                  <c:v>0.42519685039370081</c:v>
                </c:pt>
                <c:pt idx="74">
                  <c:v>0.41732283464566927</c:v>
                </c:pt>
                <c:pt idx="75">
                  <c:v>0.40944881889763779</c:v>
                </c:pt>
                <c:pt idx="76">
                  <c:v>0.40157480314960631</c:v>
                </c:pt>
                <c:pt idx="77">
                  <c:v>0.39370078740157483</c:v>
                </c:pt>
                <c:pt idx="78">
                  <c:v>0.38582677165354329</c:v>
                </c:pt>
                <c:pt idx="79">
                  <c:v>0.37795275590551181</c:v>
                </c:pt>
                <c:pt idx="80">
                  <c:v>0.37007874015748032</c:v>
                </c:pt>
                <c:pt idx="81">
                  <c:v>0.36220472440944884</c:v>
                </c:pt>
                <c:pt idx="82">
                  <c:v>0.3543307086614173</c:v>
                </c:pt>
                <c:pt idx="83">
                  <c:v>0.34645669291338582</c:v>
                </c:pt>
                <c:pt idx="84">
                  <c:v>0.33858267716535434</c:v>
                </c:pt>
                <c:pt idx="85">
                  <c:v>0.33070866141732286</c:v>
                </c:pt>
                <c:pt idx="86">
                  <c:v>0.32283464566929132</c:v>
                </c:pt>
                <c:pt idx="87">
                  <c:v>0.31496062992125984</c:v>
                </c:pt>
                <c:pt idx="88">
                  <c:v>0.30708661417322836</c:v>
                </c:pt>
                <c:pt idx="89">
                  <c:v>0.29921259842519687</c:v>
                </c:pt>
                <c:pt idx="90">
                  <c:v>0.29133858267716534</c:v>
                </c:pt>
                <c:pt idx="91">
                  <c:v>0.28346456692913385</c:v>
                </c:pt>
                <c:pt idx="92">
                  <c:v>0.27559055118110237</c:v>
                </c:pt>
                <c:pt idx="93">
                  <c:v>0.26771653543307089</c:v>
                </c:pt>
                <c:pt idx="94">
                  <c:v>0.25984251968503935</c:v>
                </c:pt>
                <c:pt idx="95">
                  <c:v>0.25196850393700787</c:v>
                </c:pt>
                <c:pt idx="96">
                  <c:v>0.24409448818897639</c:v>
                </c:pt>
                <c:pt idx="97">
                  <c:v>0.23622047244094488</c:v>
                </c:pt>
                <c:pt idx="98">
                  <c:v>0.2283464566929134</c:v>
                </c:pt>
                <c:pt idx="99">
                  <c:v>0.22047244094488189</c:v>
                </c:pt>
                <c:pt idx="100">
                  <c:v>0.2125984251968504</c:v>
                </c:pt>
                <c:pt idx="101">
                  <c:v>0.20472440944881889</c:v>
                </c:pt>
                <c:pt idx="102">
                  <c:v>0.19685039370078741</c:v>
                </c:pt>
                <c:pt idx="103">
                  <c:v>0.1889763779527559</c:v>
                </c:pt>
                <c:pt idx="104">
                  <c:v>0.18110236220472442</c:v>
                </c:pt>
                <c:pt idx="105">
                  <c:v>0.17322834645669291</c:v>
                </c:pt>
                <c:pt idx="106">
                  <c:v>0.16535433070866143</c:v>
                </c:pt>
                <c:pt idx="107">
                  <c:v>0.15748031496062992</c:v>
                </c:pt>
                <c:pt idx="108">
                  <c:v>0.14960629921259844</c:v>
                </c:pt>
                <c:pt idx="109">
                  <c:v>0.14173228346456693</c:v>
                </c:pt>
                <c:pt idx="110">
                  <c:v>0.13385826771653545</c:v>
                </c:pt>
                <c:pt idx="111">
                  <c:v>0.12598425196850394</c:v>
                </c:pt>
                <c:pt idx="112">
                  <c:v>0.11811023622047244</c:v>
                </c:pt>
                <c:pt idx="113">
                  <c:v>0.11023622047244094</c:v>
                </c:pt>
                <c:pt idx="114">
                  <c:v>0.10236220472440945</c:v>
                </c:pt>
                <c:pt idx="115">
                  <c:v>9.4488188976377951E-2</c:v>
                </c:pt>
                <c:pt idx="116">
                  <c:v>8.6614173228346455E-2</c:v>
                </c:pt>
                <c:pt idx="117">
                  <c:v>7.874015748031496E-2</c:v>
                </c:pt>
                <c:pt idx="118">
                  <c:v>7.0866141732283464E-2</c:v>
                </c:pt>
                <c:pt idx="119">
                  <c:v>6.2992125984251968E-2</c:v>
                </c:pt>
                <c:pt idx="120">
                  <c:v>5.5118110236220472E-2</c:v>
                </c:pt>
                <c:pt idx="121">
                  <c:v>4.7244094488188976E-2</c:v>
                </c:pt>
                <c:pt idx="122">
                  <c:v>3.937007874015748E-2</c:v>
                </c:pt>
                <c:pt idx="123">
                  <c:v>3.1496062992125984E-2</c:v>
                </c:pt>
                <c:pt idx="124">
                  <c:v>2.3622047244094488E-2</c:v>
                </c:pt>
                <c:pt idx="125">
                  <c:v>1.5748031496062992E-2</c:v>
                </c:pt>
                <c:pt idx="126">
                  <c:v>7.874015748031496E-3</c:v>
                </c:pt>
              </c:numCache>
            </c:numRef>
          </c:xVal>
          <c:yVal>
            <c:numRef>
              <c:f>FiltBC!$O$4:$O$130</c:f>
              <c:numCache>
                <c:formatCode>General</c:formatCode>
                <c:ptCount val="127"/>
                <c:pt idx="0">
                  <c:v>1</c:v>
                </c:pt>
                <c:pt idx="7">
                  <c:v>0.9663752521856086</c:v>
                </c:pt>
                <c:pt idx="15">
                  <c:v>0.94283792871553462</c:v>
                </c:pt>
                <c:pt idx="31">
                  <c:v>0.8863483523873571</c:v>
                </c:pt>
                <c:pt idx="47">
                  <c:v>0.83187626092804301</c:v>
                </c:pt>
                <c:pt idx="63">
                  <c:v>0.75117686617350365</c:v>
                </c:pt>
                <c:pt idx="71">
                  <c:v>0.68392737054472086</c:v>
                </c:pt>
                <c:pt idx="79">
                  <c:v>0.63012777404169462</c:v>
                </c:pt>
                <c:pt idx="87">
                  <c:v>0.55884330867518484</c:v>
                </c:pt>
                <c:pt idx="95">
                  <c:v>0.49562878278412908</c:v>
                </c:pt>
                <c:pt idx="103">
                  <c:v>0.43174176193678548</c:v>
                </c:pt>
                <c:pt idx="111">
                  <c:v>0.36112979152656349</c:v>
                </c:pt>
                <c:pt idx="115">
                  <c:v>0.33422999327505037</c:v>
                </c:pt>
                <c:pt idx="119">
                  <c:v>0.21318090114324142</c:v>
                </c:pt>
                <c:pt idx="123">
                  <c:v>0.10087424344317418</c:v>
                </c:pt>
                <c:pt idx="126">
                  <c:v>0</c:v>
                </c:pt>
              </c:numCache>
            </c:numRef>
          </c:yVal>
          <c:smooth val="0"/>
        </c:ser>
        <c:ser>
          <c:idx val="0"/>
          <c:order val="6"/>
          <c:spPr>
            <a:ln w="28575">
              <a:noFill/>
            </a:ln>
          </c:spPr>
          <c:marker>
            <c:symbol val="diamond"/>
            <c:size val="4"/>
          </c:marker>
          <c:xVal>
            <c:numRef>
              <c:f>FiltBC!$B$4:$B$130</c:f>
              <c:numCache>
                <c:formatCode>General</c:formatCode>
                <c:ptCount val="127"/>
                <c:pt idx="0">
                  <c:v>1</c:v>
                </c:pt>
                <c:pt idx="1">
                  <c:v>0.99212598425196852</c:v>
                </c:pt>
                <c:pt idx="2">
                  <c:v>0.98425196850393704</c:v>
                </c:pt>
                <c:pt idx="3">
                  <c:v>0.97637795275590555</c:v>
                </c:pt>
                <c:pt idx="4">
                  <c:v>0.96850393700787396</c:v>
                </c:pt>
                <c:pt idx="5">
                  <c:v>0.96062992125984248</c:v>
                </c:pt>
                <c:pt idx="6">
                  <c:v>0.952755905511811</c:v>
                </c:pt>
                <c:pt idx="7">
                  <c:v>0.94488188976377951</c:v>
                </c:pt>
                <c:pt idx="8">
                  <c:v>0.93700787401574803</c:v>
                </c:pt>
                <c:pt idx="9">
                  <c:v>0.92913385826771655</c:v>
                </c:pt>
                <c:pt idx="10">
                  <c:v>0.92125984251968507</c:v>
                </c:pt>
                <c:pt idx="11">
                  <c:v>0.91338582677165359</c:v>
                </c:pt>
                <c:pt idx="12">
                  <c:v>0.90551181102362199</c:v>
                </c:pt>
                <c:pt idx="13">
                  <c:v>0.89763779527559051</c:v>
                </c:pt>
                <c:pt idx="14">
                  <c:v>0.88976377952755903</c:v>
                </c:pt>
                <c:pt idx="15">
                  <c:v>0.88188976377952755</c:v>
                </c:pt>
                <c:pt idx="16">
                  <c:v>0.87401574803149606</c:v>
                </c:pt>
                <c:pt idx="17">
                  <c:v>0.86614173228346458</c:v>
                </c:pt>
                <c:pt idx="18">
                  <c:v>0.8582677165354331</c:v>
                </c:pt>
                <c:pt idx="19">
                  <c:v>0.85039370078740162</c:v>
                </c:pt>
                <c:pt idx="20">
                  <c:v>0.84251968503937003</c:v>
                </c:pt>
                <c:pt idx="21">
                  <c:v>0.83464566929133854</c:v>
                </c:pt>
                <c:pt idx="22">
                  <c:v>0.82677165354330706</c:v>
                </c:pt>
                <c:pt idx="23">
                  <c:v>0.81889763779527558</c:v>
                </c:pt>
                <c:pt idx="24">
                  <c:v>0.8110236220472441</c:v>
                </c:pt>
                <c:pt idx="25">
                  <c:v>0.80314960629921262</c:v>
                </c:pt>
                <c:pt idx="26">
                  <c:v>0.79527559055118113</c:v>
                </c:pt>
                <c:pt idx="27">
                  <c:v>0.78740157480314965</c:v>
                </c:pt>
                <c:pt idx="28">
                  <c:v>0.77952755905511806</c:v>
                </c:pt>
                <c:pt idx="29">
                  <c:v>0.77165354330708658</c:v>
                </c:pt>
                <c:pt idx="30">
                  <c:v>0.76377952755905509</c:v>
                </c:pt>
                <c:pt idx="31">
                  <c:v>0.75590551181102361</c:v>
                </c:pt>
                <c:pt idx="32">
                  <c:v>0.74803149606299213</c:v>
                </c:pt>
                <c:pt idx="33">
                  <c:v>0.74015748031496065</c:v>
                </c:pt>
                <c:pt idx="34">
                  <c:v>0.73228346456692917</c:v>
                </c:pt>
                <c:pt idx="35">
                  <c:v>0.72440944881889768</c:v>
                </c:pt>
                <c:pt idx="36">
                  <c:v>0.71653543307086609</c:v>
                </c:pt>
                <c:pt idx="37">
                  <c:v>0.70866141732283461</c:v>
                </c:pt>
                <c:pt idx="38">
                  <c:v>0.70078740157480313</c:v>
                </c:pt>
                <c:pt idx="39">
                  <c:v>0.69291338582677164</c:v>
                </c:pt>
                <c:pt idx="40">
                  <c:v>0.68503937007874016</c:v>
                </c:pt>
                <c:pt idx="41">
                  <c:v>0.67716535433070868</c:v>
                </c:pt>
                <c:pt idx="42">
                  <c:v>0.6692913385826772</c:v>
                </c:pt>
                <c:pt idx="43">
                  <c:v>0.66141732283464572</c:v>
                </c:pt>
                <c:pt idx="44">
                  <c:v>0.65354330708661412</c:v>
                </c:pt>
                <c:pt idx="45">
                  <c:v>0.64566929133858264</c:v>
                </c:pt>
                <c:pt idx="46">
                  <c:v>0.63779527559055116</c:v>
                </c:pt>
                <c:pt idx="47">
                  <c:v>0.62992125984251968</c:v>
                </c:pt>
                <c:pt idx="48">
                  <c:v>0.62204724409448819</c:v>
                </c:pt>
                <c:pt idx="49">
                  <c:v>0.61417322834645671</c:v>
                </c:pt>
                <c:pt idx="50">
                  <c:v>0.60629921259842523</c:v>
                </c:pt>
                <c:pt idx="51">
                  <c:v>0.59842519685039375</c:v>
                </c:pt>
                <c:pt idx="52">
                  <c:v>0.59055118110236215</c:v>
                </c:pt>
                <c:pt idx="53">
                  <c:v>0.58267716535433067</c:v>
                </c:pt>
                <c:pt idx="54">
                  <c:v>0.57480314960629919</c:v>
                </c:pt>
                <c:pt idx="55">
                  <c:v>0.56692913385826771</c:v>
                </c:pt>
                <c:pt idx="56">
                  <c:v>0.55905511811023623</c:v>
                </c:pt>
                <c:pt idx="57">
                  <c:v>0.55118110236220474</c:v>
                </c:pt>
                <c:pt idx="58">
                  <c:v>0.54330708661417326</c:v>
                </c:pt>
                <c:pt idx="59">
                  <c:v>0.53543307086614178</c:v>
                </c:pt>
                <c:pt idx="60">
                  <c:v>0.52755905511811019</c:v>
                </c:pt>
                <c:pt idx="61">
                  <c:v>0.51968503937007871</c:v>
                </c:pt>
                <c:pt idx="62">
                  <c:v>0.51181102362204722</c:v>
                </c:pt>
                <c:pt idx="63">
                  <c:v>0.50393700787401574</c:v>
                </c:pt>
                <c:pt idx="64">
                  <c:v>0.49606299212598426</c:v>
                </c:pt>
                <c:pt idx="65">
                  <c:v>0.48818897637795278</c:v>
                </c:pt>
                <c:pt idx="66">
                  <c:v>0.48031496062992124</c:v>
                </c:pt>
                <c:pt idx="67">
                  <c:v>0.47244094488188976</c:v>
                </c:pt>
                <c:pt idx="68">
                  <c:v>0.46456692913385828</c:v>
                </c:pt>
                <c:pt idx="69">
                  <c:v>0.45669291338582679</c:v>
                </c:pt>
                <c:pt idx="70">
                  <c:v>0.44881889763779526</c:v>
                </c:pt>
                <c:pt idx="71">
                  <c:v>0.44094488188976377</c:v>
                </c:pt>
                <c:pt idx="72">
                  <c:v>0.43307086614173229</c:v>
                </c:pt>
                <c:pt idx="73">
                  <c:v>0.42519685039370081</c:v>
                </c:pt>
                <c:pt idx="74">
                  <c:v>0.41732283464566927</c:v>
                </c:pt>
                <c:pt idx="75">
                  <c:v>0.40944881889763779</c:v>
                </c:pt>
                <c:pt idx="76">
                  <c:v>0.40157480314960631</c:v>
                </c:pt>
                <c:pt idx="77">
                  <c:v>0.39370078740157483</c:v>
                </c:pt>
                <c:pt idx="78">
                  <c:v>0.38582677165354329</c:v>
                </c:pt>
                <c:pt idx="79">
                  <c:v>0.37795275590551181</c:v>
                </c:pt>
                <c:pt idx="80">
                  <c:v>0.37007874015748032</c:v>
                </c:pt>
                <c:pt idx="81">
                  <c:v>0.36220472440944884</c:v>
                </c:pt>
                <c:pt idx="82">
                  <c:v>0.3543307086614173</c:v>
                </c:pt>
                <c:pt idx="83">
                  <c:v>0.34645669291338582</c:v>
                </c:pt>
                <c:pt idx="84">
                  <c:v>0.33858267716535434</c:v>
                </c:pt>
                <c:pt idx="85">
                  <c:v>0.33070866141732286</c:v>
                </c:pt>
                <c:pt idx="86">
                  <c:v>0.32283464566929132</c:v>
                </c:pt>
                <c:pt idx="87">
                  <c:v>0.31496062992125984</c:v>
                </c:pt>
                <c:pt idx="88">
                  <c:v>0.30708661417322836</c:v>
                </c:pt>
                <c:pt idx="89">
                  <c:v>0.29921259842519687</c:v>
                </c:pt>
                <c:pt idx="90">
                  <c:v>0.29133858267716534</c:v>
                </c:pt>
                <c:pt idx="91">
                  <c:v>0.28346456692913385</c:v>
                </c:pt>
                <c:pt idx="92">
                  <c:v>0.27559055118110237</c:v>
                </c:pt>
                <c:pt idx="93">
                  <c:v>0.26771653543307089</c:v>
                </c:pt>
                <c:pt idx="94">
                  <c:v>0.25984251968503935</c:v>
                </c:pt>
                <c:pt idx="95">
                  <c:v>0.25196850393700787</c:v>
                </c:pt>
                <c:pt idx="96">
                  <c:v>0.24409448818897639</c:v>
                </c:pt>
                <c:pt idx="97">
                  <c:v>0.23622047244094488</c:v>
                </c:pt>
                <c:pt idx="98">
                  <c:v>0.2283464566929134</c:v>
                </c:pt>
                <c:pt idx="99">
                  <c:v>0.22047244094488189</c:v>
                </c:pt>
                <c:pt idx="100">
                  <c:v>0.2125984251968504</c:v>
                </c:pt>
                <c:pt idx="101">
                  <c:v>0.20472440944881889</c:v>
                </c:pt>
                <c:pt idx="102">
                  <c:v>0.19685039370078741</c:v>
                </c:pt>
                <c:pt idx="103">
                  <c:v>0.1889763779527559</c:v>
                </c:pt>
                <c:pt idx="104">
                  <c:v>0.18110236220472442</c:v>
                </c:pt>
                <c:pt idx="105">
                  <c:v>0.17322834645669291</c:v>
                </c:pt>
                <c:pt idx="106">
                  <c:v>0.16535433070866143</c:v>
                </c:pt>
                <c:pt idx="107">
                  <c:v>0.15748031496062992</c:v>
                </c:pt>
                <c:pt idx="108">
                  <c:v>0.14960629921259844</c:v>
                </c:pt>
                <c:pt idx="109">
                  <c:v>0.14173228346456693</c:v>
                </c:pt>
                <c:pt idx="110">
                  <c:v>0.13385826771653545</c:v>
                </c:pt>
                <c:pt idx="111">
                  <c:v>0.12598425196850394</c:v>
                </c:pt>
                <c:pt idx="112">
                  <c:v>0.11811023622047244</c:v>
                </c:pt>
                <c:pt idx="113">
                  <c:v>0.11023622047244094</c:v>
                </c:pt>
                <c:pt idx="114">
                  <c:v>0.10236220472440945</c:v>
                </c:pt>
                <c:pt idx="115">
                  <c:v>9.4488188976377951E-2</c:v>
                </c:pt>
                <c:pt idx="116">
                  <c:v>8.6614173228346455E-2</c:v>
                </c:pt>
                <c:pt idx="117">
                  <c:v>7.874015748031496E-2</c:v>
                </c:pt>
                <c:pt idx="118">
                  <c:v>7.0866141732283464E-2</c:v>
                </c:pt>
                <c:pt idx="119">
                  <c:v>6.2992125984251968E-2</c:v>
                </c:pt>
                <c:pt idx="120">
                  <c:v>5.5118110236220472E-2</c:v>
                </c:pt>
                <c:pt idx="121">
                  <c:v>4.7244094488188976E-2</c:v>
                </c:pt>
                <c:pt idx="122">
                  <c:v>3.937007874015748E-2</c:v>
                </c:pt>
                <c:pt idx="123">
                  <c:v>3.1496062992125984E-2</c:v>
                </c:pt>
                <c:pt idx="124">
                  <c:v>2.3622047244094488E-2</c:v>
                </c:pt>
                <c:pt idx="125">
                  <c:v>1.5748031496062992E-2</c:v>
                </c:pt>
                <c:pt idx="126">
                  <c:v>7.874015748031496E-3</c:v>
                </c:pt>
              </c:numCache>
            </c:numRef>
          </c:xVal>
          <c:yVal>
            <c:numRef>
              <c:f>FiltBC!$AA$4:$AA$130</c:f>
              <c:numCache>
                <c:formatCode>General</c:formatCode>
                <c:ptCount val="127"/>
                <c:pt idx="0">
                  <c:v>0.93377483443708609</c:v>
                </c:pt>
                <c:pt idx="3">
                  <c:v>0.71390728476821186</c:v>
                </c:pt>
                <c:pt idx="7">
                  <c:v>0.4370860927152318</c:v>
                </c:pt>
                <c:pt idx="15">
                  <c:v>0.37086092715231789</c:v>
                </c:pt>
                <c:pt idx="31">
                  <c:v>0.23841059602649003</c:v>
                </c:pt>
                <c:pt idx="47">
                  <c:v>0.11920529801324496</c:v>
                </c:pt>
                <c:pt idx="63">
                  <c:v>9.6688741721854252E-2</c:v>
                </c:pt>
                <c:pt idx="79">
                  <c:v>7.6158940397351022E-2</c:v>
                </c:pt>
                <c:pt idx="95">
                  <c:v>4.768211920529794E-2</c:v>
                </c:pt>
                <c:pt idx="111">
                  <c:v>1.9867549668874104E-2</c:v>
                </c:pt>
                <c:pt idx="126">
                  <c:v>0</c:v>
                </c:pt>
              </c:numCache>
            </c:numRef>
          </c:yVal>
          <c:smooth val="0"/>
        </c:ser>
        <c:ser>
          <c:idx val="6"/>
          <c:order val="7"/>
          <c:spPr>
            <a:ln w="28575">
              <a:noFill/>
            </a:ln>
          </c:spPr>
          <c:xVal>
            <c:numRef>
              <c:f>FiltBC!$B$4:$B$130</c:f>
              <c:numCache>
                <c:formatCode>General</c:formatCode>
                <c:ptCount val="127"/>
                <c:pt idx="0">
                  <c:v>1</c:v>
                </c:pt>
                <c:pt idx="1">
                  <c:v>0.99212598425196852</c:v>
                </c:pt>
                <c:pt idx="2">
                  <c:v>0.98425196850393704</c:v>
                </c:pt>
                <c:pt idx="3">
                  <c:v>0.97637795275590555</c:v>
                </c:pt>
                <c:pt idx="4">
                  <c:v>0.96850393700787396</c:v>
                </c:pt>
                <c:pt idx="5">
                  <c:v>0.96062992125984248</c:v>
                </c:pt>
                <c:pt idx="6">
                  <c:v>0.952755905511811</c:v>
                </c:pt>
                <c:pt idx="7">
                  <c:v>0.94488188976377951</c:v>
                </c:pt>
                <c:pt idx="8">
                  <c:v>0.93700787401574803</c:v>
                </c:pt>
                <c:pt idx="9">
                  <c:v>0.92913385826771655</c:v>
                </c:pt>
                <c:pt idx="10">
                  <c:v>0.92125984251968507</c:v>
                </c:pt>
                <c:pt idx="11">
                  <c:v>0.91338582677165359</c:v>
                </c:pt>
                <c:pt idx="12">
                  <c:v>0.90551181102362199</c:v>
                </c:pt>
                <c:pt idx="13">
                  <c:v>0.89763779527559051</c:v>
                </c:pt>
                <c:pt idx="14">
                  <c:v>0.88976377952755903</c:v>
                </c:pt>
                <c:pt idx="15">
                  <c:v>0.88188976377952755</c:v>
                </c:pt>
                <c:pt idx="16">
                  <c:v>0.87401574803149606</c:v>
                </c:pt>
                <c:pt idx="17">
                  <c:v>0.86614173228346458</c:v>
                </c:pt>
                <c:pt idx="18">
                  <c:v>0.8582677165354331</c:v>
                </c:pt>
                <c:pt idx="19">
                  <c:v>0.85039370078740162</c:v>
                </c:pt>
                <c:pt idx="20">
                  <c:v>0.84251968503937003</c:v>
                </c:pt>
                <c:pt idx="21">
                  <c:v>0.83464566929133854</c:v>
                </c:pt>
                <c:pt idx="22">
                  <c:v>0.82677165354330706</c:v>
                </c:pt>
                <c:pt idx="23">
                  <c:v>0.81889763779527558</c:v>
                </c:pt>
                <c:pt idx="24">
                  <c:v>0.8110236220472441</c:v>
                </c:pt>
                <c:pt idx="25">
                  <c:v>0.80314960629921262</c:v>
                </c:pt>
                <c:pt idx="26">
                  <c:v>0.79527559055118113</c:v>
                </c:pt>
                <c:pt idx="27">
                  <c:v>0.78740157480314965</c:v>
                </c:pt>
                <c:pt idx="28">
                  <c:v>0.77952755905511806</c:v>
                </c:pt>
                <c:pt idx="29">
                  <c:v>0.77165354330708658</c:v>
                </c:pt>
                <c:pt idx="30">
                  <c:v>0.76377952755905509</c:v>
                </c:pt>
                <c:pt idx="31">
                  <c:v>0.75590551181102361</c:v>
                </c:pt>
                <c:pt idx="32">
                  <c:v>0.74803149606299213</c:v>
                </c:pt>
                <c:pt idx="33">
                  <c:v>0.74015748031496065</c:v>
                </c:pt>
                <c:pt idx="34">
                  <c:v>0.73228346456692917</c:v>
                </c:pt>
                <c:pt idx="35">
                  <c:v>0.72440944881889768</c:v>
                </c:pt>
                <c:pt idx="36">
                  <c:v>0.71653543307086609</c:v>
                </c:pt>
                <c:pt idx="37">
                  <c:v>0.70866141732283461</c:v>
                </c:pt>
                <c:pt idx="38">
                  <c:v>0.70078740157480313</c:v>
                </c:pt>
                <c:pt idx="39">
                  <c:v>0.69291338582677164</c:v>
                </c:pt>
                <c:pt idx="40">
                  <c:v>0.68503937007874016</c:v>
                </c:pt>
                <c:pt idx="41">
                  <c:v>0.67716535433070868</c:v>
                </c:pt>
                <c:pt idx="42">
                  <c:v>0.6692913385826772</c:v>
                </c:pt>
                <c:pt idx="43">
                  <c:v>0.66141732283464572</c:v>
                </c:pt>
                <c:pt idx="44">
                  <c:v>0.65354330708661412</c:v>
                </c:pt>
                <c:pt idx="45">
                  <c:v>0.64566929133858264</c:v>
                </c:pt>
                <c:pt idx="46">
                  <c:v>0.63779527559055116</c:v>
                </c:pt>
                <c:pt idx="47">
                  <c:v>0.62992125984251968</c:v>
                </c:pt>
                <c:pt idx="48">
                  <c:v>0.62204724409448819</c:v>
                </c:pt>
                <c:pt idx="49">
                  <c:v>0.61417322834645671</c:v>
                </c:pt>
                <c:pt idx="50">
                  <c:v>0.60629921259842523</c:v>
                </c:pt>
                <c:pt idx="51">
                  <c:v>0.59842519685039375</c:v>
                </c:pt>
                <c:pt idx="52">
                  <c:v>0.59055118110236215</c:v>
                </c:pt>
                <c:pt idx="53">
                  <c:v>0.58267716535433067</c:v>
                </c:pt>
                <c:pt idx="54">
                  <c:v>0.57480314960629919</c:v>
                </c:pt>
                <c:pt idx="55">
                  <c:v>0.56692913385826771</c:v>
                </c:pt>
                <c:pt idx="56">
                  <c:v>0.55905511811023623</c:v>
                </c:pt>
                <c:pt idx="57">
                  <c:v>0.55118110236220474</c:v>
                </c:pt>
                <c:pt idx="58">
                  <c:v>0.54330708661417326</c:v>
                </c:pt>
                <c:pt idx="59">
                  <c:v>0.53543307086614178</c:v>
                </c:pt>
                <c:pt idx="60">
                  <c:v>0.52755905511811019</c:v>
                </c:pt>
                <c:pt idx="61">
                  <c:v>0.51968503937007871</c:v>
                </c:pt>
                <c:pt idx="62">
                  <c:v>0.51181102362204722</c:v>
                </c:pt>
                <c:pt idx="63">
                  <c:v>0.50393700787401574</c:v>
                </c:pt>
                <c:pt idx="64">
                  <c:v>0.49606299212598426</c:v>
                </c:pt>
                <c:pt idx="65">
                  <c:v>0.48818897637795278</c:v>
                </c:pt>
                <c:pt idx="66">
                  <c:v>0.48031496062992124</c:v>
                </c:pt>
                <c:pt idx="67">
                  <c:v>0.47244094488188976</c:v>
                </c:pt>
                <c:pt idx="68">
                  <c:v>0.46456692913385828</c:v>
                </c:pt>
                <c:pt idx="69">
                  <c:v>0.45669291338582679</c:v>
                </c:pt>
                <c:pt idx="70">
                  <c:v>0.44881889763779526</c:v>
                </c:pt>
                <c:pt idx="71">
                  <c:v>0.44094488188976377</c:v>
                </c:pt>
                <c:pt idx="72">
                  <c:v>0.43307086614173229</c:v>
                </c:pt>
                <c:pt idx="73">
                  <c:v>0.42519685039370081</c:v>
                </c:pt>
                <c:pt idx="74">
                  <c:v>0.41732283464566927</c:v>
                </c:pt>
                <c:pt idx="75">
                  <c:v>0.40944881889763779</c:v>
                </c:pt>
                <c:pt idx="76">
                  <c:v>0.40157480314960631</c:v>
                </c:pt>
                <c:pt idx="77">
                  <c:v>0.39370078740157483</c:v>
                </c:pt>
                <c:pt idx="78">
                  <c:v>0.38582677165354329</c:v>
                </c:pt>
                <c:pt idx="79">
                  <c:v>0.37795275590551181</c:v>
                </c:pt>
                <c:pt idx="80">
                  <c:v>0.37007874015748032</c:v>
                </c:pt>
                <c:pt idx="81">
                  <c:v>0.36220472440944884</c:v>
                </c:pt>
                <c:pt idx="82">
                  <c:v>0.3543307086614173</c:v>
                </c:pt>
                <c:pt idx="83">
                  <c:v>0.34645669291338582</c:v>
                </c:pt>
                <c:pt idx="84">
                  <c:v>0.33858267716535434</c:v>
                </c:pt>
                <c:pt idx="85">
                  <c:v>0.33070866141732286</c:v>
                </c:pt>
                <c:pt idx="86">
                  <c:v>0.32283464566929132</c:v>
                </c:pt>
                <c:pt idx="87">
                  <c:v>0.31496062992125984</c:v>
                </c:pt>
                <c:pt idx="88">
                  <c:v>0.30708661417322836</c:v>
                </c:pt>
                <c:pt idx="89">
                  <c:v>0.29921259842519687</c:v>
                </c:pt>
                <c:pt idx="90">
                  <c:v>0.29133858267716534</c:v>
                </c:pt>
                <c:pt idx="91">
                  <c:v>0.28346456692913385</c:v>
                </c:pt>
                <c:pt idx="92">
                  <c:v>0.27559055118110237</c:v>
                </c:pt>
                <c:pt idx="93">
                  <c:v>0.26771653543307089</c:v>
                </c:pt>
                <c:pt idx="94">
                  <c:v>0.25984251968503935</c:v>
                </c:pt>
                <c:pt idx="95">
                  <c:v>0.25196850393700787</c:v>
                </c:pt>
                <c:pt idx="96">
                  <c:v>0.24409448818897639</c:v>
                </c:pt>
                <c:pt idx="97">
                  <c:v>0.23622047244094488</c:v>
                </c:pt>
                <c:pt idx="98">
                  <c:v>0.2283464566929134</c:v>
                </c:pt>
                <c:pt idx="99">
                  <c:v>0.22047244094488189</c:v>
                </c:pt>
                <c:pt idx="100">
                  <c:v>0.2125984251968504</c:v>
                </c:pt>
                <c:pt idx="101">
                  <c:v>0.20472440944881889</c:v>
                </c:pt>
                <c:pt idx="102">
                  <c:v>0.19685039370078741</c:v>
                </c:pt>
                <c:pt idx="103">
                  <c:v>0.1889763779527559</c:v>
                </c:pt>
                <c:pt idx="104">
                  <c:v>0.18110236220472442</c:v>
                </c:pt>
                <c:pt idx="105">
                  <c:v>0.17322834645669291</c:v>
                </c:pt>
                <c:pt idx="106">
                  <c:v>0.16535433070866143</c:v>
                </c:pt>
                <c:pt idx="107">
                  <c:v>0.15748031496062992</c:v>
                </c:pt>
                <c:pt idx="108">
                  <c:v>0.14960629921259844</c:v>
                </c:pt>
                <c:pt idx="109">
                  <c:v>0.14173228346456693</c:v>
                </c:pt>
                <c:pt idx="110">
                  <c:v>0.13385826771653545</c:v>
                </c:pt>
                <c:pt idx="111">
                  <c:v>0.12598425196850394</c:v>
                </c:pt>
                <c:pt idx="112">
                  <c:v>0.11811023622047244</c:v>
                </c:pt>
                <c:pt idx="113">
                  <c:v>0.11023622047244094</c:v>
                </c:pt>
                <c:pt idx="114">
                  <c:v>0.10236220472440945</c:v>
                </c:pt>
                <c:pt idx="115">
                  <c:v>9.4488188976377951E-2</c:v>
                </c:pt>
                <c:pt idx="116">
                  <c:v>8.6614173228346455E-2</c:v>
                </c:pt>
                <c:pt idx="117">
                  <c:v>7.874015748031496E-2</c:v>
                </c:pt>
                <c:pt idx="118">
                  <c:v>7.0866141732283464E-2</c:v>
                </c:pt>
                <c:pt idx="119">
                  <c:v>6.2992125984251968E-2</c:v>
                </c:pt>
                <c:pt idx="120">
                  <c:v>5.5118110236220472E-2</c:v>
                </c:pt>
                <c:pt idx="121">
                  <c:v>4.7244094488188976E-2</c:v>
                </c:pt>
                <c:pt idx="122">
                  <c:v>3.937007874015748E-2</c:v>
                </c:pt>
                <c:pt idx="123">
                  <c:v>3.1496062992125984E-2</c:v>
                </c:pt>
                <c:pt idx="124">
                  <c:v>2.3622047244094488E-2</c:v>
                </c:pt>
                <c:pt idx="125">
                  <c:v>1.5748031496062992E-2</c:v>
                </c:pt>
                <c:pt idx="126">
                  <c:v>7.874015748031496E-3</c:v>
                </c:pt>
              </c:numCache>
            </c:numRef>
          </c:xVal>
          <c:yVal>
            <c:numRef>
              <c:f>FiltBC!$G$4:$G$131</c:f>
              <c:numCache>
                <c:formatCode>General</c:formatCode>
                <c:ptCount val="128"/>
                <c:pt idx="0">
                  <c:v>1</c:v>
                </c:pt>
                <c:pt idx="15">
                  <c:v>0.99517543859649127</c:v>
                </c:pt>
                <c:pt idx="63">
                  <c:v>0.98728070175438598</c:v>
                </c:pt>
                <c:pt idx="95">
                  <c:v>0.97807017543859653</c:v>
                </c:pt>
                <c:pt idx="111">
                  <c:v>0.97061403508771926</c:v>
                </c:pt>
                <c:pt idx="119">
                  <c:v>0.95394736842105265</c:v>
                </c:pt>
                <c:pt idx="122">
                  <c:v>0.92456140350877203</c:v>
                </c:pt>
                <c:pt idx="123">
                  <c:v>0.91885964912280693</c:v>
                </c:pt>
                <c:pt idx="124">
                  <c:v>0.91140350877192988</c:v>
                </c:pt>
                <c:pt idx="125">
                  <c:v>0.90350877192982459</c:v>
                </c:pt>
                <c:pt idx="126">
                  <c:v>0.47938596491228075</c:v>
                </c:pt>
                <c:pt idx="127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0079360"/>
        <c:axId val="301404160"/>
      </c:scatterChart>
      <c:valAx>
        <c:axId val="3000793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01404160"/>
        <c:crosses val="autoZero"/>
        <c:crossBetween val="midCat"/>
      </c:valAx>
      <c:valAx>
        <c:axId val="3014041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0007936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FiltBC!$S$135:$S$139</c:f>
              <c:numCache>
                <c:formatCode>General</c:formatCode>
                <c:ptCount val="5"/>
                <c:pt idx="0">
                  <c:v>1</c:v>
                </c:pt>
                <c:pt idx="1">
                  <c:v>0.75</c:v>
                </c:pt>
                <c:pt idx="2">
                  <c:v>0.5</c:v>
                </c:pt>
              </c:numCache>
            </c:numRef>
          </c:xVal>
          <c:yVal>
            <c:numRef>
              <c:f>FiltBC!$T$135:$T$139</c:f>
              <c:numCache>
                <c:formatCode>General</c:formatCode>
                <c:ptCount val="5"/>
                <c:pt idx="0">
                  <c:v>0</c:v>
                </c:pt>
                <c:pt idx="1">
                  <c:v>0.25</c:v>
                </c:pt>
                <c:pt idx="2">
                  <c:v>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1416832"/>
        <c:axId val="301418368"/>
      </c:scatterChart>
      <c:valAx>
        <c:axId val="3014168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01418368"/>
        <c:crosses val="autoZero"/>
        <c:crossBetween val="midCat"/>
      </c:valAx>
      <c:valAx>
        <c:axId val="3014183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0141683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name>FBC0_loSlope</c:name>
            <c:trendlineType val="linear"/>
            <c:dispRSqr val="0"/>
            <c:dispEq val="1"/>
            <c:trendlineLbl>
              <c:numFmt formatCode="General" sourceLinked="0"/>
            </c:trendlineLbl>
          </c:trendline>
          <c:xVal>
            <c:numRef>
              <c:f>FiltBC!$B$67:$B$130</c:f>
              <c:numCache>
                <c:formatCode>General</c:formatCode>
                <c:ptCount val="64"/>
                <c:pt idx="0">
                  <c:v>0.50393700787401574</c:v>
                </c:pt>
                <c:pt idx="1">
                  <c:v>0.49606299212598426</c:v>
                </c:pt>
                <c:pt idx="2">
                  <c:v>0.48818897637795278</c:v>
                </c:pt>
                <c:pt idx="3">
                  <c:v>0.48031496062992124</c:v>
                </c:pt>
                <c:pt idx="4">
                  <c:v>0.47244094488188976</c:v>
                </c:pt>
                <c:pt idx="5">
                  <c:v>0.46456692913385828</c:v>
                </c:pt>
                <c:pt idx="6">
                  <c:v>0.45669291338582679</c:v>
                </c:pt>
                <c:pt idx="7">
                  <c:v>0.44881889763779526</c:v>
                </c:pt>
                <c:pt idx="8">
                  <c:v>0.44094488188976377</c:v>
                </c:pt>
                <c:pt idx="9">
                  <c:v>0.43307086614173229</c:v>
                </c:pt>
                <c:pt idx="10">
                  <c:v>0.42519685039370081</c:v>
                </c:pt>
                <c:pt idx="11">
                  <c:v>0.41732283464566927</c:v>
                </c:pt>
                <c:pt idx="12">
                  <c:v>0.40944881889763779</c:v>
                </c:pt>
                <c:pt idx="13">
                  <c:v>0.40157480314960631</c:v>
                </c:pt>
                <c:pt idx="14">
                  <c:v>0.39370078740157483</c:v>
                </c:pt>
                <c:pt idx="15">
                  <c:v>0.38582677165354329</c:v>
                </c:pt>
                <c:pt idx="16">
                  <c:v>0.37795275590551181</c:v>
                </c:pt>
                <c:pt idx="17">
                  <c:v>0.37007874015748032</c:v>
                </c:pt>
                <c:pt idx="18">
                  <c:v>0.36220472440944884</c:v>
                </c:pt>
                <c:pt idx="19">
                  <c:v>0.3543307086614173</c:v>
                </c:pt>
                <c:pt idx="20">
                  <c:v>0.34645669291338582</c:v>
                </c:pt>
                <c:pt idx="21">
                  <c:v>0.33858267716535434</c:v>
                </c:pt>
                <c:pt idx="22">
                  <c:v>0.33070866141732286</c:v>
                </c:pt>
                <c:pt idx="23">
                  <c:v>0.32283464566929132</c:v>
                </c:pt>
                <c:pt idx="24">
                  <c:v>0.31496062992125984</c:v>
                </c:pt>
                <c:pt idx="25">
                  <c:v>0.30708661417322836</c:v>
                </c:pt>
                <c:pt idx="26">
                  <c:v>0.29921259842519687</c:v>
                </c:pt>
                <c:pt idx="27">
                  <c:v>0.29133858267716534</c:v>
                </c:pt>
                <c:pt idx="28">
                  <c:v>0.28346456692913385</c:v>
                </c:pt>
                <c:pt idx="29">
                  <c:v>0.27559055118110237</c:v>
                </c:pt>
                <c:pt idx="30">
                  <c:v>0.26771653543307089</c:v>
                </c:pt>
                <c:pt idx="31">
                  <c:v>0.25984251968503935</c:v>
                </c:pt>
                <c:pt idx="32">
                  <c:v>0.25196850393700787</c:v>
                </c:pt>
                <c:pt idx="33">
                  <c:v>0.24409448818897639</c:v>
                </c:pt>
                <c:pt idx="34">
                  <c:v>0.23622047244094488</c:v>
                </c:pt>
                <c:pt idx="35">
                  <c:v>0.2283464566929134</c:v>
                </c:pt>
                <c:pt idx="36">
                  <c:v>0.22047244094488189</c:v>
                </c:pt>
                <c:pt idx="37">
                  <c:v>0.2125984251968504</c:v>
                </c:pt>
                <c:pt idx="38">
                  <c:v>0.20472440944881889</c:v>
                </c:pt>
                <c:pt idx="39">
                  <c:v>0.19685039370078741</c:v>
                </c:pt>
                <c:pt idx="40">
                  <c:v>0.1889763779527559</c:v>
                </c:pt>
                <c:pt idx="41">
                  <c:v>0.18110236220472442</c:v>
                </c:pt>
                <c:pt idx="42">
                  <c:v>0.17322834645669291</c:v>
                </c:pt>
                <c:pt idx="43">
                  <c:v>0.16535433070866143</c:v>
                </c:pt>
                <c:pt idx="44">
                  <c:v>0.15748031496062992</c:v>
                </c:pt>
                <c:pt idx="45">
                  <c:v>0.14960629921259844</c:v>
                </c:pt>
                <c:pt idx="46">
                  <c:v>0.14173228346456693</c:v>
                </c:pt>
                <c:pt idx="47">
                  <c:v>0.13385826771653545</c:v>
                </c:pt>
                <c:pt idx="48">
                  <c:v>0.12598425196850394</c:v>
                </c:pt>
                <c:pt idx="49">
                  <c:v>0.11811023622047244</c:v>
                </c:pt>
                <c:pt idx="50">
                  <c:v>0.11023622047244094</c:v>
                </c:pt>
                <c:pt idx="51">
                  <c:v>0.10236220472440945</c:v>
                </c:pt>
                <c:pt idx="52">
                  <c:v>9.4488188976377951E-2</c:v>
                </c:pt>
                <c:pt idx="53">
                  <c:v>8.6614173228346455E-2</c:v>
                </c:pt>
                <c:pt idx="54">
                  <c:v>7.874015748031496E-2</c:v>
                </c:pt>
                <c:pt idx="55">
                  <c:v>7.0866141732283464E-2</c:v>
                </c:pt>
                <c:pt idx="56">
                  <c:v>6.2992125984251968E-2</c:v>
                </c:pt>
                <c:pt idx="57">
                  <c:v>5.5118110236220472E-2</c:v>
                </c:pt>
                <c:pt idx="58">
                  <c:v>4.7244094488188976E-2</c:v>
                </c:pt>
                <c:pt idx="59">
                  <c:v>3.937007874015748E-2</c:v>
                </c:pt>
                <c:pt idx="60">
                  <c:v>3.1496062992125984E-2</c:v>
                </c:pt>
                <c:pt idx="61">
                  <c:v>2.3622047244094488E-2</c:v>
                </c:pt>
                <c:pt idx="62">
                  <c:v>1.5748031496062992E-2</c:v>
                </c:pt>
                <c:pt idx="63">
                  <c:v>7.874015748031496E-3</c:v>
                </c:pt>
              </c:numCache>
            </c:numRef>
          </c:xVal>
          <c:yVal>
            <c:numRef>
              <c:f>FiltBC!$AA$67:$AA$130</c:f>
              <c:numCache>
                <c:formatCode>General</c:formatCode>
                <c:ptCount val="64"/>
                <c:pt idx="0">
                  <c:v>9.6688741721854252E-2</c:v>
                </c:pt>
                <c:pt idx="16">
                  <c:v>7.6158940397351022E-2</c:v>
                </c:pt>
                <c:pt idx="32">
                  <c:v>4.768211920529794E-2</c:v>
                </c:pt>
                <c:pt idx="48">
                  <c:v>1.9867549668874104E-2</c:v>
                </c:pt>
                <c:pt idx="63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1455616"/>
        <c:axId val="301461504"/>
      </c:scatterChart>
      <c:valAx>
        <c:axId val="3014556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01461504"/>
        <c:crosses val="autoZero"/>
        <c:crossBetween val="midCat"/>
      </c:valAx>
      <c:valAx>
        <c:axId val="3014615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0145561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name>FBC16_loSlope</c:name>
            <c:trendlineType val="linear"/>
            <c:dispRSqr val="0"/>
            <c:dispEq val="1"/>
            <c:trendlineLbl>
              <c:numFmt formatCode="General" sourceLinked="0"/>
            </c:trendlineLbl>
          </c:trendline>
          <c:xVal>
            <c:numRef>
              <c:f>FiltBC!$B$83:$B$130</c:f>
              <c:numCache>
                <c:formatCode>General</c:formatCode>
                <c:ptCount val="48"/>
                <c:pt idx="0">
                  <c:v>0.37795275590551181</c:v>
                </c:pt>
                <c:pt idx="1">
                  <c:v>0.37007874015748032</c:v>
                </c:pt>
                <c:pt idx="2">
                  <c:v>0.36220472440944884</c:v>
                </c:pt>
                <c:pt idx="3">
                  <c:v>0.3543307086614173</c:v>
                </c:pt>
                <c:pt idx="4">
                  <c:v>0.34645669291338582</c:v>
                </c:pt>
                <c:pt idx="5">
                  <c:v>0.33858267716535434</c:v>
                </c:pt>
                <c:pt idx="6">
                  <c:v>0.33070866141732286</c:v>
                </c:pt>
                <c:pt idx="7">
                  <c:v>0.32283464566929132</c:v>
                </c:pt>
                <c:pt idx="8">
                  <c:v>0.31496062992125984</c:v>
                </c:pt>
                <c:pt idx="9">
                  <c:v>0.30708661417322836</c:v>
                </c:pt>
                <c:pt idx="10">
                  <c:v>0.29921259842519687</c:v>
                </c:pt>
                <c:pt idx="11">
                  <c:v>0.29133858267716534</c:v>
                </c:pt>
                <c:pt idx="12">
                  <c:v>0.28346456692913385</c:v>
                </c:pt>
                <c:pt idx="13">
                  <c:v>0.27559055118110237</c:v>
                </c:pt>
                <c:pt idx="14">
                  <c:v>0.26771653543307089</c:v>
                </c:pt>
                <c:pt idx="15">
                  <c:v>0.25984251968503935</c:v>
                </c:pt>
                <c:pt idx="16">
                  <c:v>0.25196850393700787</c:v>
                </c:pt>
                <c:pt idx="17">
                  <c:v>0.24409448818897639</c:v>
                </c:pt>
                <c:pt idx="18">
                  <c:v>0.23622047244094488</c:v>
                </c:pt>
                <c:pt idx="19">
                  <c:v>0.2283464566929134</c:v>
                </c:pt>
                <c:pt idx="20">
                  <c:v>0.22047244094488189</c:v>
                </c:pt>
                <c:pt idx="21">
                  <c:v>0.2125984251968504</c:v>
                </c:pt>
                <c:pt idx="22">
                  <c:v>0.20472440944881889</c:v>
                </c:pt>
                <c:pt idx="23">
                  <c:v>0.19685039370078741</c:v>
                </c:pt>
                <c:pt idx="24">
                  <c:v>0.1889763779527559</c:v>
                </c:pt>
                <c:pt idx="25">
                  <c:v>0.18110236220472442</c:v>
                </c:pt>
                <c:pt idx="26">
                  <c:v>0.17322834645669291</c:v>
                </c:pt>
                <c:pt idx="27">
                  <c:v>0.16535433070866143</c:v>
                </c:pt>
                <c:pt idx="28">
                  <c:v>0.15748031496062992</c:v>
                </c:pt>
                <c:pt idx="29">
                  <c:v>0.14960629921259844</c:v>
                </c:pt>
                <c:pt idx="30">
                  <c:v>0.14173228346456693</c:v>
                </c:pt>
                <c:pt idx="31">
                  <c:v>0.13385826771653545</c:v>
                </c:pt>
                <c:pt idx="32">
                  <c:v>0.12598425196850394</c:v>
                </c:pt>
                <c:pt idx="33">
                  <c:v>0.11811023622047244</c:v>
                </c:pt>
                <c:pt idx="34">
                  <c:v>0.11023622047244094</c:v>
                </c:pt>
                <c:pt idx="35">
                  <c:v>0.10236220472440945</c:v>
                </c:pt>
                <c:pt idx="36">
                  <c:v>9.4488188976377951E-2</c:v>
                </c:pt>
                <c:pt idx="37">
                  <c:v>8.6614173228346455E-2</c:v>
                </c:pt>
                <c:pt idx="38">
                  <c:v>7.874015748031496E-2</c:v>
                </c:pt>
                <c:pt idx="39">
                  <c:v>7.0866141732283464E-2</c:v>
                </c:pt>
                <c:pt idx="40">
                  <c:v>6.2992125984251968E-2</c:v>
                </c:pt>
                <c:pt idx="41">
                  <c:v>5.5118110236220472E-2</c:v>
                </c:pt>
                <c:pt idx="42">
                  <c:v>4.7244094488188976E-2</c:v>
                </c:pt>
                <c:pt idx="43">
                  <c:v>3.937007874015748E-2</c:v>
                </c:pt>
                <c:pt idx="44">
                  <c:v>3.1496062992125984E-2</c:v>
                </c:pt>
                <c:pt idx="45">
                  <c:v>2.3622047244094488E-2</c:v>
                </c:pt>
                <c:pt idx="46">
                  <c:v>1.5748031496062992E-2</c:v>
                </c:pt>
                <c:pt idx="47">
                  <c:v>7.874015748031496E-3</c:v>
                </c:pt>
              </c:numCache>
            </c:numRef>
          </c:xVal>
          <c:yVal>
            <c:numRef>
              <c:f>FiltBC!$X$83:$X$130</c:f>
              <c:numCache>
                <c:formatCode>General</c:formatCode>
                <c:ptCount val="48"/>
                <c:pt idx="0">
                  <c:v>0.10849056603773588</c:v>
                </c:pt>
                <c:pt idx="16">
                  <c:v>7.3584905660377301E-2</c:v>
                </c:pt>
                <c:pt idx="32">
                  <c:v>3.3018867924528267E-2</c:v>
                </c:pt>
                <c:pt idx="47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1487616"/>
        <c:axId val="301489152"/>
      </c:scatterChart>
      <c:valAx>
        <c:axId val="3014876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01489152"/>
        <c:crosses val="autoZero"/>
        <c:crossBetween val="midCat"/>
      </c:valAx>
      <c:valAx>
        <c:axId val="3014891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0148761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name>FBC32_loSlope</c:name>
            <c:trendlineType val="linear"/>
            <c:dispRSqr val="0"/>
            <c:dispEq val="1"/>
            <c:trendlineLbl>
              <c:numFmt formatCode="General" sourceLinked="0"/>
            </c:trendlineLbl>
          </c:trendline>
          <c:xVal>
            <c:numRef>
              <c:f>FiltBC!$B$99:$B$130</c:f>
              <c:numCache>
                <c:formatCode>General</c:formatCode>
                <c:ptCount val="32"/>
                <c:pt idx="0">
                  <c:v>0.25196850393700787</c:v>
                </c:pt>
                <c:pt idx="1">
                  <c:v>0.24409448818897639</c:v>
                </c:pt>
                <c:pt idx="2">
                  <c:v>0.23622047244094488</c:v>
                </c:pt>
                <c:pt idx="3">
                  <c:v>0.2283464566929134</c:v>
                </c:pt>
                <c:pt idx="4">
                  <c:v>0.22047244094488189</c:v>
                </c:pt>
                <c:pt idx="5">
                  <c:v>0.2125984251968504</c:v>
                </c:pt>
                <c:pt idx="6">
                  <c:v>0.20472440944881889</c:v>
                </c:pt>
                <c:pt idx="7">
                  <c:v>0.19685039370078741</c:v>
                </c:pt>
                <c:pt idx="8">
                  <c:v>0.1889763779527559</c:v>
                </c:pt>
                <c:pt idx="9">
                  <c:v>0.18110236220472442</c:v>
                </c:pt>
                <c:pt idx="10">
                  <c:v>0.17322834645669291</c:v>
                </c:pt>
                <c:pt idx="11">
                  <c:v>0.16535433070866143</c:v>
                </c:pt>
                <c:pt idx="12">
                  <c:v>0.15748031496062992</c:v>
                </c:pt>
                <c:pt idx="13">
                  <c:v>0.14960629921259844</c:v>
                </c:pt>
                <c:pt idx="14">
                  <c:v>0.14173228346456693</c:v>
                </c:pt>
                <c:pt idx="15">
                  <c:v>0.13385826771653545</c:v>
                </c:pt>
                <c:pt idx="16">
                  <c:v>0.12598425196850394</c:v>
                </c:pt>
                <c:pt idx="17">
                  <c:v>0.11811023622047244</c:v>
                </c:pt>
                <c:pt idx="18">
                  <c:v>0.11023622047244094</c:v>
                </c:pt>
                <c:pt idx="19">
                  <c:v>0.10236220472440945</c:v>
                </c:pt>
                <c:pt idx="20">
                  <c:v>9.4488188976377951E-2</c:v>
                </c:pt>
                <c:pt idx="21">
                  <c:v>8.6614173228346455E-2</c:v>
                </c:pt>
                <c:pt idx="22">
                  <c:v>7.874015748031496E-2</c:v>
                </c:pt>
                <c:pt idx="23">
                  <c:v>7.0866141732283464E-2</c:v>
                </c:pt>
                <c:pt idx="24">
                  <c:v>6.2992125984251968E-2</c:v>
                </c:pt>
                <c:pt idx="25">
                  <c:v>5.5118110236220472E-2</c:v>
                </c:pt>
                <c:pt idx="26">
                  <c:v>4.7244094488188976E-2</c:v>
                </c:pt>
                <c:pt idx="27">
                  <c:v>3.937007874015748E-2</c:v>
                </c:pt>
                <c:pt idx="28">
                  <c:v>3.1496062992125984E-2</c:v>
                </c:pt>
                <c:pt idx="29">
                  <c:v>2.3622047244094488E-2</c:v>
                </c:pt>
                <c:pt idx="30">
                  <c:v>1.5748031496062992E-2</c:v>
                </c:pt>
                <c:pt idx="31">
                  <c:v>7.874015748031496E-3</c:v>
                </c:pt>
              </c:numCache>
            </c:numRef>
          </c:xVal>
          <c:yVal>
            <c:numRef>
              <c:f>FiltBC!$U$99:$U$130</c:f>
              <c:numCache>
                <c:formatCode>General</c:formatCode>
                <c:ptCount val="32"/>
                <c:pt idx="0">
                  <c:v>0.10426148117501047</c:v>
                </c:pt>
                <c:pt idx="16">
                  <c:v>5.2130740587505234E-2</c:v>
                </c:pt>
                <c:pt idx="31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1501824"/>
        <c:axId val="301507712"/>
      </c:scatterChart>
      <c:valAx>
        <c:axId val="3015018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01507712"/>
        <c:crosses val="autoZero"/>
        <c:crossBetween val="midCat"/>
      </c:valAx>
      <c:valAx>
        <c:axId val="3015077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0150182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name>FBC80_loSlope</c:name>
            <c:trendlineType val="linear"/>
            <c:dispRSqr val="0"/>
            <c:dispEq val="1"/>
            <c:trendlineLbl>
              <c:numFmt formatCode="General" sourceLinked="0"/>
            </c:trendlineLbl>
          </c:trendline>
          <c:xVal>
            <c:numRef>
              <c:f>FiltBC!$B$123:$B$130</c:f>
              <c:numCache>
                <c:formatCode>General</c:formatCode>
                <c:ptCount val="8"/>
                <c:pt idx="0">
                  <c:v>6.2992125984251968E-2</c:v>
                </c:pt>
                <c:pt idx="1">
                  <c:v>5.5118110236220472E-2</c:v>
                </c:pt>
                <c:pt idx="2">
                  <c:v>4.7244094488188976E-2</c:v>
                </c:pt>
                <c:pt idx="3">
                  <c:v>3.937007874015748E-2</c:v>
                </c:pt>
                <c:pt idx="4">
                  <c:v>3.1496062992125984E-2</c:v>
                </c:pt>
                <c:pt idx="5">
                  <c:v>2.3622047244094488E-2</c:v>
                </c:pt>
                <c:pt idx="6">
                  <c:v>1.5748031496062992E-2</c:v>
                </c:pt>
                <c:pt idx="7">
                  <c:v>7.874015748031496E-3</c:v>
                </c:pt>
              </c:numCache>
            </c:numRef>
          </c:xVal>
          <c:yVal>
            <c:numRef>
              <c:f>FiltBC!$O$123:$O$130</c:f>
              <c:numCache>
                <c:formatCode>General</c:formatCode>
                <c:ptCount val="8"/>
                <c:pt idx="0">
                  <c:v>0.21318090114324142</c:v>
                </c:pt>
                <c:pt idx="4">
                  <c:v>0.10087424344317418</c:v>
                </c:pt>
                <c:pt idx="7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1622784"/>
        <c:axId val="301624320"/>
      </c:scatterChart>
      <c:valAx>
        <c:axId val="3016227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01624320"/>
        <c:crosses val="autoZero"/>
        <c:crossBetween val="midCat"/>
      </c:valAx>
      <c:valAx>
        <c:axId val="3016243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0162278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name>FBC96_loSlope</c:name>
            <c:trendlineType val="linear"/>
            <c:dispRSqr val="0"/>
            <c:dispEq val="1"/>
            <c:trendlineLbl>
              <c:numFmt formatCode="General" sourceLinked="0"/>
            </c:trendlineLbl>
          </c:trendline>
          <c:xVal>
            <c:numRef>
              <c:f>FiltBC!$B$123:$B$130</c:f>
              <c:numCache>
                <c:formatCode>General</c:formatCode>
                <c:ptCount val="8"/>
                <c:pt idx="0">
                  <c:v>6.2992125984251968E-2</c:v>
                </c:pt>
                <c:pt idx="1">
                  <c:v>5.5118110236220472E-2</c:v>
                </c:pt>
                <c:pt idx="2">
                  <c:v>4.7244094488188976E-2</c:v>
                </c:pt>
                <c:pt idx="3">
                  <c:v>3.937007874015748E-2</c:v>
                </c:pt>
                <c:pt idx="4">
                  <c:v>3.1496062992125984E-2</c:v>
                </c:pt>
                <c:pt idx="5">
                  <c:v>2.3622047244094488E-2</c:v>
                </c:pt>
                <c:pt idx="6">
                  <c:v>1.5748031496062992E-2</c:v>
                </c:pt>
                <c:pt idx="7">
                  <c:v>7.874015748031496E-3</c:v>
                </c:pt>
              </c:numCache>
            </c:numRef>
          </c:xVal>
          <c:yVal>
            <c:numRef>
              <c:f>FiltBC!$L$123:$L$130</c:f>
              <c:numCache>
                <c:formatCode>General</c:formatCode>
                <c:ptCount val="8"/>
                <c:pt idx="0">
                  <c:v>0.52500000000000002</c:v>
                </c:pt>
                <c:pt idx="4">
                  <c:v>0.22500000000000001</c:v>
                </c:pt>
                <c:pt idx="7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1636992"/>
        <c:axId val="301655168"/>
      </c:scatterChart>
      <c:valAx>
        <c:axId val="3016369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01655168"/>
        <c:crosses val="autoZero"/>
        <c:crossBetween val="midCat"/>
      </c:valAx>
      <c:valAx>
        <c:axId val="3016551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0163699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name>FBC112_loSlope</c:name>
            <c:trendlineType val="linear"/>
            <c:dispRSqr val="0"/>
            <c:dispEq val="1"/>
            <c:trendlineLbl>
              <c:numFmt formatCode="General" sourceLinked="0"/>
            </c:trendlineLbl>
          </c:trendline>
          <c:xVal>
            <c:numRef>
              <c:f>FiltBC!$B$128:$B$130</c:f>
              <c:numCache>
                <c:formatCode>General</c:formatCode>
                <c:ptCount val="3"/>
                <c:pt idx="0">
                  <c:v>2.3622047244094488E-2</c:v>
                </c:pt>
                <c:pt idx="1">
                  <c:v>1.5748031496062992E-2</c:v>
                </c:pt>
                <c:pt idx="2">
                  <c:v>7.874015748031496E-3</c:v>
                </c:pt>
              </c:numCache>
            </c:numRef>
          </c:xVal>
          <c:yVal>
            <c:numRef>
              <c:f>FiltBC!$I$128:$I$130</c:f>
              <c:numCache>
                <c:formatCode>General</c:formatCode>
                <c:ptCount val="3"/>
                <c:pt idx="0">
                  <c:v>0.74912280701754397</c:v>
                </c:pt>
                <c:pt idx="1">
                  <c:v>0.42675438596491228</c:v>
                </c:pt>
                <c:pt idx="2">
                  <c:v>0.16228070175438594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2073344"/>
        <c:axId val="302074880"/>
      </c:scatterChart>
      <c:valAx>
        <c:axId val="3020733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02074880"/>
        <c:crosses val="autoZero"/>
        <c:crossBetween val="midCat"/>
      </c:valAx>
      <c:valAx>
        <c:axId val="3020748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0207334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name>FBC64_slope</c:name>
            <c:trendlineType val="linear"/>
            <c:dispRSqr val="0"/>
            <c:dispEq val="1"/>
            <c:trendlineLbl>
              <c:numFmt formatCode="General" sourceLinked="0"/>
            </c:trendlineLbl>
          </c:trendline>
          <c:xVal>
            <c:numRef>
              <c:f>FiltBC!$B$4:$B$130</c:f>
              <c:numCache>
                <c:formatCode>General</c:formatCode>
                <c:ptCount val="127"/>
                <c:pt idx="0">
                  <c:v>1</c:v>
                </c:pt>
                <c:pt idx="1">
                  <c:v>0.99212598425196852</c:v>
                </c:pt>
                <c:pt idx="2">
                  <c:v>0.98425196850393704</c:v>
                </c:pt>
                <c:pt idx="3">
                  <c:v>0.97637795275590555</c:v>
                </c:pt>
                <c:pt idx="4">
                  <c:v>0.96850393700787396</c:v>
                </c:pt>
                <c:pt idx="5">
                  <c:v>0.96062992125984248</c:v>
                </c:pt>
                <c:pt idx="6">
                  <c:v>0.952755905511811</c:v>
                </c:pt>
                <c:pt idx="7">
                  <c:v>0.94488188976377951</c:v>
                </c:pt>
                <c:pt idx="8">
                  <c:v>0.93700787401574803</c:v>
                </c:pt>
                <c:pt idx="9">
                  <c:v>0.92913385826771655</c:v>
                </c:pt>
                <c:pt idx="10">
                  <c:v>0.92125984251968507</c:v>
                </c:pt>
                <c:pt idx="11">
                  <c:v>0.91338582677165359</c:v>
                </c:pt>
                <c:pt idx="12">
                  <c:v>0.90551181102362199</c:v>
                </c:pt>
                <c:pt idx="13">
                  <c:v>0.89763779527559051</c:v>
                </c:pt>
                <c:pt idx="14">
                  <c:v>0.88976377952755903</c:v>
                </c:pt>
                <c:pt idx="15">
                  <c:v>0.88188976377952755</c:v>
                </c:pt>
                <c:pt idx="16">
                  <c:v>0.87401574803149606</c:v>
                </c:pt>
                <c:pt idx="17">
                  <c:v>0.86614173228346458</c:v>
                </c:pt>
                <c:pt idx="18">
                  <c:v>0.8582677165354331</c:v>
                </c:pt>
                <c:pt idx="19">
                  <c:v>0.85039370078740162</c:v>
                </c:pt>
                <c:pt idx="20">
                  <c:v>0.84251968503937003</c:v>
                </c:pt>
                <c:pt idx="21">
                  <c:v>0.83464566929133854</c:v>
                </c:pt>
                <c:pt idx="22">
                  <c:v>0.82677165354330706</c:v>
                </c:pt>
                <c:pt idx="23">
                  <c:v>0.81889763779527558</c:v>
                </c:pt>
                <c:pt idx="24">
                  <c:v>0.8110236220472441</c:v>
                </c:pt>
                <c:pt idx="25">
                  <c:v>0.80314960629921262</c:v>
                </c:pt>
                <c:pt idx="26">
                  <c:v>0.79527559055118113</c:v>
                </c:pt>
                <c:pt idx="27">
                  <c:v>0.78740157480314965</c:v>
                </c:pt>
                <c:pt idx="28">
                  <c:v>0.77952755905511806</c:v>
                </c:pt>
                <c:pt idx="29">
                  <c:v>0.77165354330708658</c:v>
                </c:pt>
                <c:pt idx="30">
                  <c:v>0.76377952755905509</c:v>
                </c:pt>
                <c:pt idx="31">
                  <c:v>0.75590551181102361</c:v>
                </c:pt>
                <c:pt idx="32">
                  <c:v>0.74803149606299213</c:v>
                </c:pt>
                <c:pt idx="33">
                  <c:v>0.74015748031496065</c:v>
                </c:pt>
                <c:pt idx="34">
                  <c:v>0.73228346456692917</c:v>
                </c:pt>
                <c:pt idx="35">
                  <c:v>0.72440944881889768</c:v>
                </c:pt>
                <c:pt idx="36">
                  <c:v>0.71653543307086609</c:v>
                </c:pt>
                <c:pt idx="37">
                  <c:v>0.70866141732283461</c:v>
                </c:pt>
                <c:pt idx="38">
                  <c:v>0.70078740157480313</c:v>
                </c:pt>
                <c:pt idx="39">
                  <c:v>0.69291338582677164</c:v>
                </c:pt>
                <c:pt idx="40">
                  <c:v>0.68503937007874016</c:v>
                </c:pt>
                <c:pt idx="41">
                  <c:v>0.67716535433070868</c:v>
                </c:pt>
                <c:pt idx="42">
                  <c:v>0.6692913385826772</c:v>
                </c:pt>
                <c:pt idx="43">
                  <c:v>0.66141732283464572</c:v>
                </c:pt>
                <c:pt idx="44">
                  <c:v>0.65354330708661412</c:v>
                </c:pt>
                <c:pt idx="45">
                  <c:v>0.64566929133858264</c:v>
                </c:pt>
                <c:pt idx="46">
                  <c:v>0.63779527559055116</c:v>
                </c:pt>
                <c:pt idx="47">
                  <c:v>0.62992125984251968</c:v>
                </c:pt>
                <c:pt idx="48">
                  <c:v>0.62204724409448819</c:v>
                </c:pt>
                <c:pt idx="49">
                  <c:v>0.61417322834645671</c:v>
                </c:pt>
                <c:pt idx="50">
                  <c:v>0.60629921259842523</c:v>
                </c:pt>
                <c:pt idx="51">
                  <c:v>0.59842519685039375</c:v>
                </c:pt>
                <c:pt idx="52">
                  <c:v>0.59055118110236215</c:v>
                </c:pt>
                <c:pt idx="53">
                  <c:v>0.58267716535433067</c:v>
                </c:pt>
                <c:pt idx="54">
                  <c:v>0.57480314960629919</c:v>
                </c:pt>
                <c:pt idx="55">
                  <c:v>0.56692913385826771</c:v>
                </c:pt>
                <c:pt idx="56">
                  <c:v>0.55905511811023623</c:v>
                </c:pt>
                <c:pt idx="57">
                  <c:v>0.55118110236220474</c:v>
                </c:pt>
                <c:pt idx="58">
                  <c:v>0.54330708661417326</c:v>
                </c:pt>
                <c:pt idx="59">
                  <c:v>0.53543307086614178</c:v>
                </c:pt>
                <c:pt idx="60">
                  <c:v>0.52755905511811019</c:v>
                </c:pt>
                <c:pt idx="61">
                  <c:v>0.51968503937007871</c:v>
                </c:pt>
                <c:pt idx="62">
                  <c:v>0.51181102362204722</c:v>
                </c:pt>
                <c:pt idx="63">
                  <c:v>0.50393700787401574</c:v>
                </c:pt>
                <c:pt idx="64">
                  <c:v>0.49606299212598426</c:v>
                </c:pt>
                <c:pt idx="65">
                  <c:v>0.48818897637795278</c:v>
                </c:pt>
                <c:pt idx="66">
                  <c:v>0.48031496062992124</c:v>
                </c:pt>
                <c:pt idx="67">
                  <c:v>0.47244094488188976</c:v>
                </c:pt>
                <c:pt idx="68">
                  <c:v>0.46456692913385828</c:v>
                </c:pt>
                <c:pt idx="69">
                  <c:v>0.45669291338582679</c:v>
                </c:pt>
                <c:pt idx="70">
                  <c:v>0.44881889763779526</c:v>
                </c:pt>
                <c:pt idx="71">
                  <c:v>0.44094488188976377</c:v>
                </c:pt>
                <c:pt idx="72">
                  <c:v>0.43307086614173229</c:v>
                </c:pt>
                <c:pt idx="73">
                  <c:v>0.42519685039370081</c:v>
                </c:pt>
                <c:pt idx="74">
                  <c:v>0.41732283464566927</c:v>
                </c:pt>
                <c:pt idx="75">
                  <c:v>0.40944881889763779</c:v>
                </c:pt>
                <c:pt idx="76">
                  <c:v>0.40157480314960631</c:v>
                </c:pt>
                <c:pt idx="77">
                  <c:v>0.39370078740157483</c:v>
                </c:pt>
                <c:pt idx="78">
                  <c:v>0.38582677165354329</c:v>
                </c:pt>
                <c:pt idx="79">
                  <c:v>0.37795275590551181</c:v>
                </c:pt>
                <c:pt idx="80">
                  <c:v>0.37007874015748032</c:v>
                </c:pt>
                <c:pt idx="81">
                  <c:v>0.36220472440944884</c:v>
                </c:pt>
                <c:pt idx="82">
                  <c:v>0.3543307086614173</c:v>
                </c:pt>
                <c:pt idx="83">
                  <c:v>0.34645669291338582</c:v>
                </c:pt>
                <c:pt idx="84">
                  <c:v>0.33858267716535434</c:v>
                </c:pt>
                <c:pt idx="85">
                  <c:v>0.33070866141732286</c:v>
                </c:pt>
                <c:pt idx="86">
                  <c:v>0.32283464566929132</c:v>
                </c:pt>
                <c:pt idx="87">
                  <c:v>0.31496062992125984</c:v>
                </c:pt>
                <c:pt idx="88">
                  <c:v>0.30708661417322836</c:v>
                </c:pt>
                <c:pt idx="89">
                  <c:v>0.29921259842519687</c:v>
                </c:pt>
                <c:pt idx="90">
                  <c:v>0.29133858267716534</c:v>
                </c:pt>
                <c:pt idx="91">
                  <c:v>0.28346456692913385</c:v>
                </c:pt>
                <c:pt idx="92">
                  <c:v>0.27559055118110237</c:v>
                </c:pt>
                <c:pt idx="93">
                  <c:v>0.26771653543307089</c:v>
                </c:pt>
                <c:pt idx="94">
                  <c:v>0.25984251968503935</c:v>
                </c:pt>
                <c:pt idx="95">
                  <c:v>0.25196850393700787</c:v>
                </c:pt>
                <c:pt idx="96">
                  <c:v>0.24409448818897639</c:v>
                </c:pt>
                <c:pt idx="97">
                  <c:v>0.23622047244094488</c:v>
                </c:pt>
                <c:pt idx="98">
                  <c:v>0.2283464566929134</c:v>
                </c:pt>
                <c:pt idx="99">
                  <c:v>0.22047244094488189</c:v>
                </c:pt>
                <c:pt idx="100">
                  <c:v>0.2125984251968504</c:v>
                </c:pt>
                <c:pt idx="101">
                  <c:v>0.20472440944881889</c:v>
                </c:pt>
                <c:pt idx="102">
                  <c:v>0.19685039370078741</c:v>
                </c:pt>
                <c:pt idx="103">
                  <c:v>0.1889763779527559</c:v>
                </c:pt>
                <c:pt idx="104">
                  <c:v>0.18110236220472442</c:v>
                </c:pt>
                <c:pt idx="105">
                  <c:v>0.17322834645669291</c:v>
                </c:pt>
                <c:pt idx="106">
                  <c:v>0.16535433070866143</c:v>
                </c:pt>
                <c:pt idx="107">
                  <c:v>0.15748031496062992</c:v>
                </c:pt>
                <c:pt idx="108">
                  <c:v>0.14960629921259844</c:v>
                </c:pt>
                <c:pt idx="109">
                  <c:v>0.14173228346456693</c:v>
                </c:pt>
                <c:pt idx="110">
                  <c:v>0.13385826771653545</c:v>
                </c:pt>
                <c:pt idx="111">
                  <c:v>0.12598425196850394</c:v>
                </c:pt>
                <c:pt idx="112">
                  <c:v>0.11811023622047244</c:v>
                </c:pt>
                <c:pt idx="113">
                  <c:v>0.11023622047244094</c:v>
                </c:pt>
                <c:pt idx="114">
                  <c:v>0.10236220472440945</c:v>
                </c:pt>
                <c:pt idx="115">
                  <c:v>9.4488188976377951E-2</c:v>
                </c:pt>
                <c:pt idx="116">
                  <c:v>8.6614173228346455E-2</c:v>
                </c:pt>
                <c:pt idx="117">
                  <c:v>7.874015748031496E-2</c:v>
                </c:pt>
                <c:pt idx="118">
                  <c:v>7.0866141732283464E-2</c:v>
                </c:pt>
                <c:pt idx="119">
                  <c:v>6.2992125984251968E-2</c:v>
                </c:pt>
                <c:pt idx="120">
                  <c:v>5.5118110236220472E-2</c:v>
                </c:pt>
                <c:pt idx="121">
                  <c:v>4.7244094488188976E-2</c:v>
                </c:pt>
                <c:pt idx="122">
                  <c:v>3.937007874015748E-2</c:v>
                </c:pt>
                <c:pt idx="123">
                  <c:v>3.1496062992125984E-2</c:v>
                </c:pt>
                <c:pt idx="124">
                  <c:v>2.3622047244094488E-2</c:v>
                </c:pt>
                <c:pt idx="125">
                  <c:v>1.5748031496062992E-2</c:v>
                </c:pt>
                <c:pt idx="126">
                  <c:v>7.874015748031496E-3</c:v>
                </c:pt>
              </c:numCache>
            </c:numRef>
          </c:xVal>
          <c:yVal>
            <c:numRef>
              <c:f>FiltBC!$Q$4:$Q$130</c:f>
              <c:numCache>
                <c:formatCode>General</c:formatCode>
                <c:ptCount val="127"/>
                <c:pt idx="0">
                  <c:v>1</c:v>
                </c:pt>
                <c:pt idx="15">
                  <c:v>0.8571428571428571</c:v>
                </c:pt>
                <c:pt idx="31">
                  <c:v>0.76190476190476186</c:v>
                </c:pt>
                <c:pt idx="47">
                  <c:v>0.61904761904761907</c:v>
                </c:pt>
                <c:pt idx="63">
                  <c:v>0.47619047619047616</c:v>
                </c:pt>
                <c:pt idx="79">
                  <c:v>0.38095238095238093</c:v>
                </c:pt>
                <c:pt idx="95">
                  <c:v>0.23809523809523808</c:v>
                </c:pt>
                <c:pt idx="111">
                  <c:v>9.5238095238095233E-2</c:v>
                </c:pt>
                <c:pt idx="126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2095744"/>
        <c:axId val="302113920"/>
      </c:scatterChart>
      <c:valAx>
        <c:axId val="3020957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02113920"/>
        <c:crosses val="autoZero"/>
        <c:crossBetween val="midCat"/>
      </c:valAx>
      <c:valAx>
        <c:axId val="3021139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0209574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name>FBC120_loSlope</c:name>
            <c:trendlineType val="linear"/>
            <c:dispRSqr val="0"/>
            <c:dispEq val="1"/>
            <c:trendlineLbl>
              <c:numFmt formatCode="General" sourceLinked="0"/>
            </c:trendlineLbl>
          </c:trendline>
          <c:xVal>
            <c:numRef>
              <c:f>FiltBC!$B$129:$B$131</c:f>
              <c:numCache>
                <c:formatCode>General</c:formatCode>
                <c:ptCount val="3"/>
                <c:pt idx="0">
                  <c:v>1.5748031496062992E-2</c:v>
                </c:pt>
                <c:pt idx="1">
                  <c:v>7.874015748031496E-3</c:v>
                </c:pt>
                <c:pt idx="2">
                  <c:v>0</c:v>
                </c:pt>
              </c:numCache>
            </c:numRef>
          </c:xVal>
          <c:yVal>
            <c:numRef>
              <c:f>FiltBC!$G$129:$G$131</c:f>
              <c:numCache>
                <c:formatCode>General</c:formatCode>
                <c:ptCount val="3"/>
                <c:pt idx="0">
                  <c:v>0.90350877192982459</c:v>
                </c:pt>
                <c:pt idx="1">
                  <c:v>0.47938596491228075</c:v>
                </c:pt>
                <c:pt idx="2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1819392"/>
        <c:axId val="301820928"/>
      </c:scatterChart>
      <c:valAx>
        <c:axId val="3018193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01820928"/>
        <c:crosses val="autoZero"/>
        <c:crossBetween val="midCat"/>
      </c:valAx>
      <c:valAx>
        <c:axId val="3018209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0181939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FiltBC!$T$154</c:f>
              <c:strCache>
                <c:ptCount val="1"/>
                <c:pt idx="0">
                  <c:v>loSlope</c:v>
                </c:pt>
              </c:strCache>
            </c:strRef>
          </c:tx>
          <c:spPr>
            <a:ln w="28575">
              <a:noFill/>
            </a:ln>
          </c:spPr>
          <c:trendline>
            <c:trendlineType val="power"/>
            <c:dispRSqr val="0"/>
            <c:dispEq val="0"/>
          </c:trendline>
          <c:trendline>
            <c:trendlineType val="log"/>
            <c:dispRSqr val="0"/>
            <c:dispEq val="0"/>
          </c:trendline>
          <c:xVal>
            <c:numRef>
              <c:f>FiltBC!$S$155:$S$162</c:f>
              <c:numCache>
                <c:formatCode>General</c:formatCode>
                <c:ptCount val="8"/>
                <c:pt idx="0">
                  <c:v>0.94488188976377951</c:v>
                </c:pt>
                <c:pt idx="1">
                  <c:v>0.88188976377952755</c:v>
                </c:pt>
                <c:pt idx="2">
                  <c:v>0.75590551181102361</c:v>
                </c:pt>
                <c:pt idx="3">
                  <c:v>0.62992125984251968</c:v>
                </c:pt>
                <c:pt idx="4">
                  <c:v>0.50393700787401574</c:v>
                </c:pt>
                <c:pt idx="5">
                  <c:v>0.25196850393700787</c:v>
                </c:pt>
                <c:pt idx="6">
                  <c:v>0.12598425196850394</c:v>
                </c:pt>
                <c:pt idx="7">
                  <c:v>0</c:v>
                </c:pt>
              </c:numCache>
            </c:numRef>
          </c:xVal>
          <c:yVal>
            <c:numRef>
              <c:f>FiltBC!$T$155:$T$162</c:f>
              <c:numCache>
                <c:formatCode>General</c:formatCode>
                <c:ptCount val="8"/>
                <c:pt idx="0">
                  <c:v>57.37</c:v>
                </c:pt>
                <c:pt idx="1">
                  <c:v>37.26</c:v>
                </c:pt>
                <c:pt idx="2">
                  <c:v>9.5250000000000004</c:v>
                </c:pt>
                <c:pt idx="3">
                  <c:v>3.85</c:v>
                </c:pt>
                <c:pt idx="4">
                  <c:v>1</c:v>
                </c:pt>
                <c:pt idx="5">
                  <c:v>0.42699999999999999</c:v>
                </c:pt>
                <c:pt idx="6">
                  <c:v>0.29599999999999999</c:v>
                </c:pt>
                <c:pt idx="7">
                  <c:v>0.2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1851008"/>
        <c:axId val="301852544"/>
      </c:scatterChart>
      <c:valAx>
        <c:axId val="3018510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01852544"/>
        <c:crosses val="autoZero"/>
        <c:crossBetween val="midCat"/>
      </c:valAx>
      <c:valAx>
        <c:axId val="3018525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01851008"/>
        <c:crosses val="autoZero"/>
        <c:crossBetween val="midCat"/>
      </c:valAx>
    </c:plotArea>
    <c:legend>
      <c:legendPos val="r"/>
      <c:legendEntry>
        <c:idx val="1"/>
        <c:delete val="1"/>
      </c:legendEntry>
      <c:legendEntry>
        <c:idx val="2"/>
        <c:delete val="1"/>
      </c:legendEntry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name>FBC_loloSlopeFn</c:name>
            <c:trendlineType val="exp"/>
            <c:dispRSqr val="0"/>
            <c:dispEq val="1"/>
            <c:trendlineLbl>
              <c:numFmt formatCode="General" sourceLinked="0"/>
            </c:trendlineLbl>
          </c:trendline>
          <c:xVal>
            <c:numRef>
              <c:f>FiltBC!$S$159:$S$162</c:f>
              <c:numCache>
                <c:formatCode>General</c:formatCode>
                <c:ptCount val="4"/>
                <c:pt idx="0">
                  <c:v>0.50393700787401574</c:v>
                </c:pt>
                <c:pt idx="1">
                  <c:v>0.25196850393700787</c:v>
                </c:pt>
                <c:pt idx="2">
                  <c:v>0.12598425196850394</c:v>
                </c:pt>
                <c:pt idx="3">
                  <c:v>0</c:v>
                </c:pt>
              </c:numCache>
            </c:numRef>
          </c:xVal>
          <c:yVal>
            <c:numRef>
              <c:f>FiltBC!$T$159:$T$162</c:f>
              <c:numCache>
                <c:formatCode>General</c:formatCode>
                <c:ptCount val="4"/>
                <c:pt idx="0">
                  <c:v>1</c:v>
                </c:pt>
                <c:pt idx="1">
                  <c:v>0.42699999999999999</c:v>
                </c:pt>
                <c:pt idx="2">
                  <c:v>0.29599999999999999</c:v>
                </c:pt>
                <c:pt idx="3">
                  <c:v>0.2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1874560"/>
        <c:axId val="301888640"/>
      </c:scatterChart>
      <c:valAx>
        <c:axId val="3018745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01888640"/>
        <c:crosses val="autoZero"/>
        <c:crossBetween val="midCat"/>
      </c:valAx>
      <c:valAx>
        <c:axId val="3018886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0187456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FiltBC!$T$154</c:f>
              <c:strCache>
                <c:ptCount val="1"/>
                <c:pt idx="0">
                  <c:v>loSlope</c:v>
                </c:pt>
              </c:strCache>
            </c:strRef>
          </c:tx>
          <c:spPr>
            <a:ln w="28575">
              <a:noFill/>
            </a:ln>
          </c:spPr>
          <c:trendline>
            <c:trendlineType val="exp"/>
            <c:dispRSqr val="0"/>
            <c:dispEq val="1"/>
            <c:trendlineLbl>
              <c:numFmt formatCode="General" sourceLinked="0"/>
            </c:trendlineLbl>
          </c:trendline>
          <c:xVal>
            <c:numRef>
              <c:f>FiltBC!$S$155:$S$159</c:f>
              <c:numCache>
                <c:formatCode>General</c:formatCode>
                <c:ptCount val="5"/>
                <c:pt idx="0">
                  <c:v>0.94488188976377951</c:v>
                </c:pt>
                <c:pt idx="1">
                  <c:v>0.88188976377952755</c:v>
                </c:pt>
                <c:pt idx="2">
                  <c:v>0.75590551181102361</c:v>
                </c:pt>
                <c:pt idx="3">
                  <c:v>0.62992125984251968</c:v>
                </c:pt>
                <c:pt idx="4">
                  <c:v>0.50393700787401574</c:v>
                </c:pt>
              </c:numCache>
            </c:numRef>
          </c:xVal>
          <c:yVal>
            <c:numRef>
              <c:f>FiltBC!$T$155:$T$159</c:f>
              <c:numCache>
                <c:formatCode>General</c:formatCode>
                <c:ptCount val="5"/>
                <c:pt idx="0">
                  <c:v>57.37</c:v>
                </c:pt>
                <c:pt idx="1">
                  <c:v>37.26</c:v>
                </c:pt>
                <c:pt idx="2">
                  <c:v>9.5250000000000004</c:v>
                </c:pt>
                <c:pt idx="3">
                  <c:v>3.85</c:v>
                </c:pt>
                <c:pt idx="4">
                  <c:v>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1913216"/>
        <c:axId val="301914752"/>
      </c:scatterChart>
      <c:valAx>
        <c:axId val="3019132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01914752"/>
        <c:crosses val="autoZero"/>
        <c:crossBetween val="midCat"/>
      </c:valAx>
      <c:valAx>
        <c:axId val="3019147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0191321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name>FBC0_MidIntercept</c:name>
            <c:trendlineType val="linear"/>
            <c:dispRSqr val="0"/>
            <c:dispEq val="1"/>
            <c:trendlineLbl>
              <c:numFmt formatCode="General" sourceLinked="0"/>
            </c:trendlineLbl>
          </c:trendline>
          <c:xVal>
            <c:numRef>
              <c:f>(FiltBC!$B$11,FiltBC!$B$19,FiltBC!$B$35,FiltBC!$B$51)</c:f>
              <c:numCache>
                <c:formatCode>General</c:formatCode>
                <c:ptCount val="4"/>
                <c:pt idx="0">
                  <c:v>0.94488188976377951</c:v>
                </c:pt>
                <c:pt idx="1">
                  <c:v>0.88188976377952755</c:v>
                </c:pt>
                <c:pt idx="2">
                  <c:v>0.75590551181102361</c:v>
                </c:pt>
                <c:pt idx="3">
                  <c:v>0.62992125984251968</c:v>
                </c:pt>
              </c:numCache>
            </c:numRef>
          </c:xVal>
          <c:yVal>
            <c:numRef>
              <c:f>(FiltBC!$AA$11,FiltBC!$AA$19,FiltBC!$AA$35,FiltBC!$AA$51)</c:f>
              <c:numCache>
                <c:formatCode>General</c:formatCode>
                <c:ptCount val="4"/>
                <c:pt idx="0">
                  <c:v>0.4370860927152318</c:v>
                </c:pt>
                <c:pt idx="1">
                  <c:v>0.37086092715231789</c:v>
                </c:pt>
                <c:pt idx="2">
                  <c:v>0.23841059602649003</c:v>
                </c:pt>
                <c:pt idx="3">
                  <c:v>0.11920529801324496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2005632"/>
        <c:axId val="302019712"/>
      </c:scatterChart>
      <c:valAx>
        <c:axId val="3020056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02019712"/>
        <c:crosses val="autoZero"/>
        <c:crossBetween val="midCat"/>
      </c:valAx>
      <c:valAx>
        <c:axId val="3020197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0200563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name>FBC16_midIntercept</c:name>
            <c:trendlineType val="linear"/>
            <c:dispRSqr val="0"/>
            <c:dispEq val="1"/>
            <c:trendlineLbl>
              <c:numFmt formatCode="General" sourceLinked="0"/>
            </c:trendlineLbl>
          </c:trendline>
          <c:xVal>
            <c:numRef>
              <c:f>(FiltBC!$B$19,FiltBC!$B$35,FiltBC!$B$51)</c:f>
              <c:numCache>
                <c:formatCode>General</c:formatCode>
                <c:ptCount val="3"/>
                <c:pt idx="0">
                  <c:v>0.88188976377952755</c:v>
                </c:pt>
                <c:pt idx="1">
                  <c:v>0.75590551181102361</c:v>
                </c:pt>
                <c:pt idx="2">
                  <c:v>0.62992125984251968</c:v>
                </c:pt>
              </c:numCache>
            </c:numRef>
          </c:xVal>
          <c:yVal>
            <c:numRef>
              <c:f>(FiltBC!$X$19,FiltBC!$X$35,FiltBC!$X$51)</c:f>
              <c:numCache>
                <c:formatCode>General</c:formatCode>
                <c:ptCount val="3"/>
                <c:pt idx="0">
                  <c:v>0.49669811320754714</c:v>
                </c:pt>
                <c:pt idx="1">
                  <c:v>0.36792452830188677</c:v>
                </c:pt>
                <c:pt idx="2">
                  <c:v>0.2452830188679245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2040576"/>
        <c:axId val="302042112"/>
      </c:scatterChart>
      <c:valAx>
        <c:axId val="3020405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02042112"/>
        <c:crosses val="autoZero"/>
        <c:crossBetween val="midCat"/>
      </c:valAx>
      <c:valAx>
        <c:axId val="3020421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0204057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name>FBC32_midIntercept</c:name>
            <c:trendlineType val="linear"/>
            <c:dispRSqr val="0"/>
            <c:dispEq val="1"/>
            <c:trendlineLbl>
              <c:layout/>
              <c:numFmt formatCode="General" sourceLinked="0"/>
            </c:trendlineLbl>
          </c:trendline>
          <c:xVal>
            <c:numRef>
              <c:f>(FiltBC!$B$19,FiltBC!$B$35,FiltBC!$B$51,FiltBC!$B$67)</c:f>
              <c:numCache>
                <c:formatCode>General</c:formatCode>
                <c:ptCount val="4"/>
                <c:pt idx="0">
                  <c:v>0.88188976377952755</c:v>
                </c:pt>
                <c:pt idx="1">
                  <c:v>0.75590551181102361</c:v>
                </c:pt>
                <c:pt idx="2">
                  <c:v>0.62992125984251968</c:v>
                </c:pt>
                <c:pt idx="3">
                  <c:v>0.50393700787401574</c:v>
                </c:pt>
              </c:numCache>
            </c:numRef>
          </c:xVal>
          <c:yVal>
            <c:numRef>
              <c:f>(FiltBC!$U$19,FiltBC!$U$35,FiltBC!$U$51,FiltBC!$U$67)</c:f>
              <c:numCache>
                <c:formatCode>General</c:formatCode>
                <c:ptCount val="4"/>
                <c:pt idx="0">
                  <c:v>0.62143152668597434</c:v>
                </c:pt>
                <c:pt idx="1">
                  <c:v>0.49317335539925533</c:v>
                </c:pt>
                <c:pt idx="2">
                  <c:v>0.36491518411253626</c:v>
                </c:pt>
                <c:pt idx="3">
                  <c:v>0.24079437318990485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2476672"/>
        <c:axId val="302478464"/>
      </c:scatterChart>
      <c:valAx>
        <c:axId val="3024766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02478464"/>
        <c:crosses val="autoZero"/>
        <c:crossBetween val="midCat"/>
      </c:valAx>
      <c:valAx>
        <c:axId val="3024784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02476672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name>FBC80_midIntercept</c:name>
            <c:trendlineType val="linear"/>
            <c:dispRSqr val="0"/>
            <c:dispEq val="1"/>
            <c:trendlineLbl>
              <c:numFmt formatCode="General" sourceLinked="0"/>
            </c:trendlineLbl>
          </c:trendline>
          <c:xVal>
            <c:numRef>
              <c:f>(FiltBC!$B$83,FiltBC!$B$91,FiltBC!$B$99,FiltBC!$B$107)</c:f>
              <c:numCache>
                <c:formatCode>General</c:formatCode>
                <c:ptCount val="4"/>
                <c:pt idx="0">
                  <c:v>0.37795275590551181</c:v>
                </c:pt>
                <c:pt idx="1">
                  <c:v>0.31496062992125984</c:v>
                </c:pt>
                <c:pt idx="2">
                  <c:v>0.25196850393700787</c:v>
                </c:pt>
                <c:pt idx="3">
                  <c:v>0.1889763779527559</c:v>
                </c:pt>
              </c:numCache>
            </c:numRef>
          </c:xVal>
          <c:yVal>
            <c:numRef>
              <c:f>(FiltBC!$O$83,FiltBC!$O$91,FiltBC!$O$99,FiltBC!$O$107)</c:f>
              <c:numCache>
                <c:formatCode>General</c:formatCode>
                <c:ptCount val="4"/>
                <c:pt idx="0">
                  <c:v>0.63012777404169462</c:v>
                </c:pt>
                <c:pt idx="1">
                  <c:v>0.55884330867518484</c:v>
                </c:pt>
                <c:pt idx="2">
                  <c:v>0.49562878278412908</c:v>
                </c:pt>
                <c:pt idx="3">
                  <c:v>0.43174176193678548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2503424"/>
        <c:axId val="302504960"/>
      </c:scatterChart>
      <c:valAx>
        <c:axId val="3025034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02504960"/>
        <c:crosses val="autoZero"/>
        <c:crossBetween val="midCat"/>
      </c:valAx>
      <c:valAx>
        <c:axId val="3025049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0250342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name>FBC96_midIntercept</c:name>
            <c:trendlineType val="linear"/>
            <c:dispRSqr val="0"/>
            <c:dispEq val="1"/>
            <c:trendlineLbl>
              <c:numFmt formatCode="General" sourceLinked="0"/>
            </c:trendlineLbl>
          </c:trendline>
          <c:xVal>
            <c:numRef>
              <c:f>(FiltBC!$B$91,FiltBC!$B$99,FiltBC!$B$115,FiltBC!$B$119,FiltBC!$B$123)</c:f>
              <c:numCache>
                <c:formatCode>General</c:formatCode>
                <c:ptCount val="5"/>
                <c:pt idx="0">
                  <c:v>0.31496062992125984</c:v>
                </c:pt>
                <c:pt idx="1">
                  <c:v>0.25196850393700787</c:v>
                </c:pt>
                <c:pt idx="2">
                  <c:v>0.12598425196850394</c:v>
                </c:pt>
                <c:pt idx="3">
                  <c:v>9.4488188976377951E-2</c:v>
                </c:pt>
                <c:pt idx="4">
                  <c:v>6.2992125984251968E-2</c:v>
                </c:pt>
              </c:numCache>
            </c:numRef>
          </c:xVal>
          <c:yVal>
            <c:numRef>
              <c:f>(FiltBC!$L$91,FiltBC!$L$99,FiltBC!$L$115,FiltBC!$L$119,FiltBC!$L$123)</c:f>
              <c:numCache>
                <c:formatCode>General</c:formatCode>
                <c:ptCount val="5"/>
                <c:pt idx="0">
                  <c:v>0.79249999999999998</c:v>
                </c:pt>
                <c:pt idx="1">
                  <c:v>0.75</c:v>
                </c:pt>
                <c:pt idx="2">
                  <c:v>0.59349999999999992</c:v>
                </c:pt>
                <c:pt idx="3">
                  <c:v>0.5625</c:v>
                </c:pt>
                <c:pt idx="4">
                  <c:v>0.52500000000000002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2521728"/>
        <c:axId val="302527616"/>
      </c:scatterChart>
      <c:valAx>
        <c:axId val="3025217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02527616"/>
        <c:crosses val="autoZero"/>
        <c:crossBetween val="midCat"/>
      </c:valAx>
      <c:valAx>
        <c:axId val="3025276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0252172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name>FBC112_midIntercept</c:name>
            <c:trendlineType val="linear"/>
            <c:dispRSqr val="0"/>
            <c:dispEq val="1"/>
            <c:trendlineLbl>
              <c:layout/>
              <c:numFmt formatCode="General" sourceLinked="0"/>
            </c:trendlineLbl>
          </c:trendline>
          <c:xVal>
            <c:numRef>
              <c:f>(FiltBC!$B$115,FiltBC!$B$121,FiltBC!$B$125,FiltBC!$B$126,FiltBC!$B$127)</c:f>
              <c:numCache>
                <c:formatCode>General</c:formatCode>
                <c:ptCount val="5"/>
                <c:pt idx="0">
                  <c:v>0.12598425196850394</c:v>
                </c:pt>
                <c:pt idx="1">
                  <c:v>7.874015748031496E-2</c:v>
                </c:pt>
                <c:pt idx="2">
                  <c:v>4.7244094488188976E-2</c:v>
                </c:pt>
                <c:pt idx="3">
                  <c:v>3.937007874015748E-2</c:v>
                </c:pt>
                <c:pt idx="4">
                  <c:v>3.1496062992125984E-2</c:v>
                </c:pt>
              </c:numCache>
            </c:numRef>
          </c:xVal>
          <c:yVal>
            <c:numRef>
              <c:f>(FiltBC!$I$115,FiltBC!$I$121,FiltBC!$I$125,FiltBC!$I$126,FiltBC!$I$127)</c:f>
              <c:numCache>
                <c:formatCode>General</c:formatCode>
                <c:ptCount val="5"/>
                <c:pt idx="0">
                  <c:v>0.88157894736842113</c:v>
                </c:pt>
                <c:pt idx="1">
                  <c:v>0.83070175438596494</c:v>
                </c:pt>
                <c:pt idx="2">
                  <c:v>0.79824561403508787</c:v>
                </c:pt>
                <c:pt idx="3">
                  <c:v>0.78947368421052633</c:v>
                </c:pt>
                <c:pt idx="4">
                  <c:v>0.7807017543859649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2568960"/>
        <c:axId val="302570496"/>
      </c:scatterChart>
      <c:valAx>
        <c:axId val="302568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02570496"/>
        <c:crosses val="autoZero"/>
        <c:crossBetween val="midCat"/>
      </c:valAx>
      <c:valAx>
        <c:axId val="3025704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02568960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name>FBC120_midIntercept</c:name>
            <c:trendlineType val="linear"/>
            <c:dispRSqr val="0"/>
            <c:dispEq val="1"/>
            <c:trendlineLbl>
              <c:layout/>
              <c:numFmt formatCode="General" sourceLinked="0"/>
            </c:trendlineLbl>
          </c:trendline>
          <c:xVal>
            <c:numRef>
              <c:f>(FiltBC!$B$126,FiltBC!$B$127,FiltBC!$B$128,FiltBC!$B$129)</c:f>
              <c:numCache>
                <c:formatCode>General</c:formatCode>
                <c:ptCount val="4"/>
                <c:pt idx="0">
                  <c:v>3.937007874015748E-2</c:v>
                </c:pt>
                <c:pt idx="1">
                  <c:v>3.1496062992125984E-2</c:v>
                </c:pt>
                <c:pt idx="2">
                  <c:v>2.3622047244094488E-2</c:v>
                </c:pt>
                <c:pt idx="3">
                  <c:v>1.5748031496062992E-2</c:v>
                </c:pt>
              </c:numCache>
            </c:numRef>
          </c:xVal>
          <c:yVal>
            <c:numRef>
              <c:f>(FiltBC!$G$126,FiltBC!$G$127,FiltBC!$G$128,FiltBC!$G$129)</c:f>
              <c:numCache>
                <c:formatCode>General</c:formatCode>
                <c:ptCount val="4"/>
                <c:pt idx="0">
                  <c:v>0.92456140350877203</c:v>
                </c:pt>
                <c:pt idx="1">
                  <c:v>0.91885964912280693</c:v>
                </c:pt>
                <c:pt idx="2">
                  <c:v>0.91140350877192988</c:v>
                </c:pt>
                <c:pt idx="3">
                  <c:v>0.90350877192982459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2669824"/>
        <c:axId val="302671360"/>
      </c:scatterChart>
      <c:valAx>
        <c:axId val="3026698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02671360"/>
        <c:crosses val="autoZero"/>
        <c:crossBetween val="midCat"/>
      </c:valAx>
      <c:valAx>
        <c:axId val="3026713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02669824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FiltBC!$AQ$68</c:f>
              <c:strCache>
                <c:ptCount val="1"/>
                <c:pt idx="0">
                  <c:v>midItercept</c:v>
                </c:pt>
              </c:strCache>
            </c:strRef>
          </c:tx>
          <c:spPr>
            <a:ln w="28575">
              <a:noFill/>
            </a:ln>
          </c:spPr>
          <c:xVal>
            <c:numRef>
              <c:f>FiltBC!$AP$69:$AP$76</c:f>
              <c:numCache>
                <c:formatCode>General</c:formatCode>
                <c:ptCount val="8"/>
                <c:pt idx="0">
                  <c:v>0.94488188976377951</c:v>
                </c:pt>
                <c:pt idx="1">
                  <c:v>0.88188976377952755</c:v>
                </c:pt>
                <c:pt idx="2">
                  <c:v>0.75590551181102361</c:v>
                </c:pt>
                <c:pt idx="3">
                  <c:v>0.62992125984251968</c:v>
                </c:pt>
                <c:pt idx="4">
                  <c:v>0.50393700787401574</c:v>
                </c:pt>
                <c:pt idx="5">
                  <c:v>0.25196850393700787</c:v>
                </c:pt>
                <c:pt idx="6">
                  <c:v>0.12598425196850394</c:v>
                </c:pt>
                <c:pt idx="7">
                  <c:v>0</c:v>
                </c:pt>
              </c:numCache>
            </c:numRef>
          </c:xVal>
          <c:yVal>
            <c:numRef>
              <c:f>FiltBC!$AQ$69:$AQ$76</c:f>
              <c:numCache>
                <c:formatCode>General</c:formatCode>
                <c:ptCount val="8"/>
                <c:pt idx="0">
                  <c:v>0.89</c:v>
                </c:pt>
                <c:pt idx="1">
                  <c:v>0.74750000000000005</c:v>
                </c:pt>
                <c:pt idx="2">
                  <c:v>0.45829999999999999</c:v>
                </c:pt>
                <c:pt idx="3">
                  <c:v>0.23280000000000001</c:v>
                </c:pt>
                <c:pt idx="4">
                  <c:v>0</c:v>
                </c:pt>
                <c:pt idx="5">
                  <c:v>-0.26850000000000002</c:v>
                </c:pt>
                <c:pt idx="6">
                  <c:v>-0.38429999999999997</c:v>
                </c:pt>
                <c:pt idx="7">
                  <c:v>-0.52149999999999996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2707840"/>
        <c:axId val="302709376"/>
      </c:scatterChart>
      <c:valAx>
        <c:axId val="3027078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02709376"/>
        <c:crosses val="autoZero"/>
        <c:crossBetween val="midCat"/>
      </c:valAx>
      <c:valAx>
        <c:axId val="3027093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0270784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name>FBC64-_midIntercept</c:name>
            <c:trendlineType val="linear"/>
            <c:dispRSqr val="0"/>
            <c:dispEq val="1"/>
            <c:trendlineLbl>
              <c:layout>
                <c:manualLayout>
                  <c:x val="0.16711548556430447"/>
                  <c:y val="0.17082166812481772"/>
                </c:manualLayout>
              </c:layout>
              <c:numFmt formatCode="General" sourceLinked="0"/>
            </c:trendlineLbl>
          </c:trendline>
          <c:xVal>
            <c:numRef>
              <c:f>FiltBC!$AP$73:$AP$76</c:f>
              <c:numCache>
                <c:formatCode>General</c:formatCode>
                <c:ptCount val="4"/>
                <c:pt idx="0">
                  <c:v>0.50393700787401574</c:v>
                </c:pt>
                <c:pt idx="1">
                  <c:v>0.25196850393700787</c:v>
                </c:pt>
                <c:pt idx="2">
                  <c:v>0.12598425196850394</c:v>
                </c:pt>
                <c:pt idx="3">
                  <c:v>0</c:v>
                </c:pt>
              </c:numCache>
            </c:numRef>
          </c:xVal>
          <c:yVal>
            <c:numRef>
              <c:f>FiltBC!$AQ$73:$AQ$76</c:f>
              <c:numCache>
                <c:formatCode>General</c:formatCode>
                <c:ptCount val="4"/>
                <c:pt idx="0">
                  <c:v>0</c:v>
                </c:pt>
                <c:pt idx="1">
                  <c:v>-0.26850000000000002</c:v>
                </c:pt>
                <c:pt idx="2">
                  <c:v>-0.38429999999999997</c:v>
                </c:pt>
                <c:pt idx="3">
                  <c:v>-0.52149999999999996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2734720"/>
        <c:axId val="302740608"/>
      </c:scatterChart>
      <c:valAx>
        <c:axId val="3027347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02740608"/>
        <c:crosses val="autoZero"/>
        <c:crossBetween val="midCat"/>
      </c:valAx>
      <c:valAx>
        <c:axId val="3027406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0273472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FiltBC!$AQ$68</c:f>
              <c:strCache>
                <c:ptCount val="1"/>
                <c:pt idx="0">
                  <c:v>midItercept</c:v>
                </c:pt>
              </c:strCache>
            </c:strRef>
          </c:tx>
          <c:spPr>
            <a:ln w="28575">
              <a:noFill/>
            </a:ln>
          </c:spPr>
          <c:trendline>
            <c:name>FBC64+_midIntercept</c:name>
            <c:trendlineType val="linear"/>
            <c:dispRSqr val="0"/>
            <c:dispEq val="1"/>
            <c:trendlineLbl>
              <c:numFmt formatCode="General" sourceLinked="0"/>
            </c:trendlineLbl>
          </c:trendline>
          <c:xVal>
            <c:numRef>
              <c:f>FiltBC!$AP$69:$AP$73</c:f>
              <c:numCache>
                <c:formatCode>General</c:formatCode>
                <c:ptCount val="5"/>
                <c:pt idx="0">
                  <c:v>0.94488188976377951</c:v>
                </c:pt>
                <c:pt idx="1">
                  <c:v>0.88188976377952755</c:v>
                </c:pt>
                <c:pt idx="2">
                  <c:v>0.75590551181102361</c:v>
                </c:pt>
                <c:pt idx="3">
                  <c:v>0.62992125984251968</c:v>
                </c:pt>
                <c:pt idx="4">
                  <c:v>0.50393700787401574</c:v>
                </c:pt>
              </c:numCache>
            </c:numRef>
          </c:xVal>
          <c:yVal>
            <c:numRef>
              <c:f>FiltBC!$AQ$69:$AQ$73</c:f>
              <c:numCache>
                <c:formatCode>General</c:formatCode>
                <c:ptCount val="5"/>
                <c:pt idx="0">
                  <c:v>0.89</c:v>
                </c:pt>
                <c:pt idx="1">
                  <c:v>0.74750000000000005</c:v>
                </c:pt>
                <c:pt idx="2">
                  <c:v>0.45829999999999999</c:v>
                </c:pt>
                <c:pt idx="3">
                  <c:v>0.23280000000000001</c:v>
                </c:pt>
                <c:pt idx="4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2757376"/>
        <c:axId val="302758912"/>
      </c:scatterChart>
      <c:valAx>
        <c:axId val="3027573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02758912"/>
        <c:crosses val="autoZero"/>
        <c:crossBetween val="midCat"/>
      </c:valAx>
      <c:valAx>
        <c:axId val="3027589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0275737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name>FBC0_hiSlope</c:name>
            <c:trendlineType val="linear"/>
            <c:dispRSqr val="0"/>
            <c:dispEq val="1"/>
            <c:trendlineLbl>
              <c:layout/>
              <c:numFmt formatCode="General" sourceLinked="0"/>
            </c:trendlineLbl>
          </c:trendline>
          <c:xVal>
            <c:numRef>
              <c:f>(FiltBC!$B$4,FiltBC!$B$7,FiltBC!$B$11)</c:f>
              <c:numCache>
                <c:formatCode>General</c:formatCode>
                <c:ptCount val="3"/>
                <c:pt idx="0">
                  <c:v>1</c:v>
                </c:pt>
                <c:pt idx="1">
                  <c:v>0.97637795275590555</c:v>
                </c:pt>
                <c:pt idx="2">
                  <c:v>0.94488188976377951</c:v>
                </c:pt>
              </c:numCache>
            </c:numRef>
          </c:xVal>
          <c:yVal>
            <c:numRef>
              <c:f>(FiltBC!$AA$4,FiltBC!$AA$7,FiltBC!$AA$11)</c:f>
              <c:numCache>
                <c:formatCode>General</c:formatCode>
                <c:ptCount val="3"/>
                <c:pt idx="0">
                  <c:v>0.93377483443708609</c:v>
                </c:pt>
                <c:pt idx="1">
                  <c:v>0.71390728476821186</c:v>
                </c:pt>
                <c:pt idx="2">
                  <c:v>0.4370860927152318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2202240"/>
        <c:axId val="302212224"/>
      </c:scatterChart>
      <c:valAx>
        <c:axId val="3022022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02212224"/>
        <c:crosses val="autoZero"/>
        <c:crossBetween val="midCat"/>
      </c:valAx>
      <c:valAx>
        <c:axId val="3022122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02202240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name>FBC16_hiSlope</c:name>
            <c:trendlineType val="linear"/>
            <c:dispRSqr val="0"/>
            <c:dispEq val="1"/>
            <c:trendlineLbl>
              <c:layout/>
              <c:numFmt formatCode="General" sourceLinked="0"/>
            </c:trendlineLbl>
          </c:trendline>
          <c:xVal>
            <c:numRef>
              <c:f>(FiltBC!$B$4,FiltBC!$X$4)</c:f>
              <c:numCache>
                <c:formatCode>General</c:formatCode>
                <c:ptCount val="2"/>
                <c:pt idx="0">
                  <c:v>1</c:v>
                </c:pt>
                <c:pt idx="1">
                  <c:v>0.9561320754716981</c:v>
                </c:pt>
              </c:numCache>
            </c:numRef>
          </c:xVal>
          <c:yVal>
            <c:numRef>
              <c:f>(FiltBC!$B$11,FiltBC!$X$11)</c:f>
              <c:numCache>
                <c:formatCode>General</c:formatCode>
                <c:ptCount val="2"/>
                <c:pt idx="0">
                  <c:v>0.94488188976377951</c:v>
                </c:pt>
                <c:pt idx="1">
                  <c:v>0.62971698113207553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2249472"/>
        <c:axId val="302251008"/>
      </c:scatterChart>
      <c:valAx>
        <c:axId val="3022494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02251008"/>
        <c:crosses val="autoZero"/>
        <c:crossBetween val="midCat"/>
      </c:valAx>
      <c:valAx>
        <c:axId val="3022510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02249472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name>FBC32_hiSlope</c:name>
            <c:trendlineType val="linear"/>
            <c:dispRSqr val="0"/>
            <c:dispEq val="1"/>
            <c:trendlineLbl>
              <c:layout/>
              <c:numFmt formatCode="General" sourceLinked="0"/>
            </c:trendlineLbl>
          </c:trendline>
          <c:xVal>
            <c:numRef>
              <c:f>FiltBC!$B$6:$B$10</c:f>
              <c:numCache>
                <c:formatCode>General</c:formatCode>
                <c:ptCount val="5"/>
                <c:pt idx="0">
                  <c:v>0.98425196850393704</c:v>
                </c:pt>
                <c:pt idx="1">
                  <c:v>0.97637795275590555</c:v>
                </c:pt>
                <c:pt idx="2">
                  <c:v>0.96850393700787396</c:v>
                </c:pt>
                <c:pt idx="3">
                  <c:v>0.96062992125984248</c:v>
                </c:pt>
                <c:pt idx="4">
                  <c:v>0.952755905511811</c:v>
                </c:pt>
              </c:numCache>
            </c:numRef>
          </c:xVal>
          <c:yVal>
            <c:numRef>
              <c:f>FiltBC!$U$6:$U$10</c:f>
              <c:numCache>
                <c:formatCode>General</c:formatCode>
                <c:ptCount val="5"/>
                <c:pt idx="0">
                  <c:v>0.91311543235415804</c:v>
                </c:pt>
                <c:pt idx="1">
                  <c:v>0.88829127016963183</c:v>
                </c:pt>
                <c:pt idx="2">
                  <c:v>0.85519238725693014</c:v>
                </c:pt>
                <c:pt idx="3">
                  <c:v>0.82623086470831608</c:v>
                </c:pt>
                <c:pt idx="4">
                  <c:v>0.80057923045097223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2263680"/>
        <c:axId val="302277760"/>
      </c:scatterChart>
      <c:valAx>
        <c:axId val="3022636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02277760"/>
        <c:crosses val="autoZero"/>
        <c:crossBetween val="midCat"/>
      </c:valAx>
      <c:valAx>
        <c:axId val="3022777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02263680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name>FBC80_hiSlope</c:name>
            <c:trendlineType val="linear"/>
            <c:dispRSqr val="0"/>
            <c:dispEq val="1"/>
            <c:trendlineLbl>
              <c:layout/>
              <c:numFmt formatCode="General" sourceLinked="0"/>
            </c:trendlineLbl>
          </c:trendline>
          <c:xVal>
            <c:numRef>
              <c:f>(FiltBC!$B$4,FiltBC!$B$11,FiltBC!$B$19,FiltBC!$B$35,FiltBC!$B$51)</c:f>
              <c:numCache>
                <c:formatCode>General</c:formatCode>
                <c:ptCount val="5"/>
                <c:pt idx="0">
                  <c:v>1</c:v>
                </c:pt>
                <c:pt idx="1">
                  <c:v>0.94488188976377951</c:v>
                </c:pt>
                <c:pt idx="2">
                  <c:v>0.88188976377952755</c:v>
                </c:pt>
                <c:pt idx="3">
                  <c:v>0.75590551181102361</c:v>
                </c:pt>
                <c:pt idx="4">
                  <c:v>0.62992125984251968</c:v>
                </c:pt>
              </c:numCache>
            </c:numRef>
          </c:xVal>
          <c:yVal>
            <c:numRef>
              <c:f>(FiltBC!$O$4,FiltBC!$O$11,FiltBC!$O$19,FiltBC!$O$35,FiltBC!$O$51)</c:f>
              <c:numCache>
                <c:formatCode>General</c:formatCode>
                <c:ptCount val="5"/>
                <c:pt idx="0">
                  <c:v>1</c:v>
                </c:pt>
                <c:pt idx="1">
                  <c:v>0.9663752521856086</c:v>
                </c:pt>
                <c:pt idx="2">
                  <c:v>0.94283792871553462</c:v>
                </c:pt>
                <c:pt idx="3">
                  <c:v>0.8863483523873571</c:v>
                </c:pt>
                <c:pt idx="4">
                  <c:v>0.83187626092804301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2302720"/>
        <c:axId val="302304256"/>
      </c:scatterChart>
      <c:valAx>
        <c:axId val="3023027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02304256"/>
        <c:crosses val="autoZero"/>
        <c:crossBetween val="midCat"/>
      </c:valAx>
      <c:valAx>
        <c:axId val="30230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02302720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name>FBC96_hiSlope</c:name>
            <c:trendlineType val="linear"/>
            <c:dispRSqr val="0"/>
            <c:dispEq val="1"/>
            <c:trendlineLbl>
              <c:layout/>
              <c:numFmt formatCode="General" sourceLinked="0"/>
            </c:trendlineLbl>
          </c:trendline>
          <c:xVal>
            <c:numRef>
              <c:f>(FiltBC!$B$4,FiltBC!$B$11,FiltBC!$B$19,FiltBC!$B$35,FiltBC!$B$51,FiltBC!$B$67)</c:f>
              <c:numCache>
                <c:formatCode>General</c:formatCode>
                <c:ptCount val="6"/>
                <c:pt idx="0">
                  <c:v>1</c:v>
                </c:pt>
                <c:pt idx="1">
                  <c:v>0.94488188976377951</c:v>
                </c:pt>
                <c:pt idx="2">
                  <c:v>0.88188976377952755</c:v>
                </c:pt>
                <c:pt idx="3">
                  <c:v>0.75590551181102361</c:v>
                </c:pt>
                <c:pt idx="4">
                  <c:v>0.62992125984251968</c:v>
                </c:pt>
                <c:pt idx="5">
                  <c:v>0.50393700787401574</c:v>
                </c:pt>
              </c:numCache>
            </c:numRef>
          </c:xVal>
          <c:yVal>
            <c:numRef>
              <c:f>(FiltBC!$L$4,FiltBC!$L$11,FiltBC!$L$19,FiltBC!$L$35,FiltBC!$L$51,FiltBC!$L$67)</c:f>
              <c:numCache>
                <c:formatCode>General</c:formatCode>
                <c:ptCount val="6"/>
                <c:pt idx="0">
                  <c:v>1</c:v>
                </c:pt>
                <c:pt idx="1">
                  <c:v>0.98750000000000004</c:v>
                </c:pt>
                <c:pt idx="2">
                  <c:v>0.97499999999999998</c:v>
                </c:pt>
                <c:pt idx="3">
                  <c:v>0.95</c:v>
                </c:pt>
                <c:pt idx="4">
                  <c:v>0.91999999999999993</c:v>
                </c:pt>
                <c:pt idx="5">
                  <c:v>0.9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2316928"/>
        <c:axId val="302412928"/>
      </c:scatterChart>
      <c:valAx>
        <c:axId val="3023169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02412928"/>
        <c:crosses val="autoZero"/>
        <c:crossBetween val="midCat"/>
      </c:valAx>
      <c:valAx>
        <c:axId val="3024129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02316928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name>FBC112_hiSlope</c:name>
            <c:trendlineType val="linear"/>
            <c:dispRSqr val="0"/>
            <c:dispEq val="1"/>
            <c:trendlineLbl>
              <c:layout/>
              <c:numFmt formatCode="General" sourceLinked="0"/>
            </c:trendlineLbl>
          </c:trendline>
          <c:xVal>
            <c:numRef>
              <c:f>(FiltBC!$B$4,FiltBC!$B$11,FiltBC!$B$19,FiltBC!$B$35)</c:f>
              <c:numCache>
                <c:formatCode>General</c:formatCode>
                <c:ptCount val="4"/>
                <c:pt idx="0">
                  <c:v>1</c:v>
                </c:pt>
                <c:pt idx="1">
                  <c:v>0.94488188976377951</c:v>
                </c:pt>
                <c:pt idx="2">
                  <c:v>0.88188976377952755</c:v>
                </c:pt>
                <c:pt idx="3">
                  <c:v>0.75590551181102361</c:v>
                </c:pt>
              </c:numCache>
            </c:numRef>
          </c:xVal>
          <c:yVal>
            <c:numRef>
              <c:f>(FiltBC!$J$4,FiltBC!$J$11,FiltBC!$J$19,FiltBC!$J$35)</c:f>
              <c:numCache>
                <c:formatCode>General</c:formatCode>
                <c:ptCount val="4"/>
                <c:pt idx="0">
                  <c:v>1</c:v>
                </c:pt>
                <c:pt idx="1">
                  <c:v>0.9968413924257542</c:v>
                </c:pt>
                <c:pt idx="2">
                  <c:v>0.99301112017674498</c:v>
                </c:pt>
                <c:pt idx="3">
                  <c:v>0.98450624109251961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3109632"/>
        <c:axId val="303111168"/>
      </c:scatterChart>
      <c:valAx>
        <c:axId val="3031096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03111168"/>
        <c:crosses val="autoZero"/>
        <c:crossBetween val="midCat"/>
      </c:valAx>
      <c:valAx>
        <c:axId val="3031111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03109632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name>FBC120_hiSlope</c:name>
            <c:trendlineType val="linear"/>
            <c:dispRSqr val="0"/>
            <c:dispEq val="1"/>
            <c:trendlineLbl>
              <c:layout/>
              <c:numFmt formatCode="General" sourceLinked="0"/>
            </c:trendlineLbl>
          </c:trendline>
          <c:xVal>
            <c:numRef>
              <c:f>(FiltBC!$B$4,FiltBC!$B$19,FiltBC!$B$67,FiltBC!$B$99)</c:f>
              <c:numCache>
                <c:formatCode>General</c:formatCode>
                <c:ptCount val="4"/>
                <c:pt idx="0">
                  <c:v>1</c:v>
                </c:pt>
                <c:pt idx="1">
                  <c:v>0.88188976377952755</c:v>
                </c:pt>
                <c:pt idx="2">
                  <c:v>0.50393700787401574</c:v>
                </c:pt>
                <c:pt idx="3">
                  <c:v>0.25196850393700787</c:v>
                </c:pt>
              </c:numCache>
            </c:numRef>
          </c:xVal>
          <c:yVal>
            <c:numRef>
              <c:f>(FiltBC!$G$4,FiltBC!$G$19,FiltBC!$G$67,FiltBC!$G$99)</c:f>
              <c:numCache>
                <c:formatCode>General</c:formatCode>
                <c:ptCount val="4"/>
                <c:pt idx="0">
                  <c:v>1</c:v>
                </c:pt>
                <c:pt idx="1">
                  <c:v>0.99517543859649127</c:v>
                </c:pt>
                <c:pt idx="2">
                  <c:v>0.98728070175438598</c:v>
                </c:pt>
                <c:pt idx="3">
                  <c:v>0.97807017543859653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3123840"/>
        <c:axId val="303133824"/>
      </c:scatterChart>
      <c:valAx>
        <c:axId val="3031238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03133824"/>
        <c:crosses val="autoZero"/>
        <c:crossBetween val="midCat"/>
      </c:valAx>
      <c:valAx>
        <c:axId val="3031338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03123840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FiltBC!$AW$49</c:f>
              <c:strCache>
                <c:ptCount val="1"/>
                <c:pt idx="0">
                  <c:v>hiSlope</c:v>
                </c:pt>
              </c:strCache>
            </c:strRef>
          </c:tx>
          <c:spPr>
            <a:ln w="28575">
              <a:noFill/>
            </a:ln>
          </c:spPr>
          <c:xVal>
            <c:numRef>
              <c:f>FiltBC!$AV$50:$AV$57</c:f>
              <c:numCache>
                <c:formatCode>General</c:formatCode>
                <c:ptCount val="8"/>
                <c:pt idx="0">
                  <c:v>0.94488188976377951</c:v>
                </c:pt>
                <c:pt idx="1">
                  <c:v>0.88188976377952755</c:v>
                </c:pt>
                <c:pt idx="2">
                  <c:v>0.75590551181102361</c:v>
                </c:pt>
                <c:pt idx="3">
                  <c:v>0.62992125984251968</c:v>
                </c:pt>
                <c:pt idx="4">
                  <c:v>0.50393700787401574</c:v>
                </c:pt>
                <c:pt idx="5">
                  <c:v>0.25196850393700787</c:v>
                </c:pt>
                <c:pt idx="6">
                  <c:v>0.12598425196850394</c:v>
                </c:pt>
                <c:pt idx="7">
                  <c:v>0</c:v>
                </c:pt>
              </c:numCache>
            </c:numRef>
          </c:xVal>
          <c:yVal>
            <c:numRef>
              <c:f>FiltBC!$AW$50:$AW$57</c:f>
              <c:numCache>
                <c:formatCode>General</c:formatCode>
                <c:ptCount val="8"/>
                <c:pt idx="0">
                  <c:v>2.7699999999999999E-2</c:v>
                </c:pt>
                <c:pt idx="1">
                  <c:v>6.3799999999999996E-2</c:v>
                </c:pt>
                <c:pt idx="2">
                  <c:v>0.20449999999999999</c:v>
                </c:pt>
                <c:pt idx="3">
                  <c:v>0.4456</c:v>
                </c:pt>
                <c:pt idx="4">
                  <c:v>1</c:v>
                </c:pt>
                <c:pt idx="5">
                  <c:v>3.65</c:v>
                </c:pt>
                <c:pt idx="6">
                  <c:v>7.18</c:v>
                </c:pt>
                <c:pt idx="7">
                  <c:v>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3170304"/>
        <c:axId val="303171840"/>
      </c:scatterChart>
      <c:valAx>
        <c:axId val="303170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03171840"/>
        <c:crosses val="autoZero"/>
        <c:crossBetween val="midCat"/>
      </c:valAx>
      <c:valAx>
        <c:axId val="3031718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0317030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FiltBC!$AW$49</c:f>
              <c:strCache>
                <c:ptCount val="1"/>
                <c:pt idx="0">
                  <c:v>hiSlope</c:v>
                </c:pt>
              </c:strCache>
            </c:strRef>
          </c:tx>
          <c:spPr>
            <a:ln w="28575">
              <a:noFill/>
            </a:ln>
          </c:spPr>
          <c:trendline>
            <c:trendlineType val="exp"/>
            <c:dispRSqr val="0"/>
            <c:dispEq val="1"/>
            <c:trendlineLbl>
              <c:layout>
                <c:manualLayout>
                  <c:x val="-0.17986439195100612"/>
                  <c:y val="-8.2144940215806359E-2"/>
                </c:manualLayout>
              </c:layout>
              <c:numFmt formatCode="General" sourceLinked="0"/>
            </c:trendlineLbl>
          </c:trendline>
          <c:xVal>
            <c:numRef>
              <c:f>FiltBC!$AV$50:$AV$54</c:f>
              <c:numCache>
                <c:formatCode>General</c:formatCode>
                <c:ptCount val="5"/>
                <c:pt idx="0">
                  <c:v>0.94488188976377951</c:v>
                </c:pt>
                <c:pt idx="1">
                  <c:v>0.88188976377952755</c:v>
                </c:pt>
                <c:pt idx="2">
                  <c:v>0.75590551181102361</c:v>
                </c:pt>
                <c:pt idx="3">
                  <c:v>0.62992125984251968</c:v>
                </c:pt>
                <c:pt idx="4">
                  <c:v>0.50393700787401574</c:v>
                </c:pt>
              </c:numCache>
            </c:numRef>
          </c:xVal>
          <c:yVal>
            <c:numRef>
              <c:f>FiltBC!$AW$50:$AW$54</c:f>
              <c:numCache>
                <c:formatCode>General</c:formatCode>
                <c:ptCount val="5"/>
                <c:pt idx="0">
                  <c:v>2.7699999999999999E-2</c:v>
                </c:pt>
                <c:pt idx="1">
                  <c:v>6.3799999999999996E-2</c:v>
                </c:pt>
                <c:pt idx="2">
                  <c:v>0.20449999999999999</c:v>
                </c:pt>
                <c:pt idx="3">
                  <c:v>0.4456</c:v>
                </c:pt>
                <c:pt idx="4">
                  <c:v>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3201280"/>
        <c:axId val="303203072"/>
      </c:scatterChart>
      <c:valAx>
        <c:axId val="3032012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03203072"/>
        <c:crosses val="autoZero"/>
        <c:crossBetween val="midCat"/>
      </c:valAx>
      <c:valAx>
        <c:axId val="3032030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0320128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exp"/>
            <c:dispRSqr val="0"/>
            <c:dispEq val="1"/>
            <c:trendlineLbl>
              <c:numFmt formatCode="General" sourceLinked="0"/>
            </c:trendlineLbl>
          </c:trendline>
          <c:xVal>
            <c:numRef>
              <c:f>FiltBC!$AV$54:$AV$57</c:f>
              <c:numCache>
                <c:formatCode>General</c:formatCode>
                <c:ptCount val="4"/>
                <c:pt idx="0">
                  <c:v>0.50393700787401574</c:v>
                </c:pt>
                <c:pt idx="1">
                  <c:v>0.25196850393700787</c:v>
                </c:pt>
                <c:pt idx="2">
                  <c:v>0.12598425196850394</c:v>
                </c:pt>
                <c:pt idx="3">
                  <c:v>0</c:v>
                </c:pt>
              </c:numCache>
            </c:numRef>
          </c:xVal>
          <c:yVal>
            <c:numRef>
              <c:f>FiltBC!$AW$54:$AW$57</c:f>
              <c:numCache>
                <c:formatCode>General</c:formatCode>
                <c:ptCount val="4"/>
                <c:pt idx="0">
                  <c:v>1</c:v>
                </c:pt>
                <c:pt idx="1">
                  <c:v>3.65</c:v>
                </c:pt>
                <c:pt idx="2">
                  <c:v>7.18</c:v>
                </c:pt>
                <c:pt idx="3">
                  <c:v>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3224704"/>
        <c:axId val="303226240"/>
      </c:scatterChart>
      <c:valAx>
        <c:axId val="3032247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03226240"/>
        <c:crosses val="autoZero"/>
        <c:crossBetween val="midCat"/>
      </c:valAx>
      <c:valAx>
        <c:axId val="3032262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0322470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2"/>
          </c:marker>
          <c:xVal>
            <c:numRef>
              <c:f>FiltBC!$B$185:$B$312</c:f>
              <c:numCache>
                <c:formatCode>General</c:formatCode>
                <c:ptCount val="128"/>
                <c:pt idx="0">
                  <c:v>1</c:v>
                </c:pt>
                <c:pt idx="1">
                  <c:v>0.99212598425196852</c:v>
                </c:pt>
                <c:pt idx="2">
                  <c:v>0.98425196850393704</c:v>
                </c:pt>
                <c:pt idx="3">
                  <c:v>0.97637795275590555</c:v>
                </c:pt>
                <c:pt idx="4">
                  <c:v>0.96850393700787396</c:v>
                </c:pt>
                <c:pt idx="5">
                  <c:v>0.96062992125984248</c:v>
                </c:pt>
                <c:pt idx="6">
                  <c:v>0.952755905511811</c:v>
                </c:pt>
                <c:pt idx="7">
                  <c:v>0.94488188976377951</c:v>
                </c:pt>
                <c:pt idx="8">
                  <c:v>0.93700787401574803</c:v>
                </c:pt>
                <c:pt idx="9">
                  <c:v>0.92913385826771655</c:v>
                </c:pt>
                <c:pt idx="10">
                  <c:v>0.92125984251968507</c:v>
                </c:pt>
                <c:pt idx="11">
                  <c:v>0.91338582677165359</c:v>
                </c:pt>
                <c:pt idx="12">
                  <c:v>0.90551181102362199</c:v>
                </c:pt>
                <c:pt idx="13">
                  <c:v>0.89763779527559051</c:v>
                </c:pt>
                <c:pt idx="14">
                  <c:v>0.88976377952755903</c:v>
                </c:pt>
                <c:pt idx="15">
                  <c:v>0.88188976377952755</c:v>
                </c:pt>
                <c:pt idx="16">
                  <c:v>0.87401574803149606</c:v>
                </c:pt>
                <c:pt idx="17">
                  <c:v>0.86614173228346458</c:v>
                </c:pt>
                <c:pt idx="18">
                  <c:v>0.8582677165354331</c:v>
                </c:pt>
                <c:pt idx="19">
                  <c:v>0.85039370078740162</c:v>
                </c:pt>
                <c:pt idx="20">
                  <c:v>0.84251968503937003</c:v>
                </c:pt>
                <c:pt idx="21">
                  <c:v>0.83464566929133854</c:v>
                </c:pt>
                <c:pt idx="22">
                  <c:v>0.82677165354330706</c:v>
                </c:pt>
                <c:pt idx="23">
                  <c:v>0.81889763779527558</c:v>
                </c:pt>
                <c:pt idx="24">
                  <c:v>0.8110236220472441</c:v>
                </c:pt>
                <c:pt idx="25">
                  <c:v>0.80314960629921262</c:v>
                </c:pt>
                <c:pt idx="26">
                  <c:v>0.79527559055118113</c:v>
                </c:pt>
                <c:pt idx="27">
                  <c:v>0.78740157480314965</c:v>
                </c:pt>
                <c:pt idx="28">
                  <c:v>0.77952755905511806</c:v>
                </c:pt>
                <c:pt idx="29">
                  <c:v>0.77165354330708658</c:v>
                </c:pt>
                <c:pt idx="30">
                  <c:v>0.76377952755905509</c:v>
                </c:pt>
                <c:pt idx="31">
                  <c:v>0.75590551181102361</c:v>
                </c:pt>
                <c:pt idx="32">
                  <c:v>0.74803149606299213</c:v>
                </c:pt>
                <c:pt idx="33">
                  <c:v>0.74015748031496065</c:v>
                </c:pt>
                <c:pt idx="34">
                  <c:v>0.73228346456692917</c:v>
                </c:pt>
                <c:pt idx="35">
                  <c:v>0.72440944881889768</c:v>
                </c:pt>
                <c:pt idx="36">
                  <c:v>0.71653543307086609</c:v>
                </c:pt>
                <c:pt idx="37">
                  <c:v>0.70866141732283461</c:v>
                </c:pt>
                <c:pt idx="38">
                  <c:v>0.70078740157480313</c:v>
                </c:pt>
                <c:pt idx="39">
                  <c:v>0.69291338582677164</c:v>
                </c:pt>
                <c:pt idx="40">
                  <c:v>0.68503937007874016</c:v>
                </c:pt>
                <c:pt idx="41">
                  <c:v>0.67716535433070868</c:v>
                </c:pt>
                <c:pt idx="42">
                  <c:v>0.6692913385826772</c:v>
                </c:pt>
                <c:pt idx="43">
                  <c:v>0.66141732283464572</c:v>
                </c:pt>
                <c:pt idx="44">
                  <c:v>0.65354330708661412</c:v>
                </c:pt>
                <c:pt idx="45">
                  <c:v>0.64566929133858264</c:v>
                </c:pt>
                <c:pt idx="46">
                  <c:v>0.63779527559055116</c:v>
                </c:pt>
                <c:pt idx="47">
                  <c:v>0.62992125984251968</c:v>
                </c:pt>
                <c:pt idx="48">
                  <c:v>0.62204724409448819</c:v>
                </c:pt>
                <c:pt idx="49">
                  <c:v>0.61417322834645671</c:v>
                </c:pt>
                <c:pt idx="50">
                  <c:v>0.60629921259842523</c:v>
                </c:pt>
                <c:pt idx="51">
                  <c:v>0.59842519685039375</c:v>
                </c:pt>
                <c:pt idx="52">
                  <c:v>0.59055118110236215</c:v>
                </c:pt>
                <c:pt idx="53">
                  <c:v>0.58267716535433067</c:v>
                </c:pt>
                <c:pt idx="54">
                  <c:v>0.57480314960629919</c:v>
                </c:pt>
                <c:pt idx="55">
                  <c:v>0.56692913385826771</c:v>
                </c:pt>
                <c:pt idx="56">
                  <c:v>0.55905511811023623</c:v>
                </c:pt>
                <c:pt idx="57">
                  <c:v>0.55118110236220474</c:v>
                </c:pt>
                <c:pt idx="58">
                  <c:v>0.54330708661417326</c:v>
                </c:pt>
                <c:pt idx="59">
                  <c:v>0.53543307086614178</c:v>
                </c:pt>
                <c:pt idx="60">
                  <c:v>0.52755905511811019</c:v>
                </c:pt>
                <c:pt idx="61">
                  <c:v>0.51968503937007871</c:v>
                </c:pt>
                <c:pt idx="62">
                  <c:v>0.51181102362204722</c:v>
                </c:pt>
                <c:pt idx="63">
                  <c:v>0.50393700787401574</c:v>
                </c:pt>
                <c:pt idx="64">
                  <c:v>0.49606299212598426</c:v>
                </c:pt>
                <c:pt idx="65">
                  <c:v>0.48818897637795278</c:v>
                </c:pt>
                <c:pt idx="66">
                  <c:v>0.48031496062992124</c:v>
                </c:pt>
                <c:pt idx="67">
                  <c:v>0.47244094488188976</c:v>
                </c:pt>
                <c:pt idx="68">
                  <c:v>0.46456692913385828</c:v>
                </c:pt>
                <c:pt idx="69">
                  <c:v>0.45669291338582679</c:v>
                </c:pt>
                <c:pt idx="70">
                  <c:v>0.44881889763779526</c:v>
                </c:pt>
                <c:pt idx="71">
                  <c:v>0.44094488188976377</c:v>
                </c:pt>
                <c:pt idx="72">
                  <c:v>0.43307086614173229</c:v>
                </c:pt>
                <c:pt idx="73">
                  <c:v>0.42519685039370081</c:v>
                </c:pt>
                <c:pt idx="74">
                  <c:v>0.41732283464566927</c:v>
                </c:pt>
                <c:pt idx="75">
                  <c:v>0.40944881889763779</c:v>
                </c:pt>
                <c:pt idx="76">
                  <c:v>0.40157480314960631</c:v>
                </c:pt>
                <c:pt idx="77">
                  <c:v>0.39370078740157483</c:v>
                </c:pt>
                <c:pt idx="78">
                  <c:v>0.38582677165354329</c:v>
                </c:pt>
                <c:pt idx="79">
                  <c:v>0.37795275590551181</c:v>
                </c:pt>
                <c:pt idx="80">
                  <c:v>0.37007874015748032</c:v>
                </c:pt>
                <c:pt idx="81">
                  <c:v>0.36220472440944884</c:v>
                </c:pt>
                <c:pt idx="82">
                  <c:v>0.3543307086614173</c:v>
                </c:pt>
                <c:pt idx="83">
                  <c:v>0.34645669291338582</c:v>
                </c:pt>
                <c:pt idx="84">
                  <c:v>0.33858267716535434</c:v>
                </c:pt>
                <c:pt idx="85">
                  <c:v>0.33070866141732286</c:v>
                </c:pt>
                <c:pt idx="86">
                  <c:v>0.32283464566929132</c:v>
                </c:pt>
                <c:pt idx="87">
                  <c:v>0.31496062992125984</c:v>
                </c:pt>
                <c:pt idx="88">
                  <c:v>0.30708661417322836</c:v>
                </c:pt>
                <c:pt idx="89">
                  <c:v>0.29921259842519687</c:v>
                </c:pt>
                <c:pt idx="90">
                  <c:v>0.29133858267716534</c:v>
                </c:pt>
                <c:pt idx="91">
                  <c:v>0.28346456692913385</c:v>
                </c:pt>
                <c:pt idx="92">
                  <c:v>0.27559055118110237</c:v>
                </c:pt>
                <c:pt idx="93">
                  <c:v>0.26771653543307089</c:v>
                </c:pt>
                <c:pt idx="94">
                  <c:v>0.25984251968503935</c:v>
                </c:pt>
                <c:pt idx="95">
                  <c:v>0.25196850393700787</c:v>
                </c:pt>
                <c:pt idx="96">
                  <c:v>0.24409448818897639</c:v>
                </c:pt>
                <c:pt idx="97">
                  <c:v>0.23622047244094488</c:v>
                </c:pt>
                <c:pt idx="98">
                  <c:v>0.2283464566929134</c:v>
                </c:pt>
                <c:pt idx="99">
                  <c:v>0.22047244094488189</c:v>
                </c:pt>
                <c:pt idx="100">
                  <c:v>0.2125984251968504</c:v>
                </c:pt>
                <c:pt idx="101">
                  <c:v>0.20472440944881889</c:v>
                </c:pt>
                <c:pt idx="102">
                  <c:v>0.19685039370078741</c:v>
                </c:pt>
                <c:pt idx="103">
                  <c:v>0.1889763779527559</c:v>
                </c:pt>
                <c:pt idx="104">
                  <c:v>0.18110236220472442</c:v>
                </c:pt>
                <c:pt idx="105">
                  <c:v>0.17322834645669291</c:v>
                </c:pt>
                <c:pt idx="106">
                  <c:v>0.16535433070866143</c:v>
                </c:pt>
                <c:pt idx="107">
                  <c:v>0.15748031496062992</c:v>
                </c:pt>
                <c:pt idx="108">
                  <c:v>0.14960629921259844</c:v>
                </c:pt>
                <c:pt idx="109">
                  <c:v>0.14173228346456693</c:v>
                </c:pt>
                <c:pt idx="110">
                  <c:v>0.13385826771653545</c:v>
                </c:pt>
                <c:pt idx="111">
                  <c:v>0.12598425196850394</c:v>
                </c:pt>
                <c:pt idx="112">
                  <c:v>0.11811023622047244</c:v>
                </c:pt>
                <c:pt idx="113">
                  <c:v>0.11023622047244094</c:v>
                </c:pt>
                <c:pt idx="114">
                  <c:v>0.10236220472440945</c:v>
                </c:pt>
                <c:pt idx="115">
                  <c:v>9.4488188976377951E-2</c:v>
                </c:pt>
                <c:pt idx="116">
                  <c:v>8.6614173228346455E-2</c:v>
                </c:pt>
                <c:pt idx="117">
                  <c:v>7.874015748031496E-2</c:v>
                </c:pt>
                <c:pt idx="118">
                  <c:v>7.0866141732283464E-2</c:v>
                </c:pt>
                <c:pt idx="119">
                  <c:v>6.2992125984251968E-2</c:v>
                </c:pt>
                <c:pt idx="120">
                  <c:v>5.5118110236220472E-2</c:v>
                </c:pt>
                <c:pt idx="121">
                  <c:v>4.7244094488188976E-2</c:v>
                </c:pt>
                <c:pt idx="122">
                  <c:v>3.937007874015748E-2</c:v>
                </c:pt>
                <c:pt idx="123">
                  <c:v>3.1496062992125984E-2</c:v>
                </c:pt>
                <c:pt idx="124">
                  <c:v>2.3622047244094488E-2</c:v>
                </c:pt>
                <c:pt idx="125">
                  <c:v>1.5748031496062992E-2</c:v>
                </c:pt>
                <c:pt idx="126">
                  <c:v>7.874015748031496E-3</c:v>
                </c:pt>
                <c:pt idx="127">
                  <c:v>0</c:v>
                </c:pt>
              </c:numCache>
            </c:numRef>
          </c:xVal>
          <c:yVal>
            <c:numRef>
              <c:f>FiltBC!$G$185:$G$312</c:f>
              <c:numCache>
                <c:formatCode>General</c:formatCode>
                <c:ptCount val="128"/>
                <c:pt idx="0">
                  <c:v>0.99944135568439674</c:v>
                </c:pt>
                <c:pt idx="1">
                  <c:v>0.99888271136879347</c:v>
                </c:pt>
                <c:pt idx="2">
                  <c:v>0.99832406705319021</c:v>
                </c:pt>
                <c:pt idx="3">
                  <c:v>0.99776542273758695</c:v>
                </c:pt>
                <c:pt idx="4">
                  <c:v>0.99720677842198369</c:v>
                </c:pt>
                <c:pt idx="5">
                  <c:v>0.99664813410638042</c:v>
                </c:pt>
                <c:pt idx="6">
                  <c:v>0.99608948979077716</c:v>
                </c:pt>
                <c:pt idx="7">
                  <c:v>0.99553084547517379</c:v>
                </c:pt>
                <c:pt idx="8">
                  <c:v>0.99497220115957052</c:v>
                </c:pt>
                <c:pt idx="9">
                  <c:v>0.99441355684396726</c:v>
                </c:pt>
                <c:pt idx="10">
                  <c:v>0.993854912528364</c:v>
                </c:pt>
                <c:pt idx="11">
                  <c:v>0.99329626821276074</c:v>
                </c:pt>
                <c:pt idx="12">
                  <c:v>0.99273762389715747</c:v>
                </c:pt>
                <c:pt idx="13">
                  <c:v>0.99217897958155421</c:v>
                </c:pt>
                <c:pt idx="14">
                  <c:v>0.99162033526595095</c:v>
                </c:pt>
                <c:pt idx="15">
                  <c:v>0.99106169095034768</c:v>
                </c:pt>
                <c:pt idx="16">
                  <c:v>0.99050304663474442</c:v>
                </c:pt>
                <c:pt idx="17">
                  <c:v>0.98994440231914116</c:v>
                </c:pt>
                <c:pt idx="18">
                  <c:v>0.9893857580035379</c:v>
                </c:pt>
                <c:pt idx="19">
                  <c:v>0.98882711368793463</c:v>
                </c:pt>
                <c:pt idx="20">
                  <c:v>0.98826846937233137</c:v>
                </c:pt>
                <c:pt idx="21">
                  <c:v>0.98770982505672811</c:v>
                </c:pt>
                <c:pt idx="22">
                  <c:v>0.98715118074112473</c:v>
                </c:pt>
                <c:pt idx="23">
                  <c:v>0.98659253642552147</c:v>
                </c:pt>
                <c:pt idx="24">
                  <c:v>0.98603389210991821</c:v>
                </c:pt>
                <c:pt idx="25">
                  <c:v>0.98547524779431495</c:v>
                </c:pt>
                <c:pt idx="26">
                  <c:v>0.98491660347871168</c:v>
                </c:pt>
                <c:pt idx="27">
                  <c:v>0.98435795916310842</c:v>
                </c:pt>
                <c:pt idx="28">
                  <c:v>0.98379931484750516</c:v>
                </c:pt>
                <c:pt idx="29">
                  <c:v>0.98324067053190189</c:v>
                </c:pt>
                <c:pt idx="30">
                  <c:v>0.98268202621629863</c:v>
                </c:pt>
                <c:pt idx="31">
                  <c:v>0.98212338190069537</c:v>
                </c:pt>
                <c:pt idx="32">
                  <c:v>0.98156473758509211</c:v>
                </c:pt>
                <c:pt idx="33">
                  <c:v>0.98100609326948884</c:v>
                </c:pt>
                <c:pt idx="34">
                  <c:v>0.98044744895388558</c:v>
                </c:pt>
                <c:pt idx="35">
                  <c:v>0.97988880463828232</c:v>
                </c:pt>
                <c:pt idx="36">
                  <c:v>0.97933016032267894</c:v>
                </c:pt>
                <c:pt idx="37">
                  <c:v>0.97877151600707568</c:v>
                </c:pt>
                <c:pt idx="38">
                  <c:v>0.97821287169147242</c:v>
                </c:pt>
                <c:pt idx="39">
                  <c:v>0.97765422737586916</c:v>
                </c:pt>
                <c:pt idx="40">
                  <c:v>0.97709558306026589</c:v>
                </c:pt>
                <c:pt idx="41">
                  <c:v>0.97653693874466263</c:v>
                </c:pt>
                <c:pt idx="42">
                  <c:v>0.97597829442905937</c:v>
                </c:pt>
                <c:pt idx="43">
                  <c:v>0.9754196501134561</c:v>
                </c:pt>
                <c:pt idx="44">
                  <c:v>0.97486100579785284</c:v>
                </c:pt>
                <c:pt idx="45">
                  <c:v>0.97430236148224958</c:v>
                </c:pt>
                <c:pt idx="46">
                  <c:v>0.97374371716664632</c:v>
                </c:pt>
                <c:pt idx="47">
                  <c:v>0.97318507285104305</c:v>
                </c:pt>
                <c:pt idx="48">
                  <c:v>0.97262642853543979</c:v>
                </c:pt>
                <c:pt idx="49">
                  <c:v>0.97206778421983653</c:v>
                </c:pt>
                <c:pt idx="50">
                  <c:v>0.97150913990423327</c:v>
                </c:pt>
                <c:pt idx="51">
                  <c:v>0.97095049558862989</c:v>
                </c:pt>
                <c:pt idx="52">
                  <c:v>0.97039185127302663</c:v>
                </c:pt>
                <c:pt idx="53">
                  <c:v>0.96983320695742337</c:v>
                </c:pt>
                <c:pt idx="54">
                  <c:v>0.9692745626418201</c:v>
                </c:pt>
                <c:pt idx="55">
                  <c:v>0.96871591832621684</c:v>
                </c:pt>
                <c:pt idx="56">
                  <c:v>0.96815727401061358</c:v>
                </c:pt>
                <c:pt idx="57">
                  <c:v>0.96759862969501031</c:v>
                </c:pt>
                <c:pt idx="58">
                  <c:v>0.96703998537940705</c:v>
                </c:pt>
                <c:pt idx="59">
                  <c:v>0.96648134106380379</c:v>
                </c:pt>
                <c:pt idx="60">
                  <c:v>0.96592269674820053</c:v>
                </c:pt>
                <c:pt idx="61">
                  <c:v>0.96536405243259726</c:v>
                </c:pt>
                <c:pt idx="62">
                  <c:v>0.964805408116994</c:v>
                </c:pt>
                <c:pt idx="63">
                  <c:v>0.96424676380139074</c:v>
                </c:pt>
                <c:pt idx="64">
                  <c:v>0.96368811948578748</c:v>
                </c:pt>
                <c:pt idx="65">
                  <c:v>0.96312947517018421</c:v>
                </c:pt>
                <c:pt idx="66">
                  <c:v>0.96257083085458095</c:v>
                </c:pt>
                <c:pt idx="67">
                  <c:v>0.96201218653897769</c:v>
                </c:pt>
                <c:pt idx="68">
                  <c:v>0.96145354222337431</c:v>
                </c:pt>
                <c:pt idx="69">
                  <c:v>0.96089489790777105</c:v>
                </c:pt>
                <c:pt idx="70">
                  <c:v>0.96033625359216779</c:v>
                </c:pt>
                <c:pt idx="71">
                  <c:v>0.95977760927656453</c:v>
                </c:pt>
                <c:pt idx="72">
                  <c:v>0.95921896496096126</c:v>
                </c:pt>
                <c:pt idx="73">
                  <c:v>0.958660320645358</c:v>
                </c:pt>
                <c:pt idx="74">
                  <c:v>0.95810167632975474</c:v>
                </c:pt>
                <c:pt idx="75">
                  <c:v>0.95754303201415147</c:v>
                </c:pt>
                <c:pt idx="76">
                  <c:v>0.95698438769854821</c:v>
                </c:pt>
                <c:pt idx="77">
                  <c:v>0.95642574338294495</c:v>
                </c:pt>
                <c:pt idx="78">
                  <c:v>0.95586709906734169</c:v>
                </c:pt>
                <c:pt idx="79">
                  <c:v>0.95530845475173842</c:v>
                </c:pt>
                <c:pt idx="80">
                  <c:v>0.95474981043613516</c:v>
                </c:pt>
                <c:pt idx="81">
                  <c:v>0.9541911661205319</c:v>
                </c:pt>
                <c:pt idx="82">
                  <c:v>0.95363252180492863</c:v>
                </c:pt>
                <c:pt idx="83">
                  <c:v>0.95307387748932526</c:v>
                </c:pt>
                <c:pt idx="84">
                  <c:v>0.952515233173722</c:v>
                </c:pt>
                <c:pt idx="85">
                  <c:v>0.95195658885811874</c:v>
                </c:pt>
                <c:pt idx="86">
                  <c:v>0.95139794454251547</c:v>
                </c:pt>
                <c:pt idx="87">
                  <c:v>0.94488188976377951</c:v>
                </c:pt>
                <c:pt idx="88">
                  <c:v>0.93700787401574803</c:v>
                </c:pt>
                <c:pt idx="89">
                  <c:v>0.92913385826771644</c:v>
                </c:pt>
                <c:pt idx="90">
                  <c:v>0.92125984251968496</c:v>
                </c:pt>
                <c:pt idx="91">
                  <c:v>0.91338582677165348</c:v>
                </c:pt>
                <c:pt idx="92">
                  <c:v>0.90551181102362199</c:v>
                </c:pt>
                <c:pt idx="93">
                  <c:v>0.89763779527559051</c:v>
                </c:pt>
                <c:pt idx="94">
                  <c:v>0.88976377952755903</c:v>
                </c:pt>
                <c:pt idx="95">
                  <c:v>0.88188976377952755</c:v>
                </c:pt>
                <c:pt idx="96">
                  <c:v>0.87401574803149606</c:v>
                </c:pt>
                <c:pt idx="97">
                  <c:v>0.86614173228346458</c:v>
                </c:pt>
                <c:pt idx="98">
                  <c:v>0.8582677165354331</c:v>
                </c:pt>
                <c:pt idx="99">
                  <c:v>0.85039370078740162</c:v>
                </c:pt>
                <c:pt idx="100">
                  <c:v>0.84251968503937003</c:v>
                </c:pt>
                <c:pt idx="101">
                  <c:v>0.83464566929133854</c:v>
                </c:pt>
                <c:pt idx="102">
                  <c:v>0.82677165354330706</c:v>
                </c:pt>
                <c:pt idx="103">
                  <c:v>0.81889763779527558</c:v>
                </c:pt>
                <c:pt idx="104">
                  <c:v>0.8110236220472441</c:v>
                </c:pt>
                <c:pt idx="105">
                  <c:v>0.80314960629921262</c:v>
                </c:pt>
                <c:pt idx="106">
                  <c:v>0.79527559055118102</c:v>
                </c:pt>
                <c:pt idx="107">
                  <c:v>0.78740157480314954</c:v>
                </c:pt>
                <c:pt idx="108">
                  <c:v>0.77952755905511806</c:v>
                </c:pt>
                <c:pt idx="109">
                  <c:v>0.77165354330708658</c:v>
                </c:pt>
                <c:pt idx="110">
                  <c:v>0.76377952755905509</c:v>
                </c:pt>
                <c:pt idx="111">
                  <c:v>0.75590551181102361</c:v>
                </c:pt>
                <c:pt idx="112">
                  <c:v>0.74803149606299213</c:v>
                </c:pt>
                <c:pt idx="113">
                  <c:v>0.74015748031496065</c:v>
                </c:pt>
                <c:pt idx="114">
                  <c:v>0.73228346456692917</c:v>
                </c:pt>
                <c:pt idx="115">
                  <c:v>0.72440944881889757</c:v>
                </c:pt>
                <c:pt idx="116">
                  <c:v>0.71653543307086609</c:v>
                </c:pt>
                <c:pt idx="117">
                  <c:v>0.70866141732283461</c:v>
                </c:pt>
                <c:pt idx="118">
                  <c:v>0.70078740157480313</c:v>
                </c:pt>
                <c:pt idx="119">
                  <c:v>0.69291338582677164</c:v>
                </c:pt>
                <c:pt idx="120">
                  <c:v>0.68503937007874016</c:v>
                </c:pt>
                <c:pt idx="121">
                  <c:v>0.67716535433070868</c:v>
                </c:pt>
                <c:pt idx="122">
                  <c:v>0.59391701947463071</c:v>
                </c:pt>
                <c:pt idx="123">
                  <c:v>0.44543776460597301</c:v>
                </c:pt>
                <c:pt idx="124">
                  <c:v>0.29695850973731536</c:v>
                </c:pt>
                <c:pt idx="125">
                  <c:v>0.14847925486865768</c:v>
                </c:pt>
                <c:pt idx="126">
                  <c:v>0</c:v>
                </c:pt>
                <c:pt idx="127">
                  <c:v>0</c:v>
                </c:pt>
              </c:numCache>
            </c:numRef>
          </c:yVal>
          <c:smooth val="0"/>
        </c:ser>
        <c:ser>
          <c:idx val="1"/>
          <c:order val="1"/>
          <c:spPr>
            <a:ln w="28575">
              <a:noFill/>
            </a:ln>
          </c:spPr>
          <c:marker>
            <c:symbol val="square"/>
            <c:size val="2"/>
          </c:marker>
          <c:xVal>
            <c:numRef>
              <c:f>FiltBC!$B$185:$B$312</c:f>
              <c:numCache>
                <c:formatCode>General</c:formatCode>
                <c:ptCount val="128"/>
                <c:pt idx="0">
                  <c:v>1</c:v>
                </c:pt>
                <c:pt idx="1">
                  <c:v>0.99212598425196852</c:v>
                </c:pt>
                <c:pt idx="2">
                  <c:v>0.98425196850393704</c:v>
                </c:pt>
                <c:pt idx="3">
                  <c:v>0.97637795275590555</c:v>
                </c:pt>
                <c:pt idx="4">
                  <c:v>0.96850393700787396</c:v>
                </c:pt>
                <c:pt idx="5">
                  <c:v>0.96062992125984248</c:v>
                </c:pt>
                <c:pt idx="6">
                  <c:v>0.952755905511811</c:v>
                </c:pt>
                <c:pt idx="7">
                  <c:v>0.94488188976377951</c:v>
                </c:pt>
                <c:pt idx="8">
                  <c:v>0.93700787401574803</c:v>
                </c:pt>
                <c:pt idx="9">
                  <c:v>0.92913385826771655</c:v>
                </c:pt>
                <c:pt idx="10">
                  <c:v>0.92125984251968507</c:v>
                </c:pt>
                <c:pt idx="11">
                  <c:v>0.91338582677165359</c:v>
                </c:pt>
                <c:pt idx="12">
                  <c:v>0.90551181102362199</c:v>
                </c:pt>
                <c:pt idx="13">
                  <c:v>0.89763779527559051</c:v>
                </c:pt>
                <c:pt idx="14">
                  <c:v>0.88976377952755903</c:v>
                </c:pt>
                <c:pt idx="15">
                  <c:v>0.88188976377952755</c:v>
                </c:pt>
                <c:pt idx="16">
                  <c:v>0.87401574803149606</c:v>
                </c:pt>
                <c:pt idx="17">
                  <c:v>0.86614173228346458</c:v>
                </c:pt>
                <c:pt idx="18">
                  <c:v>0.8582677165354331</c:v>
                </c:pt>
                <c:pt idx="19">
                  <c:v>0.85039370078740162</c:v>
                </c:pt>
                <c:pt idx="20">
                  <c:v>0.84251968503937003</c:v>
                </c:pt>
                <c:pt idx="21">
                  <c:v>0.83464566929133854</c:v>
                </c:pt>
                <c:pt idx="22">
                  <c:v>0.82677165354330706</c:v>
                </c:pt>
                <c:pt idx="23">
                  <c:v>0.81889763779527558</c:v>
                </c:pt>
                <c:pt idx="24">
                  <c:v>0.8110236220472441</c:v>
                </c:pt>
                <c:pt idx="25">
                  <c:v>0.80314960629921262</c:v>
                </c:pt>
                <c:pt idx="26">
                  <c:v>0.79527559055118113</c:v>
                </c:pt>
                <c:pt idx="27">
                  <c:v>0.78740157480314965</c:v>
                </c:pt>
                <c:pt idx="28">
                  <c:v>0.77952755905511806</c:v>
                </c:pt>
                <c:pt idx="29">
                  <c:v>0.77165354330708658</c:v>
                </c:pt>
                <c:pt idx="30">
                  <c:v>0.76377952755905509</c:v>
                </c:pt>
                <c:pt idx="31">
                  <c:v>0.75590551181102361</c:v>
                </c:pt>
                <c:pt idx="32">
                  <c:v>0.74803149606299213</c:v>
                </c:pt>
                <c:pt idx="33">
                  <c:v>0.74015748031496065</c:v>
                </c:pt>
                <c:pt idx="34">
                  <c:v>0.73228346456692917</c:v>
                </c:pt>
                <c:pt idx="35">
                  <c:v>0.72440944881889768</c:v>
                </c:pt>
                <c:pt idx="36">
                  <c:v>0.71653543307086609</c:v>
                </c:pt>
                <c:pt idx="37">
                  <c:v>0.70866141732283461</c:v>
                </c:pt>
                <c:pt idx="38">
                  <c:v>0.70078740157480313</c:v>
                </c:pt>
                <c:pt idx="39">
                  <c:v>0.69291338582677164</c:v>
                </c:pt>
                <c:pt idx="40">
                  <c:v>0.68503937007874016</c:v>
                </c:pt>
                <c:pt idx="41">
                  <c:v>0.67716535433070868</c:v>
                </c:pt>
                <c:pt idx="42">
                  <c:v>0.6692913385826772</c:v>
                </c:pt>
                <c:pt idx="43">
                  <c:v>0.66141732283464572</c:v>
                </c:pt>
                <c:pt idx="44">
                  <c:v>0.65354330708661412</c:v>
                </c:pt>
                <c:pt idx="45">
                  <c:v>0.64566929133858264</c:v>
                </c:pt>
                <c:pt idx="46">
                  <c:v>0.63779527559055116</c:v>
                </c:pt>
                <c:pt idx="47">
                  <c:v>0.62992125984251968</c:v>
                </c:pt>
                <c:pt idx="48">
                  <c:v>0.62204724409448819</c:v>
                </c:pt>
                <c:pt idx="49">
                  <c:v>0.61417322834645671</c:v>
                </c:pt>
                <c:pt idx="50">
                  <c:v>0.60629921259842523</c:v>
                </c:pt>
                <c:pt idx="51">
                  <c:v>0.59842519685039375</c:v>
                </c:pt>
                <c:pt idx="52">
                  <c:v>0.59055118110236215</c:v>
                </c:pt>
                <c:pt idx="53">
                  <c:v>0.58267716535433067</c:v>
                </c:pt>
                <c:pt idx="54">
                  <c:v>0.57480314960629919</c:v>
                </c:pt>
                <c:pt idx="55">
                  <c:v>0.56692913385826771</c:v>
                </c:pt>
                <c:pt idx="56">
                  <c:v>0.55905511811023623</c:v>
                </c:pt>
                <c:pt idx="57">
                  <c:v>0.55118110236220474</c:v>
                </c:pt>
                <c:pt idx="58">
                  <c:v>0.54330708661417326</c:v>
                </c:pt>
                <c:pt idx="59">
                  <c:v>0.53543307086614178</c:v>
                </c:pt>
                <c:pt idx="60">
                  <c:v>0.52755905511811019</c:v>
                </c:pt>
                <c:pt idx="61">
                  <c:v>0.51968503937007871</c:v>
                </c:pt>
                <c:pt idx="62">
                  <c:v>0.51181102362204722</c:v>
                </c:pt>
                <c:pt idx="63">
                  <c:v>0.50393700787401574</c:v>
                </c:pt>
                <c:pt idx="64">
                  <c:v>0.49606299212598426</c:v>
                </c:pt>
                <c:pt idx="65">
                  <c:v>0.48818897637795278</c:v>
                </c:pt>
                <c:pt idx="66">
                  <c:v>0.48031496062992124</c:v>
                </c:pt>
                <c:pt idx="67">
                  <c:v>0.47244094488188976</c:v>
                </c:pt>
                <c:pt idx="68">
                  <c:v>0.46456692913385828</c:v>
                </c:pt>
                <c:pt idx="69">
                  <c:v>0.45669291338582679</c:v>
                </c:pt>
                <c:pt idx="70">
                  <c:v>0.44881889763779526</c:v>
                </c:pt>
                <c:pt idx="71">
                  <c:v>0.44094488188976377</c:v>
                </c:pt>
                <c:pt idx="72">
                  <c:v>0.43307086614173229</c:v>
                </c:pt>
                <c:pt idx="73">
                  <c:v>0.42519685039370081</c:v>
                </c:pt>
                <c:pt idx="74">
                  <c:v>0.41732283464566927</c:v>
                </c:pt>
                <c:pt idx="75">
                  <c:v>0.40944881889763779</c:v>
                </c:pt>
                <c:pt idx="76">
                  <c:v>0.40157480314960631</c:v>
                </c:pt>
                <c:pt idx="77">
                  <c:v>0.39370078740157483</c:v>
                </c:pt>
                <c:pt idx="78">
                  <c:v>0.38582677165354329</c:v>
                </c:pt>
                <c:pt idx="79">
                  <c:v>0.37795275590551181</c:v>
                </c:pt>
                <c:pt idx="80">
                  <c:v>0.37007874015748032</c:v>
                </c:pt>
                <c:pt idx="81">
                  <c:v>0.36220472440944884</c:v>
                </c:pt>
                <c:pt idx="82">
                  <c:v>0.3543307086614173</c:v>
                </c:pt>
                <c:pt idx="83">
                  <c:v>0.34645669291338582</c:v>
                </c:pt>
                <c:pt idx="84">
                  <c:v>0.33858267716535434</c:v>
                </c:pt>
                <c:pt idx="85">
                  <c:v>0.33070866141732286</c:v>
                </c:pt>
                <c:pt idx="86">
                  <c:v>0.32283464566929132</c:v>
                </c:pt>
                <c:pt idx="87">
                  <c:v>0.31496062992125984</c:v>
                </c:pt>
                <c:pt idx="88">
                  <c:v>0.30708661417322836</c:v>
                </c:pt>
                <c:pt idx="89">
                  <c:v>0.29921259842519687</c:v>
                </c:pt>
                <c:pt idx="90">
                  <c:v>0.29133858267716534</c:v>
                </c:pt>
                <c:pt idx="91">
                  <c:v>0.28346456692913385</c:v>
                </c:pt>
                <c:pt idx="92">
                  <c:v>0.27559055118110237</c:v>
                </c:pt>
                <c:pt idx="93">
                  <c:v>0.26771653543307089</c:v>
                </c:pt>
                <c:pt idx="94">
                  <c:v>0.25984251968503935</c:v>
                </c:pt>
                <c:pt idx="95">
                  <c:v>0.25196850393700787</c:v>
                </c:pt>
                <c:pt idx="96">
                  <c:v>0.24409448818897639</c:v>
                </c:pt>
                <c:pt idx="97">
                  <c:v>0.23622047244094488</c:v>
                </c:pt>
                <c:pt idx="98">
                  <c:v>0.2283464566929134</c:v>
                </c:pt>
                <c:pt idx="99">
                  <c:v>0.22047244094488189</c:v>
                </c:pt>
                <c:pt idx="100">
                  <c:v>0.2125984251968504</c:v>
                </c:pt>
                <c:pt idx="101">
                  <c:v>0.20472440944881889</c:v>
                </c:pt>
                <c:pt idx="102">
                  <c:v>0.19685039370078741</c:v>
                </c:pt>
                <c:pt idx="103">
                  <c:v>0.1889763779527559</c:v>
                </c:pt>
                <c:pt idx="104">
                  <c:v>0.18110236220472442</c:v>
                </c:pt>
                <c:pt idx="105">
                  <c:v>0.17322834645669291</c:v>
                </c:pt>
                <c:pt idx="106">
                  <c:v>0.16535433070866143</c:v>
                </c:pt>
                <c:pt idx="107">
                  <c:v>0.15748031496062992</c:v>
                </c:pt>
                <c:pt idx="108">
                  <c:v>0.14960629921259844</c:v>
                </c:pt>
                <c:pt idx="109">
                  <c:v>0.14173228346456693</c:v>
                </c:pt>
                <c:pt idx="110">
                  <c:v>0.13385826771653545</c:v>
                </c:pt>
                <c:pt idx="111">
                  <c:v>0.12598425196850394</c:v>
                </c:pt>
                <c:pt idx="112">
                  <c:v>0.11811023622047244</c:v>
                </c:pt>
                <c:pt idx="113">
                  <c:v>0.11023622047244094</c:v>
                </c:pt>
                <c:pt idx="114">
                  <c:v>0.10236220472440945</c:v>
                </c:pt>
                <c:pt idx="115">
                  <c:v>9.4488188976377951E-2</c:v>
                </c:pt>
                <c:pt idx="116">
                  <c:v>8.6614173228346455E-2</c:v>
                </c:pt>
                <c:pt idx="117">
                  <c:v>7.874015748031496E-2</c:v>
                </c:pt>
                <c:pt idx="118">
                  <c:v>7.0866141732283464E-2</c:v>
                </c:pt>
                <c:pt idx="119">
                  <c:v>6.2992125984251968E-2</c:v>
                </c:pt>
                <c:pt idx="120">
                  <c:v>5.5118110236220472E-2</c:v>
                </c:pt>
                <c:pt idx="121">
                  <c:v>4.7244094488188976E-2</c:v>
                </c:pt>
                <c:pt idx="122">
                  <c:v>3.937007874015748E-2</c:v>
                </c:pt>
                <c:pt idx="123">
                  <c:v>3.1496062992125984E-2</c:v>
                </c:pt>
                <c:pt idx="124">
                  <c:v>2.3622047244094488E-2</c:v>
                </c:pt>
                <c:pt idx="125">
                  <c:v>1.5748031496062992E-2</c:v>
                </c:pt>
                <c:pt idx="126">
                  <c:v>7.874015748031496E-3</c:v>
                </c:pt>
                <c:pt idx="127">
                  <c:v>0</c:v>
                </c:pt>
              </c:numCache>
            </c:numRef>
          </c:xVal>
          <c:yVal>
            <c:numRef>
              <c:f>FiltBC!$H$185:$H$312</c:f>
              <c:numCache>
                <c:formatCode>General</c:formatCode>
                <c:ptCount val="128"/>
                <c:pt idx="0">
                  <c:v>0.99944135568439674</c:v>
                </c:pt>
                <c:pt idx="1">
                  <c:v>0.99888271136879347</c:v>
                </c:pt>
                <c:pt idx="2">
                  <c:v>0.99832406705319021</c:v>
                </c:pt>
                <c:pt idx="3">
                  <c:v>0.99776542273758695</c:v>
                </c:pt>
                <c:pt idx="4">
                  <c:v>0.99720677842198369</c:v>
                </c:pt>
                <c:pt idx="5">
                  <c:v>0.99664813410638042</c:v>
                </c:pt>
                <c:pt idx="6">
                  <c:v>0.99608948979077716</c:v>
                </c:pt>
                <c:pt idx="7">
                  <c:v>0.99553084547517379</c:v>
                </c:pt>
                <c:pt idx="8">
                  <c:v>0.99497220115957052</c:v>
                </c:pt>
                <c:pt idx="9">
                  <c:v>0.99441355684396726</c:v>
                </c:pt>
                <c:pt idx="10">
                  <c:v>0.993854912528364</c:v>
                </c:pt>
                <c:pt idx="11">
                  <c:v>0.99329626821276074</c:v>
                </c:pt>
                <c:pt idx="12">
                  <c:v>0.99273762389715747</c:v>
                </c:pt>
                <c:pt idx="13">
                  <c:v>0.99217897958155421</c:v>
                </c:pt>
                <c:pt idx="14">
                  <c:v>0.99162033526595095</c:v>
                </c:pt>
                <c:pt idx="15">
                  <c:v>0.99106169095034768</c:v>
                </c:pt>
                <c:pt idx="16">
                  <c:v>0.99050304663474442</c:v>
                </c:pt>
                <c:pt idx="17">
                  <c:v>0.98994440231914116</c:v>
                </c:pt>
                <c:pt idx="18">
                  <c:v>0.9893857580035379</c:v>
                </c:pt>
                <c:pt idx="19">
                  <c:v>0.98882711368793463</c:v>
                </c:pt>
                <c:pt idx="20">
                  <c:v>0.98826846937233137</c:v>
                </c:pt>
                <c:pt idx="21">
                  <c:v>0.98770982505672811</c:v>
                </c:pt>
                <c:pt idx="22">
                  <c:v>0.98715118074112473</c:v>
                </c:pt>
                <c:pt idx="23">
                  <c:v>0.98659253642552147</c:v>
                </c:pt>
                <c:pt idx="24">
                  <c:v>0.98603389210991821</c:v>
                </c:pt>
                <c:pt idx="25">
                  <c:v>0.98547524779431495</c:v>
                </c:pt>
                <c:pt idx="26">
                  <c:v>0.98491660347871168</c:v>
                </c:pt>
                <c:pt idx="27">
                  <c:v>0.98435795916310842</c:v>
                </c:pt>
                <c:pt idx="28">
                  <c:v>0.98379931484750516</c:v>
                </c:pt>
                <c:pt idx="29">
                  <c:v>0.98324067053190189</c:v>
                </c:pt>
                <c:pt idx="30">
                  <c:v>0.98268202621629863</c:v>
                </c:pt>
                <c:pt idx="31">
                  <c:v>0.98212338190069537</c:v>
                </c:pt>
                <c:pt idx="32">
                  <c:v>0.98156473758509211</c:v>
                </c:pt>
                <c:pt idx="33">
                  <c:v>0.98100609326948884</c:v>
                </c:pt>
                <c:pt idx="34">
                  <c:v>0.98044744895388558</c:v>
                </c:pt>
                <c:pt idx="35">
                  <c:v>0.97988880463828232</c:v>
                </c:pt>
                <c:pt idx="36">
                  <c:v>0.97933016032267894</c:v>
                </c:pt>
                <c:pt idx="37">
                  <c:v>0.97877151600707568</c:v>
                </c:pt>
                <c:pt idx="38">
                  <c:v>0.97821287169147242</c:v>
                </c:pt>
                <c:pt idx="39">
                  <c:v>0.97765422737586916</c:v>
                </c:pt>
                <c:pt idx="40">
                  <c:v>0.97709558306026589</c:v>
                </c:pt>
                <c:pt idx="41">
                  <c:v>0.97653693874466263</c:v>
                </c:pt>
                <c:pt idx="42">
                  <c:v>0.97597829442905937</c:v>
                </c:pt>
                <c:pt idx="43">
                  <c:v>0.9754196501134561</c:v>
                </c:pt>
                <c:pt idx="44">
                  <c:v>0.97486100579785284</c:v>
                </c:pt>
                <c:pt idx="45">
                  <c:v>0.97430236148224958</c:v>
                </c:pt>
                <c:pt idx="46">
                  <c:v>0.97374371716664632</c:v>
                </c:pt>
                <c:pt idx="47">
                  <c:v>0.97318507285104305</c:v>
                </c:pt>
                <c:pt idx="48">
                  <c:v>0.97262642853543979</c:v>
                </c:pt>
                <c:pt idx="49">
                  <c:v>0.97206778421983653</c:v>
                </c:pt>
                <c:pt idx="50">
                  <c:v>0.97150913990423327</c:v>
                </c:pt>
                <c:pt idx="51">
                  <c:v>0.97095049558862989</c:v>
                </c:pt>
                <c:pt idx="52">
                  <c:v>0.97039185127302663</c:v>
                </c:pt>
                <c:pt idx="53">
                  <c:v>0.96983320695742337</c:v>
                </c:pt>
                <c:pt idx="54">
                  <c:v>0.9692745626418201</c:v>
                </c:pt>
                <c:pt idx="55">
                  <c:v>0.96871591832621684</c:v>
                </c:pt>
                <c:pt idx="56">
                  <c:v>0.96815727401061358</c:v>
                </c:pt>
                <c:pt idx="57">
                  <c:v>0.96759862969501031</c:v>
                </c:pt>
                <c:pt idx="58">
                  <c:v>0.96703998537940705</c:v>
                </c:pt>
                <c:pt idx="59">
                  <c:v>0.96648134106380379</c:v>
                </c:pt>
                <c:pt idx="60">
                  <c:v>0.96592269674820053</c:v>
                </c:pt>
                <c:pt idx="61">
                  <c:v>0.96536405243259726</c:v>
                </c:pt>
                <c:pt idx="62">
                  <c:v>0.964805408116994</c:v>
                </c:pt>
                <c:pt idx="63">
                  <c:v>0.96424676380139074</c:v>
                </c:pt>
                <c:pt idx="64">
                  <c:v>0.96368811948578748</c:v>
                </c:pt>
                <c:pt idx="65">
                  <c:v>0.96312947517018421</c:v>
                </c:pt>
                <c:pt idx="66">
                  <c:v>0.96257083085458095</c:v>
                </c:pt>
                <c:pt idx="67">
                  <c:v>0.96201218653897769</c:v>
                </c:pt>
                <c:pt idx="68">
                  <c:v>0.96145354222337431</c:v>
                </c:pt>
                <c:pt idx="69">
                  <c:v>0.96089489790777105</c:v>
                </c:pt>
                <c:pt idx="70">
                  <c:v>0.96033625359216779</c:v>
                </c:pt>
                <c:pt idx="71">
                  <c:v>0.95977760927656453</c:v>
                </c:pt>
                <c:pt idx="72">
                  <c:v>0.95921896496096126</c:v>
                </c:pt>
                <c:pt idx="73">
                  <c:v>0.958660320645358</c:v>
                </c:pt>
                <c:pt idx="74">
                  <c:v>0.95810167632975474</c:v>
                </c:pt>
                <c:pt idx="75">
                  <c:v>0.95754303201415147</c:v>
                </c:pt>
                <c:pt idx="76">
                  <c:v>0.95698438769854821</c:v>
                </c:pt>
                <c:pt idx="77">
                  <c:v>0.95642574338294495</c:v>
                </c:pt>
                <c:pt idx="78">
                  <c:v>0.95586709906734169</c:v>
                </c:pt>
                <c:pt idx="79">
                  <c:v>0.95530845475173842</c:v>
                </c:pt>
                <c:pt idx="80">
                  <c:v>0.95474981043613516</c:v>
                </c:pt>
                <c:pt idx="81">
                  <c:v>0.9541911661205319</c:v>
                </c:pt>
                <c:pt idx="82">
                  <c:v>0.95363252180492863</c:v>
                </c:pt>
                <c:pt idx="83">
                  <c:v>0.95307387748932526</c:v>
                </c:pt>
                <c:pt idx="84">
                  <c:v>0.952515233173722</c:v>
                </c:pt>
                <c:pt idx="85">
                  <c:v>0.95195658885811874</c:v>
                </c:pt>
                <c:pt idx="86">
                  <c:v>0.95139794454251547</c:v>
                </c:pt>
                <c:pt idx="87">
                  <c:v>0.94488188976377951</c:v>
                </c:pt>
                <c:pt idx="88">
                  <c:v>0.93700787401574803</c:v>
                </c:pt>
                <c:pt idx="89">
                  <c:v>0.92913385826771644</c:v>
                </c:pt>
                <c:pt idx="90">
                  <c:v>0.92125984251968496</c:v>
                </c:pt>
                <c:pt idx="91">
                  <c:v>0.91338582677165348</c:v>
                </c:pt>
                <c:pt idx="92">
                  <c:v>0.90551181102362199</c:v>
                </c:pt>
                <c:pt idx="93">
                  <c:v>0.89763779527559051</c:v>
                </c:pt>
                <c:pt idx="94">
                  <c:v>0.88976377952755903</c:v>
                </c:pt>
                <c:pt idx="95">
                  <c:v>0.88188976377952755</c:v>
                </c:pt>
                <c:pt idx="96">
                  <c:v>0.87401574803149606</c:v>
                </c:pt>
                <c:pt idx="97">
                  <c:v>0.86614173228346458</c:v>
                </c:pt>
                <c:pt idx="98">
                  <c:v>0.8582677165354331</c:v>
                </c:pt>
                <c:pt idx="99">
                  <c:v>0.85039370078740162</c:v>
                </c:pt>
                <c:pt idx="100">
                  <c:v>0.84251968503937003</c:v>
                </c:pt>
                <c:pt idx="101">
                  <c:v>0.83464566929133854</c:v>
                </c:pt>
                <c:pt idx="102">
                  <c:v>0.82677165354330706</c:v>
                </c:pt>
                <c:pt idx="103">
                  <c:v>0.81889763779527558</c:v>
                </c:pt>
                <c:pt idx="104">
                  <c:v>0.8110236220472441</c:v>
                </c:pt>
                <c:pt idx="105">
                  <c:v>0.80314960629921262</c:v>
                </c:pt>
                <c:pt idx="106">
                  <c:v>0.79527559055118102</c:v>
                </c:pt>
                <c:pt idx="107">
                  <c:v>0.78740157480314954</c:v>
                </c:pt>
                <c:pt idx="108">
                  <c:v>0.77952755905511806</c:v>
                </c:pt>
                <c:pt idx="109">
                  <c:v>0.77165354330708658</c:v>
                </c:pt>
                <c:pt idx="110">
                  <c:v>0.76377952755905509</c:v>
                </c:pt>
                <c:pt idx="111">
                  <c:v>0.75590551181102361</c:v>
                </c:pt>
                <c:pt idx="112">
                  <c:v>0.74803149606299213</c:v>
                </c:pt>
                <c:pt idx="113">
                  <c:v>0.74015748031496065</c:v>
                </c:pt>
                <c:pt idx="114">
                  <c:v>0.73228346456692917</c:v>
                </c:pt>
                <c:pt idx="115">
                  <c:v>0.72440944881889757</c:v>
                </c:pt>
                <c:pt idx="116">
                  <c:v>0.71653543307086609</c:v>
                </c:pt>
                <c:pt idx="117">
                  <c:v>0.70866141732283461</c:v>
                </c:pt>
                <c:pt idx="118">
                  <c:v>0.70078740157480313</c:v>
                </c:pt>
                <c:pt idx="119">
                  <c:v>0.69291338582677164</c:v>
                </c:pt>
                <c:pt idx="120">
                  <c:v>0.68503937007874016</c:v>
                </c:pt>
                <c:pt idx="121">
                  <c:v>0.5595511191022382</c:v>
                </c:pt>
                <c:pt idx="122">
                  <c:v>0.3581127162254325</c:v>
                </c:pt>
                <c:pt idx="123">
                  <c:v>0.20143840287680573</c:v>
                </c:pt>
                <c:pt idx="124">
                  <c:v>8.9528179056358126E-2</c:v>
                </c:pt>
                <c:pt idx="125">
                  <c:v>2.2382044764089531E-2</c:v>
                </c:pt>
                <c:pt idx="126">
                  <c:v>0</c:v>
                </c:pt>
                <c:pt idx="127">
                  <c:v>0</c:v>
                </c:pt>
              </c:numCache>
            </c:numRef>
          </c:yVal>
          <c:smooth val="0"/>
        </c:ser>
        <c:ser>
          <c:idx val="2"/>
          <c:order val="2"/>
          <c:spPr>
            <a:ln w="28575">
              <a:noFill/>
            </a:ln>
          </c:spPr>
          <c:marker>
            <c:symbol val="triangle"/>
            <c:size val="2"/>
          </c:marker>
          <c:xVal>
            <c:numRef>
              <c:f>FiltBC!$B$185:$B$312</c:f>
              <c:numCache>
                <c:formatCode>General</c:formatCode>
                <c:ptCount val="128"/>
                <c:pt idx="0">
                  <c:v>1</c:v>
                </c:pt>
                <c:pt idx="1">
                  <c:v>0.99212598425196852</c:v>
                </c:pt>
                <c:pt idx="2">
                  <c:v>0.98425196850393704</c:v>
                </c:pt>
                <c:pt idx="3">
                  <c:v>0.97637795275590555</c:v>
                </c:pt>
                <c:pt idx="4">
                  <c:v>0.96850393700787396</c:v>
                </c:pt>
                <c:pt idx="5">
                  <c:v>0.96062992125984248</c:v>
                </c:pt>
                <c:pt idx="6">
                  <c:v>0.952755905511811</c:v>
                </c:pt>
                <c:pt idx="7">
                  <c:v>0.94488188976377951</c:v>
                </c:pt>
                <c:pt idx="8">
                  <c:v>0.93700787401574803</c:v>
                </c:pt>
                <c:pt idx="9">
                  <c:v>0.92913385826771655</c:v>
                </c:pt>
                <c:pt idx="10">
                  <c:v>0.92125984251968507</c:v>
                </c:pt>
                <c:pt idx="11">
                  <c:v>0.91338582677165359</c:v>
                </c:pt>
                <c:pt idx="12">
                  <c:v>0.90551181102362199</c:v>
                </c:pt>
                <c:pt idx="13">
                  <c:v>0.89763779527559051</c:v>
                </c:pt>
                <c:pt idx="14">
                  <c:v>0.88976377952755903</c:v>
                </c:pt>
                <c:pt idx="15">
                  <c:v>0.88188976377952755</c:v>
                </c:pt>
                <c:pt idx="16">
                  <c:v>0.87401574803149606</c:v>
                </c:pt>
                <c:pt idx="17">
                  <c:v>0.86614173228346458</c:v>
                </c:pt>
                <c:pt idx="18">
                  <c:v>0.8582677165354331</c:v>
                </c:pt>
                <c:pt idx="19">
                  <c:v>0.85039370078740162</c:v>
                </c:pt>
                <c:pt idx="20">
                  <c:v>0.84251968503937003</c:v>
                </c:pt>
                <c:pt idx="21">
                  <c:v>0.83464566929133854</c:v>
                </c:pt>
                <c:pt idx="22">
                  <c:v>0.82677165354330706</c:v>
                </c:pt>
                <c:pt idx="23">
                  <c:v>0.81889763779527558</c:v>
                </c:pt>
                <c:pt idx="24">
                  <c:v>0.8110236220472441</c:v>
                </c:pt>
                <c:pt idx="25">
                  <c:v>0.80314960629921262</c:v>
                </c:pt>
                <c:pt idx="26">
                  <c:v>0.79527559055118113</c:v>
                </c:pt>
                <c:pt idx="27">
                  <c:v>0.78740157480314965</c:v>
                </c:pt>
                <c:pt idx="28">
                  <c:v>0.77952755905511806</c:v>
                </c:pt>
                <c:pt idx="29">
                  <c:v>0.77165354330708658</c:v>
                </c:pt>
                <c:pt idx="30">
                  <c:v>0.76377952755905509</c:v>
                </c:pt>
                <c:pt idx="31">
                  <c:v>0.75590551181102361</c:v>
                </c:pt>
                <c:pt idx="32">
                  <c:v>0.74803149606299213</c:v>
                </c:pt>
                <c:pt idx="33">
                  <c:v>0.74015748031496065</c:v>
                </c:pt>
                <c:pt idx="34">
                  <c:v>0.73228346456692917</c:v>
                </c:pt>
                <c:pt idx="35">
                  <c:v>0.72440944881889768</c:v>
                </c:pt>
                <c:pt idx="36">
                  <c:v>0.71653543307086609</c:v>
                </c:pt>
                <c:pt idx="37">
                  <c:v>0.70866141732283461</c:v>
                </c:pt>
                <c:pt idx="38">
                  <c:v>0.70078740157480313</c:v>
                </c:pt>
                <c:pt idx="39">
                  <c:v>0.69291338582677164</c:v>
                </c:pt>
                <c:pt idx="40">
                  <c:v>0.68503937007874016</c:v>
                </c:pt>
                <c:pt idx="41">
                  <c:v>0.67716535433070868</c:v>
                </c:pt>
                <c:pt idx="42">
                  <c:v>0.6692913385826772</c:v>
                </c:pt>
                <c:pt idx="43">
                  <c:v>0.66141732283464572</c:v>
                </c:pt>
                <c:pt idx="44">
                  <c:v>0.65354330708661412</c:v>
                </c:pt>
                <c:pt idx="45">
                  <c:v>0.64566929133858264</c:v>
                </c:pt>
                <c:pt idx="46">
                  <c:v>0.63779527559055116</c:v>
                </c:pt>
                <c:pt idx="47">
                  <c:v>0.62992125984251968</c:v>
                </c:pt>
                <c:pt idx="48">
                  <c:v>0.62204724409448819</c:v>
                </c:pt>
                <c:pt idx="49">
                  <c:v>0.61417322834645671</c:v>
                </c:pt>
                <c:pt idx="50">
                  <c:v>0.60629921259842523</c:v>
                </c:pt>
                <c:pt idx="51">
                  <c:v>0.59842519685039375</c:v>
                </c:pt>
                <c:pt idx="52">
                  <c:v>0.59055118110236215</c:v>
                </c:pt>
                <c:pt idx="53">
                  <c:v>0.58267716535433067</c:v>
                </c:pt>
                <c:pt idx="54">
                  <c:v>0.57480314960629919</c:v>
                </c:pt>
                <c:pt idx="55">
                  <c:v>0.56692913385826771</c:v>
                </c:pt>
                <c:pt idx="56">
                  <c:v>0.55905511811023623</c:v>
                </c:pt>
                <c:pt idx="57">
                  <c:v>0.55118110236220474</c:v>
                </c:pt>
                <c:pt idx="58">
                  <c:v>0.54330708661417326</c:v>
                </c:pt>
                <c:pt idx="59">
                  <c:v>0.53543307086614178</c:v>
                </c:pt>
                <c:pt idx="60">
                  <c:v>0.52755905511811019</c:v>
                </c:pt>
                <c:pt idx="61">
                  <c:v>0.51968503937007871</c:v>
                </c:pt>
                <c:pt idx="62">
                  <c:v>0.51181102362204722</c:v>
                </c:pt>
                <c:pt idx="63">
                  <c:v>0.50393700787401574</c:v>
                </c:pt>
                <c:pt idx="64">
                  <c:v>0.49606299212598426</c:v>
                </c:pt>
                <c:pt idx="65">
                  <c:v>0.48818897637795278</c:v>
                </c:pt>
                <c:pt idx="66">
                  <c:v>0.48031496062992124</c:v>
                </c:pt>
                <c:pt idx="67">
                  <c:v>0.47244094488188976</c:v>
                </c:pt>
                <c:pt idx="68">
                  <c:v>0.46456692913385828</c:v>
                </c:pt>
                <c:pt idx="69">
                  <c:v>0.45669291338582679</c:v>
                </c:pt>
                <c:pt idx="70">
                  <c:v>0.44881889763779526</c:v>
                </c:pt>
                <c:pt idx="71">
                  <c:v>0.44094488188976377</c:v>
                </c:pt>
                <c:pt idx="72">
                  <c:v>0.43307086614173229</c:v>
                </c:pt>
                <c:pt idx="73">
                  <c:v>0.42519685039370081</c:v>
                </c:pt>
                <c:pt idx="74">
                  <c:v>0.41732283464566927</c:v>
                </c:pt>
                <c:pt idx="75">
                  <c:v>0.40944881889763779</c:v>
                </c:pt>
                <c:pt idx="76">
                  <c:v>0.40157480314960631</c:v>
                </c:pt>
                <c:pt idx="77">
                  <c:v>0.39370078740157483</c:v>
                </c:pt>
                <c:pt idx="78">
                  <c:v>0.38582677165354329</c:v>
                </c:pt>
                <c:pt idx="79">
                  <c:v>0.37795275590551181</c:v>
                </c:pt>
                <c:pt idx="80">
                  <c:v>0.37007874015748032</c:v>
                </c:pt>
                <c:pt idx="81">
                  <c:v>0.36220472440944884</c:v>
                </c:pt>
                <c:pt idx="82">
                  <c:v>0.3543307086614173</c:v>
                </c:pt>
                <c:pt idx="83">
                  <c:v>0.34645669291338582</c:v>
                </c:pt>
                <c:pt idx="84">
                  <c:v>0.33858267716535434</c:v>
                </c:pt>
                <c:pt idx="85">
                  <c:v>0.33070866141732286</c:v>
                </c:pt>
                <c:pt idx="86">
                  <c:v>0.32283464566929132</c:v>
                </c:pt>
                <c:pt idx="87">
                  <c:v>0.31496062992125984</c:v>
                </c:pt>
                <c:pt idx="88">
                  <c:v>0.30708661417322836</c:v>
                </c:pt>
                <c:pt idx="89">
                  <c:v>0.29921259842519687</c:v>
                </c:pt>
                <c:pt idx="90">
                  <c:v>0.29133858267716534</c:v>
                </c:pt>
                <c:pt idx="91">
                  <c:v>0.28346456692913385</c:v>
                </c:pt>
                <c:pt idx="92">
                  <c:v>0.27559055118110237</c:v>
                </c:pt>
                <c:pt idx="93">
                  <c:v>0.26771653543307089</c:v>
                </c:pt>
                <c:pt idx="94">
                  <c:v>0.25984251968503935</c:v>
                </c:pt>
                <c:pt idx="95">
                  <c:v>0.25196850393700787</c:v>
                </c:pt>
                <c:pt idx="96">
                  <c:v>0.24409448818897639</c:v>
                </c:pt>
                <c:pt idx="97">
                  <c:v>0.23622047244094488</c:v>
                </c:pt>
                <c:pt idx="98">
                  <c:v>0.2283464566929134</c:v>
                </c:pt>
                <c:pt idx="99">
                  <c:v>0.22047244094488189</c:v>
                </c:pt>
                <c:pt idx="100">
                  <c:v>0.2125984251968504</c:v>
                </c:pt>
                <c:pt idx="101">
                  <c:v>0.20472440944881889</c:v>
                </c:pt>
                <c:pt idx="102">
                  <c:v>0.19685039370078741</c:v>
                </c:pt>
                <c:pt idx="103">
                  <c:v>0.1889763779527559</c:v>
                </c:pt>
                <c:pt idx="104">
                  <c:v>0.18110236220472442</c:v>
                </c:pt>
                <c:pt idx="105">
                  <c:v>0.17322834645669291</c:v>
                </c:pt>
                <c:pt idx="106">
                  <c:v>0.16535433070866143</c:v>
                </c:pt>
                <c:pt idx="107">
                  <c:v>0.15748031496062992</c:v>
                </c:pt>
                <c:pt idx="108">
                  <c:v>0.14960629921259844</c:v>
                </c:pt>
                <c:pt idx="109">
                  <c:v>0.14173228346456693</c:v>
                </c:pt>
                <c:pt idx="110">
                  <c:v>0.13385826771653545</c:v>
                </c:pt>
                <c:pt idx="111">
                  <c:v>0.12598425196850394</c:v>
                </c:pt>
                <c:pt idx="112">
                  <c:v>0.11811023622047244</c:v>
                </c:pt>
                <c:pt idx="113">
                  <c:v>0.11023622047244094</c:v>
                </c:pt>
                <c:pt idx="114">
                  <c:v>0.10236220472440945</c:v>
                </c:pt>
                <c:pt idx="115">
                  <c:v>9.4488188976377951E-2</c:v>
                </c:pt>
                <c:pt idx="116">
                  <c:v>8.6614173228346455E-2</c:v>
                </c:pt>
                <c:pt idx="117">
                  <c:v>7.874015748031496E-2</c:v>
                </c:pt>
                <c:pt idx="118">
                  <c:v>7.0866141732283464E-2</c:v>
                </c:pt>
                <c:pt idx="119">
                  <c:v>6.2992125984251968E-2</c:v>
                </c:pt>
                <c:pt idx="120">
                  <c:v>5.5118110236220472E-2</c:v>
                </c:pt>
                <c:pt idx="121">
                  <c:v>4.7244094488188976E-2</c:v>
                </c:pt>
                <c:pt idx="122">
                  <c:v>3.937007874015748E-2</c:v>
                </c:pt>
                <c:pt idx="123">
                  <c:v>3.1496062992125984E-2</c:v>
                </c:pt>
                <c:pt idx="124">
                  <c:v>2.3622047244094488E-2</c:v>
                </c:pt>
                <c:pt idx="125">
                  <c:v>1.5748031496062992E-2</c:v>
                </c:pt>
                <c:pt idx="126">
                  <c:v>7.874015748031496E-3</c:v>
                </c:pt>
                <c:pt idx="127">
                  <c:v>0</c:v>
                </c:pt>
              </c:numCache>
            </c:numRef>
          </c:xVal>
          <c:yVal>
            <c:numRef>
              <c:f>FiltBC!$N$185:$N$312</c:f>
              <c:numCache>
                <c:formatCode>General</c:formatCode>
                <c:ptCount val="128"/>
                <c:pt idx="0">
                  <c:v>0.99930169460549589</c:v>
                </c:pt>
                <c:pt idx="1">
                  <c:v>0.99860338921099179</c:v>
                </c:pt>
                <c:pt idx="2">
                  <c:v>0.99790508381648779</c:v>
                </c:pt>
                <c:pt idx="3">
                  <c:v>0.99720677842198369</c:v>
                </c:pt>
                <c:pt idx="4">
                  <c:v>0.99650847302747958</c:v>
                </c:pt>
                <c:pt idx="5">
                  <c:v>0.99581016763297547</c:v>
                </c:pt>
                <c:pt idx="6">
                  <c:v>0.99511186223847137</c:v>
                </c:pt>
                <c:pt idx="7">
                  <c:v>0.99441355684396726</c:v>
                </c:pt>
                <c:pt idx="8">
                  <c:v>0.99371525144946327</c:v>
                </c:pt>
                <c:pt idx="9">
                  <c:v>0.99301694605495916</c:v>
                </c:pt>
                <c:pt idx="10">
                  <c:v>0.99231864066045505</c:v>
                </c:pt>
                <c:pt idx="11">
                  <c:v>0.99162033526595095</c:v>
                </c:pt>
                <c:pt idx="12">
                  <c:v>0.99092202987144684</c:v>
                </c:pt>
                <c:pt idx="13">
                  <c:v>0.99022372447694273</c:v>
                </c:pt>
                <c:pt idx="14">
                  <c:v>0.98952541908243874</c:v>
                </c:pt>
                <c:pt idx="15">
                  <c:v>0.98882711368793463</c:v>
                </c:pt>
                <c:pt idx="16">
                  <c:v>0.98812880829343053</c:v>
                </c:pt>
                <c:pt idx="17">
                  <c:v>0.98743050289892642</c:v>
                </c:pt>
                <c:pt idx="18">
                  <c:v>0.98673219750442231</c:v>
                </c:pt>
                <c:pt idx="19">
                  <c:v>0.98603389210991821</c:v>
                </c:pt>
                <c:pt idx="20">
                  <c:v>0.9853355867154141</c:v>
                </c:pt>
                <c:pt idx="21">
                  <c:v>0.98463728132091011</c:v>
                </c:pt>
                <c:pt idx="22">
                  <c:v>0.983938975926406</c:v>
                </c:pt>
                <c:pt idx="23">
                  <c:v>0.98324067053190189</c:v>
                </c:pt>
                <c:pt idx="24">
                  <c:v>0.98254236513739779</c:v>
                </c:pt>
                <c:pt idx="25">
                  <c:v>0.98184405974289368</c:v>
                </c:pt>
                <c:pt idx="26">
                  <c:v>0.98114575434838969</c:v>
                </c:pt>
                <c:pt idx="27">
                  <c:v>0.98044744895388558</c:v>
                </c:pt>
                <c:pt idx="28">
                  <c:v>0.97974914355938147</c:v>
                </c:pt>
                <c:pt idx="29">
                  <c:v>0.97905083816487737</c:v>
                </c:pt>
                <c:pt idx="30">
                  <c:v>0.97835253277037326</c:v>
                </c:pt>
                <c:pt idx="31">
                  <c:v>0.97765422737586916</c:v>
                </c:pt>
                <c:pt idx="32">
                  <c:v>0.97695592198136505</c:v>
                </c:pt>
                <c:pt idx="33">
                  <c:v>0.97625761658686105</c:v>
                </c:pt>
                <c:pt idx="34">
                  <c:v>0.97555931119235695</c:v>
                </c:pt>
                <c:pt idx="35">
                  <c:v>0.97486100579785284</c:v>
                </c:pt>
                <c:pt idx="36">
                  <c:v>0.97416270040334874</c:v>
                </c:pt>
                <c:pt idx="37">
                  <c:v>0.97346439500884463</c:v>
                </c:pt>
                <c:pt idx="38">
                  <c:v>0.97276608961434063</c:v>
                </c:pt>
                <c:pt idx="39">
                  <c:v>0.97206778421983653</c:v>
                </c:pt>
                <c:pt idx="40">
                  <c:v>0.97136947882533242</c:v>
                </c:pt>
                <c:pt idx="41">
                  <c:v>0.97067117343082832</c:v>
                </c:pt>
                <c:pt idx="42">
                  <c:v>0.96997286803632421</c:v>
                </c:pt>
                <c:pt idx="43">
                  <c:v>0.9692745626418201</c:v>
                </c:pt>
                <c:pt idx="44">
                  <c:v>0.968576257247316</c:v>
                </c:pt>
                <c:pt idx="45">
                  <c:v>0.967877951852812</c:v>
                </c:pt>
                <c:pt idx="46">
                  <c:v>0.9671796464583079</c:v>
                </c:pt>
                <c:pt idx="47">
                  <c:v>0.96648134106380379</c:v>
                </c:pt>
                <c:pt idx="48">
                  <c:v>0.96578303566929968</c:v>
                </c:pt>
                <c:pt idx="49">
                  <c:v>0.96508473027479558</c:v>
                </c:pt>
                <c:pt idx="50">
                  <c:v>0.96443297857325849</c:v>
                </c:pt>
                <c:pt idx="51">
                  <c:v>0.96396744164358905</c:v>
                </c:pt>
                <c:pt idx="52">
                  <c:v>0.96350190471391972</c:v>
                </c:pt>
                <c:pt idx="53">
                  <c:v>0.96303636778425028</c:v>
                </c:pt>
                <c:pt idx="54">
                  <c:v>0.96257083085458095</c:v>
                </c:pt>
                <c:pt idx="55">
                  <c:v>0.96210529392491151</c:v>
                </c:pt>
                <c:pt idx="56">
                  <c:v>0.96163975699524207</c:v>
                </c:pt>
                <c:pt idx="57">
                  <c:v>0.96117422006557274</c:v>
                </c:pt>
                <c:pt idx="58">
                  <c:v>0.9607086831359033</c:v>
                </c:pt>
                <c:pt idx="59">
                  <c:v>0.96024314620623397</c:v>
                </c:pt>
                <c:pt idx="60">
                  <c:v>0.95977760927656453</c:v>
                </c:pt>
                <c:pt idx="61">
                  <c:v>0.95931207234689519</c:v>
                </c:pt>
                <c:pt idx="62">
                  <c:v>0.95884653541722575</c:v>
                </c:pt>
                <c:pt idx="63">
                  <c:v>0.95838099848755642</c:v>
                </c:pt>
                <c:pt idx="64">
                  <c:v>0.95791546155788698</c:v>
                </c:pt>
                <c:pt idx="65">
                  <c:v>0.95744992462821754</c:v>
                </c:pt>
                <c:pt idx="66">
                  <c:v>0.95698438769854821</c:v>
                </c:pt>
                <c:pt idx="67">
                  <c:v>0.95651885076887877</c:v>
                </c:pt>
                <c:pt idx="68">
                  <c:v>0.95605331383920944</c:v>
                </c:pt>
                <c:pt idx="69">
                  <c:v>0.95558777690954</c:v>
                </c:pt>
                <c:pt idx="70">
                  <c:v>0.95512223997987067</c:v>
                </c:pt>
                <c:pt idx="71">
                  <c:v>0.95465670305020123</c:v>
                </c:pt>
                <c:pt idx="72">
                  <c:v>0.9541911661205319</c:v>
                </c:pt>
                <c:pt idx="73">
                  <c:v>0.95372562919086246</c:v>
                </c:pt>
                <c:pt idx="74">
                  <c:v>0.95326009226119301</c:v>
                </c:pt>
                <c:pt idx="75">
                  <c:v>0.95279455533152368</c:v>
                </c:pt>
                <c:pt idx="76">
                  <c:v>0.95232901840185424</c:v>
                </c:pt>
                <c:pt idx="77">
                  <c:v>0.95186348147218491</c:v>
                </c:pt>
                <c:pt idx="78">
                  <c:v>0.95139794454251547</c:v>
                </c:pt>
                <c:pt idx="79">
                  <c:v>0.9461942257217848</c:v>
                </c:pt>
                <c:pt idx="80">
                  <c:v>0.93963254593175849</c:v>
                </c:pt>
                <c:pt idx="81">
                  <c:v>0.93307086614173218</c:v>
                </c:pt>
                <c:pt idx="82">
                  <c:v>0.92650918635170609</c:v>
                </c:pt>
                <c:pt idx="83">
                  <c:v>0.91994750656167978</c:v>
                </c:pt>
                <c:pt idx="84">
                  <c:v>0.91338582677165348</c:v>
                </c:pt>
                <c:pt idx="85">
                  <c:v>0.90682414698162717</c:v>
                </c:pt>
                <c:pt idx="86">
                  <c:v>0.90026246719160108</c:v>
                </c:pt>
                <c:pt idx="87">
                  <c:v>0.89370078740157477</c:v>
                </c:pt>
                <c:pt idx="88">
                  <c:v>0.88713910761154857</c:v>
                </c:pt>
                <c:pt idx="89">
                  <c:v>0.88057742782152226</c:v>
                </c:pt>
                <c:pt idx="90">
                  <c:v>0.87401574803149606</c:v>
                </c:pt>
                <c:pt idx="91">
                  <c:v>0.86745406824146976</c:v>
                </c:pt>
                <c:pt idx="92">
                  <c:v>0.86089238845144356</c:v>
                </c:pt>
                <c:pt idx="93">
                  <c:v>0.85433070866141725</c:v>
                </c:pt>
                <c:pt idx="94">
                  <c:v>0.84776902887139105</c:v>
                </c:pt>
                <c:pt idx="95">
                  <c:v>0.84120734908136485</c:v>
                </c:pt>
                <c:pt idx="96">
                  <c:v>0.83464566929133854</c:v>
                </c:pt>
                <c:pt idx="97">
                  <c:v>0.82808398950131235</c:v>
                </c:pt>
                <c:pt idx="98">
                  <c:v>0.82152230971128604</c:v>
                </c:pt>
                <c:pt idx="99">
                  <c:v>0.81496062992125984</c:v>
                </c:pt>
                <c:pt idx="100">
                  <c:v>0.80839895013123353</c:v>
                </c:pt>
                <c:pt idx="101">
                  <c:v>0.80183727034120733</c:v>
                </c:pt>
                <c:pt idx="102">
                  <c:v>0.79527559055118102</c:v>
                </c:pt>
                <c:pt idx="103">
                  <c:v>0.78871391076115482</c:v>
                </c:pt>
                <c:pt idx="104">
                  <c:v>0.78215223097112863</c:v>
                </c:pt>
                <c:pt idx="105">
                  <c:v>0.77559055118110232</c:v>
                </c:pt>
                <c:pt idx="106">
                  <c:v>0.76902887139107612</c:v>
                </c:pt>
                <c:pt idx="107">
                  <c:v>0.76246719160104981</c:v>
                </c:pt>
                <c:pt idx="108">
                  <c:v>0.75590551181102361</c:v>
                </c:pt>
                <c:pt idx="109">
                  <c:v>0.7493438320209973</c:v>
                </c:pt>
                <c:pt idx="110">
                  <c:v>0.7427821522309711</c:v>
                </c:pt>
                <c:pt idx="111">
                  <c:v>0.73622047244094491</c:v>
                </c:pt>
                <c:pt idx="112">
                  <c:v>0.7296587926509186</c:v>
                </c:pt>
                <c:pt idx="113">
                  <c:v>0.7230971128608924</c:v>
                </c:pt>
                <c:pt idx="114">
                  <c:v>0.71653543307086609</c:v>
                </c:pt>
                <c:pt idx="115">
                  <c:v>0.70997375328083989</c:v>
                </c:pt>
                <c:pt idx="116">
                  <c:v>0.70341207349081358</c:v>
                </c:pt>
                <c:pt idx="117">
                  <c:v>0.69685039370078738</c:v>
                </c:pt>
                <c:pt idx="118">
                  <c:v>0.69028871391076119</c:v>
                </c:pt>
                <c:pt idx="119">
                  <c:v>0.68372703412073488</c:v>
                </c:pt>
                <c:pt idx="120">
                  <c:v>0.67716535433070868</c:v>
                </c:pt>
                <c:pt idx="121">
                  <c:v>0.6186635619527403</c:v>
                </c:pt>
                <c:pt idx="122">
                  <c:v>0.49493084956219224</c:v>
                </c:pt>
                <c:pt idx="123">
                  <c:v>0.37119813717164418</c:v>
                </c:pt>
                <c:pt idx="124">
                  <c:v>0.24746542478109612</c:v>
                </c:pt>
                <c:pt idx="125">
                  <c:v>0.12373271239054806</c:v>
                </c:pt>
                <c:pt idx="126">
                  <c:v>0</c:v>
                </c:pt>
                <c:pt idx="127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3325952"/>
        <c:axId val="303327488"/>
      </c:scatterChart>
      <c:valAx>
        <c:axId val="3033259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03327488"/>
        <c:crosses val="autoZero"/>
        <c:crossBetween val="midCat"/>
      </c:valAx>
      <c:valAx>
        <c:axId val="3033274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0332595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2"/>
          </c:marker>
          <c:trendline>
            <c:trendlineType val="power"/>
            <c:dispRSqr val="0"/>
            <c:dispEq val="1"/>
            <c:trendlineLbl>
              <c:numFmt formatCode="General" sourceLinked="0"/>
            </c:trendlineLbl>
          </c:trendline>
          <c:xVal>
            <c:numRef>
              <c:f>FiltBC!$Q$202:$Q$207</c:f>
              <c:numCache>
                <c:formatCode>General</c:formatCode>
                <c:ptCount val="6"/>
                <c:pt idx="0">
                  <c:v>126</c:v>
                </c:pt>
                <c:pt idx="1">
                  <c:v>120</c:v>
                </c:pt>
                <c:pt idx="2">
                  <c:v>115</c:v>
                </c:pt>
                <c:pt idx="3">
                  <c:v>112</c:v>
                </c:pt>
                <c:pt idx="4">
                  <c:v>105</c:v>
                </c:pt>
                <c:pt idx="5">
                  <c:v>96</c:v>
                </c:pt>
              </c:numCache>
            </c:numRef>
          </c:xVal>
          <c:yVal>
            <c:numRef>
              <c:f>FiltBC!$R$202:$R$207</c:f>
              <c:numCache>
                <c:formatCode>General</c:formatCode>
                <c:ptCount val="6"/>
                <c:pt idx="0">
                  <c:v>50</c:v>
                </c:pt>
                <c:pt idx="1">
                  <c:v>32</c:v>
                </c:pt>
                <c:pt idx="2">
                  <c:v>25</c:v>
                </c:pt>
                <c:pt idx="3">
                  <c:v>22</c:v>
                </c:pt>
                <c:pt idx="4">
                  <c:v>17</c:v>
                </c:pt>
                <c:pt idx="5">
                  <c:v>11</c:v>
                </c:pt>
              </c:numCache>
            </c:numRef>
          </c:yVal>
          <c:smooth val="0"/>
        </c:ser>
        <c:ser>
          <c:idx val="1"/>
          <c:order val="1"/>
          <c:spPr>
            <a:ln w="28575">
              <a:noFill/>
            </a:ln>
          </c:spPr>
          <c:marker>
            <c:symbol val="square"/>
            <c:size val="2"/>
          </c:marker>
          <c:xVal>
            <c:numRef>
              <c:f>FiltBC!$Q$202:$Q$207</c:f>
              <c:numCache>
                <c:formatCode>General</c:formatCode>
                <c:ptCount val="6"/>
                <c:pt idx="0">
                  <c:v>126</c:v>
                </c:pt>
                <c:pt idx="1">
                  <c:v>120</c:v>
                </c:pt>
                <c:pt idx="2">
                  <c:v>115</c:v>
                </c:pt>
                <c:pt idx="3">
                  <c:v>112</c:v>
                </c:pt>
                <c:pt idx="4">
                  <c:v>105</c:v>
                </c:pt>
                <c:pt idx="5">
                  <c:v>96</c:v>
                </c:pt>
              </c:numCache>
            </c:numRef>
          </c:xVal>
          <c:yVal>
            <c:numRef>
              <c:f>FiltBC!$S$202:$S$207</c:f>
              <c:numCache>
                <c:formatCode>General</c:formatCode>
                <c:ptCount val="6"/>
                <c:pt idx="0">
                  <c:v>50.536111067480896</c:v>
                </c:pt>
                <c:pt idx="1">
                  <c:v>38.935433538528009</c:v>
                </c:pt>
                <c:pt idx="2">
                  <c:v>31.0135307427268</c:v>
                </c:pt>
                <c:pt idx="3">
                  <c:v>26.92722417110517</c:v>
                </c:pt>
                <c:pt idx="4">
                  <c:v>19.071201652045982</c:v>
                </c:pt>
                <c:pt idx="5">
                  <c:v>11.813021525158517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3357312"/>
        <c:axId val="303367296"/>
      </c:scatterChart>
      <c:valAx>
        <c:axId val="3033573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03367296"/>
        <c:crosses val="autoZero"/>
        <c:crossBetween val="midCat"/>
      </c:valAx>
      <c:valAx>
        <c:axId val="3033672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0335731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11"/>
          <c:order val="0"/>
          <c:tx>
            <c:v>BC 0.5</c:v>
          </c:tx>
          <c:marker>
            <c:symbol val="triangle"/>
            <c:size val="3"/>
          </c:marker>
          <c:xVal>
            <c:numRef>
              <c:f>OscBC!$A$4:$A$131</c:f>
              <c:numCache>
                <c:formatCode>General</c:formatCode>
                <c:ptCount val="121"/>
                <c:pt idx="0">
                  <c:v>127</c:v>
                </c:pt>
                <c:pt idx="1">
                  <c:v>126</c:v>
                </c:pt>
                <c:pt idx="2">
                  <c:v>125</c:v>
                </c:pt>
                <c:pt idx="3">
                  <c:v>124</c:v>
                </c:pt>
                <c:pt idx="4">
                  <c:v>123</c:v>
                </c:pt>
                <c:pt idx="5">
                  <c:v>122</c:v>
                </c:pt>
                <c:pt idx="6">
                  <c:v>121</c:v>
                </c:pt>
                <c:pt idx="7">
                  <c:v>120</c:v>
                </c:pt>
                <c:pt idx="8">
                  <c:v>119</c:v>
                </c:pt>
                <c:pt idx="9">
                  <c:v>118</c:v>
                </c:pt>
                <c:pt idx="10">
                  <c:v>117</c:v>
                </c:pt>
                <c:pt idx="11">
                  <c:v>116</c:v>
                </c:pt>
                <c:pt idx="12">
                  <c:v>115</c:v>
                </c:pt>
                <c:pt idx="13">
                  <c:v>114</c:v>
                </c:pt>
                <c:pt idx="14">
                  <c:v>113</c:v>
                </c:pt>
                <c:pt idx="15">
                  <c:v>112</c:v>
                </c:pt>
                <c:pt idx="16">
                  <c:v>111</c:v>
                </c:pt>
                <c:pt idx="17">
                  <c:v>110</c:v>
                </c:pt>
                <c:pt idx="18">
                  <c:v>109</c:v>
                </c:pt>
                <c:pt idx="19">
                  <c:v>108</c:v>
                </c:pt>
                <c:pt idx="20">
                  <c:v>107</c:v>
                </c:pt>
                <c:pt idx="21">
                  <c:v>106</c:v>
                </c:pt>
                <c:pt idx="22">
                  <c:v>105</c:v>
                </c:pt>
                <c:pt idx="23">
                  <c:v>104</c:v>
                </c:pt>
                <c:pt idx="24">
                  <c:v>103</c:v>
                </c:pt>
                <c:pt idx="25">
                  <c:v>102</c:v>
                </c:pt>
                <c:pt idx="26">
                  <c:v>101</c:v>
                </c:pt>
                <c:pt idx="27">
                  <c:v>100</c:v>
                </c:pt>
                <c:pt idx="28">
                  <c:v>99</c:v>
                </c:pt>
                <c:pt idx="29">
                  <c:v>98</c:v>
                </c:pt>
                <c:pt idx="30">
                  <c:v>97</c:v>
                </c:pt>
                <c:pt idx="31">
                  <c:v>96</c:v>
                </c:pt>
                <c:pt idx="32">
                  <c:v>88</c:v>
                </c:pt>
                <c:pt idx="33">
                  <c:v>87</c:v>
                </c:pt>
                <c:pt idx="34">
                  <c:v>86</c:v>
                </c:pt>
                <c:pt idx="35">
                  <c:v>85</c:v>
                </c:pt>
                <c:pt idx="36">
                  <c:v>84</c:v>
                </c:pt>
                <c:pt idx="37">
                  <c:v>83</c:v>
                </c:pt>
                <c:pt idx="38">
                  <c:v>82</c:v>
                </c:pt>
                <c:pt idx="39">
                  <c:v>81</c:v>
                </c:pt>
                <c:pt idx="40">
                  <c:v>80</c:v>
                </c:pt>
                <c:pt idx="41">
                  <c:v>79</c:v>
                </c:pt>
                <c:pt idx="42">
                  <c:v>78</c:v>
                </c:pt>
                <c:pt idx="43">
                  <c:v>77</c:v>
                </c:pt>
                <c:pt idx="44">
                  <c:v>76</c:v>
                </c:pt>
                <c:pt idx="45">
                  <c:v>75</c:v>
                </c:pt>
                <c:pt idx="46">
                  <c:v>74</c:v>
                </c:pt>
                <c:pt idx="47">
                  <c:v>73</c:v>
                </c:pt>
                <c:pt idx="48">
                  <c:v>72</c:v>
                </c:pt>
                <c:pt idx="49">
                  <c:v>71</c:v>
                </c:pt>
                <c:pt idx="50">
                  <c:v>70</c:v>
                </c:pt>
                <c:pt idx="51">
                  <c:v>69</c:v>
                </c:pt>
                <c:pt idx="52">
                  <c:v>68</c:v>
                </c:pt>
                <c:pt idx="53">
                  <c:v>67</c:v>
                </c:pt>
                <c:pt idx="54">
                  <c:v>66</c:v>
                </c:pt>
                <c:pt idx="55">
                  <c:v>65</c:v>
                </c:pt>
                <c:pt idx="56">
                  <c:v>64</c:v>
                </c:pt>
                <c:pt idx="57">
                  <c:v>63</c:v>
                </c:pt>
                <c:pt idx="58">
                  <c:v>62</c:v>
                </c:pt>
                <c:pt idx="59">
                  <c:v>61</c:v>
                </c:pt>
                <c:pt idx="60">
                  <c:v>60</c:v>
                </c:pt>
                <c:pt idx="61">
                  <c:v>59</c:v>
                </c:pt>
                <c:pt idx="62">
                  <c:v>58</c:v>
                </c:pt>
                <c:pt idx="63">
                  <c:v>57</c:v>
                </c:pt>
                <c:pt idx="64">
                  <c:v>56</c:v>
                </c:pt>
                <c:pt idx="65">
                  <c:v>55</c:v>
                </c:pt>
                <c:pt idx="66">
                  <c:v>54</c:v>
                </c:pt>
                <c:pt idx="67">
                  <c:v>53</c:v>
                </c:pt>
                <c:pt idx="68">
                  <c:v>52</c:v>
                </c:pt>
                <c:pt idx="69">
                  <c:v>51</c:v>
                </c:pt>
                <c:pt idx="70">
                  <c:v>50</c:v>
                </c:pt>
                <c:pt idx="71">
                  <c:v>49</c:v>
                </c:pt>
                <c:pt idx="72">
                  <c:v>48</c:v>
                </c:pt>
                <c:pt idx="73">
                  <c:v>47</c:v>
                </c:pt>
                <c:pt idx="74">
                  <c:v>46</c:v>
                </c:pt>
                <c:pt idx="75">
                  <c:v>45</c:v>
                </c:pt>
                <c:pt idx="76">
                  <c:v>44</c:v>
                </c:pt>
                <c:pt idx="77">
                  <c:v>43</c:v>
                </c:pt>
                <c:pt idx="78">
                  <c:v>42</c:v>
                </c:pt>
                <c:pt idx="79">
                  <c:v>41</c:v>
                </c:pt>
                <c:pt idx="80">
                  <c:v>40</c:v>
                </c:pt>
                <c:pt idx="81">
                  <c:v>39</c:v>
                </c:pt>
                <c:pt idx="82">
                  <c:v>38</c:v>
                </c:pt>
                <c:pt idx="83">
                  <c:v>37</c:v>
                </c:pt>
                <c:pt idx="84">
                  <c:v>36</c:v>
                </c:pt>
                <c:pt idx="85">
                  <c:v>35</c:v>
                </c:pt>
                <c:pt idx="86">
                  <c:v>34</c:v>
                </c:pt>
                <c:pt idx="87">
                  <c:v>33</c:v>
                </c:pt>
                <c:pt idx="88">
                  <c:v>32</c:v>
                </c:pt>
                <c:pt idx="89">
                  <c:v>31</c:v>
                </c:pt>
                <c:pt idx="90">
                  <c:v>30</c:v>
                </c:pt>
                <c:pt idx="91">
                  <c:v>29</c:v>
                </c:pt>
                <c:pt idx="92">
                  <c:v>28</c:v>
                </c:pt>
                <c:pt idx="93">
                  <c:v>27</c:v>
                </c:pt>
                <c:pt idx="94">
                  <c:v>26</c:v>
                </c:pt>
                <c:pt idx="95">
                  <c:v>25</c:v>
                </c:pt>
                <c:pt idx="96">
                  <c:v>24</c:v>
                </c:pt>
                <c:pt idx="97">
                  <c:v>23</c:v>
                </c:pt>
                <c:pt idx="98">
                  <c:v>22</c:v>
                </c:pt>
                <c:pt idx="99">
                  <c:v>21</c:v>
                </c:pt>
                <c:pt idx="100">
                  <c:v>20</c:v>
                </c:pt>
                <c:pt idx="101">
                  <c:v>19</c:v>
                </c:pt>
                <c:pt idx="102">
                  <c:v>18</c:v>
                </c:pt>
                <c:pt idx="103">
                  <c:v>17</c:v>
                </c:pt>
                <c:pt idx="104">
                  <c:v>16</c:v>
                </c:pt>
                <c:pt idx="105">
                  <c:v>15</c:v>
                </c:pt>
                <c:pt idx="106">
                  <c:v>14</c:v>
                </c:pt>
                <c:pt idx="107">
                  <c:v>13</c:v>
                </c:pt>
                <c:pt idx="108">
                  <c:v>12</c:v>
                </c:pt>
                <c:pt idx="109">
                  <c:v>11</c:v>
                </c:pt>
                <c:pt idx="110">
                  <c:v>10</c:v>
                </c:pt>
                <c:pt idx="111">
                  <c:v>9</c:v>
                </c:pt>
                <c:pt idx="112">
                  <c:v>8</c:v>
                </c:pt>
                <c:pt idx="113">
                  <c:v>7</c:v>
                </c:pt>
                <c:pt idx="114">
                  <c:v>6</c:v>
                </c:pt>
                <c:pt idx="115">
                  <c:v>5</c:v>
                </c:pt>
                <c:pt idx="116">
                  <c:v>4</c:v>
                </c:pt>
                <c:pt idx="117">
                  <c:v>3</c:v>
                </c:pt>
                <c:pt idx="118">
                  <c:v>2</c:v>
                </c:pt>
                <c:pt idx="119">
                  <c:v>1</c:v>
                </c:pt>
                <c:pt idx="120">
                  <c:v>0</c:v>
                </c:pt>
              </c:numCache>
            </c:numRef>
          </c:xVal>
          <c:yVal>
            <c:numRef>
              <c:f>OscBC!$I$4:$I$131</c:f>
              <c:numCache>
                <c:formatCode>0.000</c:formatCode>
                <c:ptCount val="121"/>
                <c:pt idx="0">
                  <c:v>1</c:v>
                </c:pt>
                <c:pt idx="31">
                  <c:v>1</c:v>
                </c:pt>
                <c:pt idx="56">
                  <c:v>1</c:v>
                </c:pt>
                <c:pt idx="104">
                  <c:v>1</c:v>
                </c:pt>
                <c:pt idx="119">
                  <c:v>1</c:v>
                </c:pt>
                <c:pt idx="120">
                  <c:v>0</c:v>
                </c:pt>
              </c:numCache>
            </c:numRef>
          </c:yVal>
          <c:smooth val="0"/>
        </c:ser>
        <c:ser>
          <c:idx val="12"/>
          <c:order val="1"/>
          <c:tx>
            <c:v>BC 0.4</c:v>
          </c:tx>
          <c:marker>
            <c:symbol val="x"/>
            <c:size val="3"/>
          </c:marker>
          <c:xVal>
            <c:numRef>
              <c:f>OscBC!$A$4:$A$131</c:f>
              <c:numCache>
                <c:formatCode>General</c:formatCode>
                <c:ptCount val="121"/>
                <c:pt idx="0">
                  <c:v>127</c:v>
                </c:pt>
                <c:pt idx="1">
                  <c:v>126</c:v>
                </c:pt>
                <c:pt idx="2">
                  <c:v>125</c:v>
                </c:pt>
                <c:pt idx="3">
                  <c:v>124</c:v>
                </c:pt>
                <c:pt idx="4">
                  <c:v>123</c:v>
                </c:pt>
                <c:pt idx="5">
                  <c:v>122</c:v>
                </c:pt>
                <c:pt idx="6">
                  <c:v>121</c:v>
                </c:pt>
                <c:pt idx="7">
                  <c:v>120</c:v>
                </c:pt>
                <c:pt idx="8">
                  <c:v>119</c:v>
                </c:pt>
                <c:pt idx="9">
                  <c:v>118</c:v>
                </c:pt>
                <c:pt idx="10">
                  <c:v>117</c:v>
                </c:pt>
                <c:pt idx="11">
                  <c:v>116</c:v>
                </c:pt>
                <c:pt idx="12">
                  <c:v>115</c:v>
                </c:pt>
                <c:pt idx="13">
                  <c:v>114</c:v>
                </c:pt>
                <c:pt idx="14">
                  <c:v>113</c:v>
                </c:pt>
                <c:pt idx="15">
                  <c:v>112</c:v>
                </c:pt>
                <c:pt idx="16">
                  <c:v>111</c:v>
                </c:pt>
                <c:pt idx="17">
                  <c:v>110</c:v>
                </c:pt>
                <c:pt idx="18">
                  <c:v>109</c:v>
                </c:pt>
                <c:pt idx="19">
                  <c:v>108</c:v>
                </c:pt>
                <c:pt idx="20">
                  <c:v>107</c:v>
                </c:pt>
                <c:pt idx="21">
                  <c:v>106</c:v>
                </c:pt>
                <c:pt idx="22">
                  <c:v>105</c:v>
                </c:pt>
                <c:pt idx="23">
                  <c:v>104</c:v>
                </c:pt>
                <c:pt idx="24">
                  <c:v>103</c:v>
                </c:pt>
                <c:pt idx="25">
                  <c:v>102</c:v>
                </c:pt>
                <c:pt idx="26">
                  <c:v>101</c:v>
                </c:pt>
                <c:pt idx="27">
                  <c:v>100</c:v>
                </c:pt>
                <c:pt idx="28">
                  <c:v>99</c:v>
                </c:pt>
                <c:pt idx="29">
                  <c:v>98</c:v>
                </c:pt>
                <c:pt idx="30">
                  <c:v>97</c:v>
                </c:pt>
                <c:pt idx="31">
                  <c:v>96</c:v>
                </c:pt>
                <c:pt idx="32">
                  <c:v>88</c:v>
                </c:pt>
                <c:pt idx="33">
                  <c:v>87</c:v>
                </c:pt>
                <c:pt idx="34">
                  <c:v>86</c:v>
                </c:pt>
                <c:pt idx="35">
                  <c:v>85</c:v>
                </c:pt>
                <c:pt idx="36">
                  <c:v>84</c:v>
                </c:pt>
                <c:pt idx="37">
                  <c:v>83</c:v>
                </c:pt>
                <c:pt idx="38">
                  <c:v>82</c:v>
                </c:pt>
                <c:pt idx="39">
                  <c:v>81</c:v>
                </c:pt>
                <c:pt idx="40">
                  <c:v>80</c:v>
                </c:pt>
                <c:pt idx="41">
                  <c:v>79</c:v>
                </c:pt>
                <c:pt idx="42">
                  <c:v>78</c:v>
                </c:pt>
                <c:pt idx="43">
                  <c:v>77</c:v>
                </c:pt>
                <c:pt idx="44">
                  <c:v>76</c:v>
                </c:pt>
                <c:pt idx="45">
                  <c:v>75</c:v>
                </c:pt>
                <c:pt idx="46">
                  <c:v>74</c:v>
                </c:pt>
                <c:pt idx="47">
                  <c:v>73</c:v>
                </c:pt>
                <c:pt idx="48">
                  <c:v>72</c:v>
                </c:pt>
                <c:pt idx="49">
                  <c:v>71</c:v>
                </c:pt>
                <c:pt idx="50">
                  <c:v>70</c:v>
                </c:pt>
                <c:pt idx="51">
                  <c:v>69</c:v>
                </c:pt>
                <c:pt idx="52">
                  <c:v>68</c:v>
                </c:pt>
                <c:pt idx="53">
                  <c:v>67</c:v>
                </c:pt>
                <c:pt idx="54">
                  <c:v>66</c:v>
                </c:pt>
                <c:pt idx="55">
                  <c:v>65</c:v>
                </c:pt>
                <c:pt idx="56">
                  <c:v>64</c:v>
                </c:pt>
                <c:pt idx="57">
                  <c:v>63</c:v>
                </c:pt>
                <c:pt idx="58">
                  <c:v>62</c:v>
                </c:pt>
                <c:pt idx="59">
                  <c:v>61</c:v>
                </c:pt>
                <c:pt idx="60">
                  <c:v>60</c:v>
                </c:pt>
                <c:pt idx="61">
                  <c:v>59</c:v>
                </c:pt>
                <c:pt idx="62">
                  <c:v>58</c:v>
                </c:pt>
                <c:pt idx="63">
                  <c:v>57</c:v>
                </c:pt>
                <c:pt idx="64">
                  <c:v>56</c:v>
                </c:pt>
                <c:pt idx="65">
                  <c:v>55</c:v>
                </c:pt>
                <c:pt idx="66">
                  <c:v>54</c:v>
                </c:pt>
                <c:pt idx="67">
                  <c:v>53</c:v>
                </c:pt>
                <c:pt idx="68">
                  <c:v>52</c:v>
                </c:pt>
                <c:pt idx="69">
                  <c:v>51</c:v>
                </c:pt>
                <c:pt idx="70">
                  <c:v>50</c:v>
                </c:pt>
                <c:pt idx="71">
                  <c:v>49</c:v>
                </c:pt>
                <c:pt idx="72">
                  <c:v>48</c:v>
                </c:pt>
                <c:pt idx="73">
                  <c:v>47</c:v>
                </c:pt>
                <c:pt idx="74">
                  <c:v>46</c:v>
                </c:pt>
                <c:pt idx="75">
                  <c:v>45</c:v>
                </c:pt>
                <c:pt idx="76">
                  <c:v>44</c:v>
                </c:pt>
                <c:pt idx="77">
                  <c:v>43</c:v>
                </c:pt>
                <c:pt idx="78">
                  <c:v>42</c:v>
                </c:pt>
                <c:pt idx="79">
                  <c:v>41</c:v>
                </c:pt>
                <c:pt idx="80">
                  <c:v>40</c:v>
                </c:pt>
                <c:pt idx="81">
                  <c:v>39</c:v>
                </c:pt>
                <c:pt idx="82">
                  <c:v>38</c:v>
                </c:pt>
                <c:pt idx="83">
                  <c:v>37</c:v>
                </c:pt>
                <c:pt idx="84">
                  <c:v>36</c:v>
                </c:pt>
                <c:pt idx="85">
                  <c:v>35</c:v>
                </c:pt>
                <c:pt idx="86">
                  <c:v>34</c:v>
                </c:pt>
                <c:pt idx="87">
                  <c:v>33</c:v>
                </c:pt>
                <c:pt idx="88">
                  <c:v>32</c:v>
                </c:pt>
                <c:pt idx="89">
                  <c:v>31</c:v>
                </c:pt>
                <c:pt idx="90">
                  <c:v>30</c:v>
                </c:pt>
                <c:pt idx="91">
                  <c:v>29</c:v>
                </c:pt>
                <c:pt idx="92">
                  <c:v>28</c:v>
                </c:pt>
                <c:pt idx="93">
                  <c:v>27</c:v>
                </c:pt>
                <c:pt idx="94">
                  <c:v>26</c:v>
                </c:pt>
                <c:pt idx="95">
                  <c:v>25</c:v>
                </c:pt>
                <c:pt idx="96">
                  <c:v>24</c:v>
                </c:pt>
                <c:pt idx="97">
                  <c:v>23</c:v>
                </c:pt>
                <c:pt idx="98">
                  <c:v>22</c:v>
                </c:pt>
                <c:pt idx="99">
                  <c:v>21</c:v>
                </c:pt>
                <c:pt idx="100">
                  <c:v>20</c:v>
                </c:pt>
                <c:pt idx="101">
                  <c:v>19</c:v>
                </c:pt>
                <c:pt idx="102">
                  <c:v>18</c:v>
                </c:pt>
                <c:pt idx="103">
                  <c:v>17</c:v>
                </c:pt>
                <c:pt idx="104">
                  <c:v>16</c:v>
                </c:pt>
                <c:pt idx="105">
                  <c:v>15</c:v>
                </c:pt>
                <c:pt idx="106">
                  <c:v>14</c:v>
                </c:pt>
                <c:pt idx="107">
                  <c:v>13</c:v>
                </c:pt>
                <c:pt idx="108">
                  <c:v>12</c:v>
                </c:pt>
                <c:pt idx="109">
                  <c:v>11</c:v>
                </c:pt>
                <c:pt idx="110">
                  <c:v>10</c:v>
                </c:pt>
                <c:pt idx="111">
                  <c:v>9</c:v>
                </c:pt>
                <c:pt idx="112">
                  <c:v>8</c:v>
                </c:pt>
                <c:pt idx="113">
                  <c:v>7</c:v>
                </c:pt>
                <c:pt idx="114">
                  <c:v>6</c:v>
                </c:pt>
                <c:pt idx="115">
                  <c:v>5</c:v>
                </c:pt>
                <c:pt idx="116">
                  <c:v>4</c:v>
                </c:pt>
                <c:pt idx="117">
                  <c:v>3</c:v>
                </c:pt>
                <c:pt idx="118">
                  <c:v>2</c:v>
                </c:pt>
                <c:pt idx="119">
                  <c:v>1</c:v>
                </c:pt>
                <c:pt idx="120">
                  <c:v>0</c:v>
                </c:pt>
              </c:numCache>
            </c:numRef>
          </c:xVal>
          <c:yVal>
            <c:numRef>
              <c:f>OscBC!$Q$4:$Q$131</c:f>
              <c:numCache>
                <c:formatCode>0.000</c:formatCode>
                <c:ptCount val="121"/>
                <c:pt idx="0">
                  <c:v>1</c:v>
                </c:pt>
                <c:pt idx="56">
                  <c:v>0.94470746794761029</c:v>
                </c:pt>
                <c:pt idx="96">
                  <c:v>0.90323806890831804</c:v>
                </c:pt>
                <c:pt idx="100">
                  <c:v>0.90669385216159237</c:v>
                </c:pt>
                <c:pt idx="104">
                  <c:v>0.84794553685592844</c:v>
                </c:pt>
                <c:pt idx="112">
                  <c:v>0.73390468949787468</c:v>
                </c:pt>
                <c:pt idx="116">
                  <c:v>0.68206794069875942</c:v>
                </c:pt>
                <c:pt idx="117">
                  <c:v>0.55074817707433388</c:v>
                </c:pt>
                <c:pt idx="118">
                  <c:v>0.23558074437571275</c:v>
                </c:pt>
                <c:pt idx="119">
                  <c:v>5.1041918650862217E-2</c:v>
                </c:pt>
                <c:pt idx="120">
                  <c:v>0</c:v>
                </c:pt>
              </c:numCache>
            </c:numRef>
          </c:yVal>
          <c:smooth val="0"/>
        </c:ser>
        <c:ser>
          <c:idx val="13"/>
          <c:order val="2"/>
          <c:tx>
            <c:v>BC 0.35</c:v>
          </c:tx>
          <c:marker>
            <c:symbol val="plus"/>
            <c:size val="4"/>
          </c:marker>
          <c:xVal>
            <c:numRef>
              <c:f>OscBC!$A$4:$A$131</c:f>
              <c:numCache>
                <c:formatCode>General</c:formatCode>
                <c:ptCount val="121"/>
                <c:pt idx="0">
                  <c:v>127</c:v>
                </c:pt>
                <c:pt idx="1">
                  <c:v>126</c:v>
                </c:pt>
                <c:pt idx="2">
                  <c:v>125</c:v>
                </c:pt>
                <c:pt idx="3">
                  <c:v>124</c:v>
                </c:pt>
                <c:pt idx="4">
                  <c:v>123</c:v>
                </c:pt>
                <c:pt idx="5">
                  <c:v>122</c:v>
                </c:pt>
                <c:pt idx="6">
                  <c:v>121</c:v>
                </c:pt>
                <c:pt idx="7">
                  <c:v>120</c:v>
                </c:pt>
                <c:pt idx="8">
                  <c:v>119</c:v>
                </c:pt>
                <c:pt idx="9">
                  <c:v>118</c:v>
                </c:pt>
                <c:pt idx="10">
                  <c:v>117</c:v>
                </c:pt>
                <c:pt idx="11">
                  <c:v>116</c:v>
                </c:pt>
                <c:pt idx="12">
                  <c:v>115</c:v>
                </c:pt>
                <c:pt idx="13">
                  <c:v>114</c:v>
                </c:pt>
                <c:pt idx="14">
                  <c:v>113</c:v>
                </c:pt>
                <c:pt idx="15">
                  <c:v>112</c:v>
                </c:pt>
                <c:pt idx="16">
                  <c:v>111</c:v>
                </c:pt>
                <c:pt idx="17">
                  <c:v>110</c:v>
                </c:pt>
                <c:pt idx="18">
                  <c:v>109</c:v>
                </c:pt>
                <c:pt idx="19">
                  <c:v>108</c:v>
                </c:pt>
                <c:pt idx="20">
                  <c:v>107</c:v>
                </c:pt>
                <c:pt idx="21">
                  <c:v>106</c:v>
                </c:pt>
                <c:pt idx="22">
                  <c:v>105</c:v>
                </c:pt>
                <c:pt idx="23">
                  <c:v>104</c:v>
                </c:pt>
                <c:pt idx="24">
                  <c:v>103</c:v>
                </c:pt>
                <c:pt idx="25">
                  <c:v>102</c:v>
                </c:pt>
                <c:pt idx="26">
                  <c:v>101</c:v>
                </c:pt>
                <c:pt idx="27">
                  <c:v>100</c:v>
                </c:pt>
                <c:pt idx="28">
                  <c:v>99</c:v>
                </c:pt>
                <c:pt idx="29">
                  <c:v>98</c:v>
                </c:pt>
                <c:pt idx="30">
                  <c:v>97</c:v>
                </c:pt>
                <c:pt idx="31">
                  <c:v>96</c:v>
                </c:pt>
                <c:pt idx="32">
                  <c:v>88</c:v>
                </c:pt>
                <c:pt idx="33">
                  <c:v>87</c:v>
                </c:pt>
                <c:pt idx="34">
                  <c:v>86</c:v>
                </c:pt>
                <c:pt idx="35">
                  <c:v>85</c:v>
                </c:pt>
                <c:pt idx="36">
                  <c:v>84</c:v>
                </c:pt>
                <c:pt idx="37">
                  <c:v>83</c:v>
                </c:pt>
                <c:pt idx="38">
                  <c:v>82</c:v>
                </c:pt>
                <c:pt idx="39">
                  <c:v>81</c:v>
                </c:pt>
                <c:pt idx="40">
                  <c:v>80</c:v>
                </c:pt>
                <c:pt idx="41">
                  <c:v>79</c:v>
                </c:pt>
                <c:pt idx="42">
                  <c:v>78</c:v>
                </c:pt>
                <c:pt idx="43">
                  <c:v>77</c:v>
                </c:pt>
                <c:pt idx="44">
                  <c:v>76</c:v>
                </c:pt>
                <c:pt idx="45">
                  <c:v>75</c:v>
                </c:pt>
                <c:pt idx="46">
                  <c:v>74</c:v>
                </c:pt>
                <c:pt idx="47">
                  <c:v>73</c:v>
                </c:pt>
                <c:pt idx="48">
                  <c:v>72</c:v>
                </c:pt>
                <c:pt idx="49">
                  <c:v>71</c:v>
                </c:pt>
                <c:pt idx="50">
                  <c:v>70</c:v>
                </c:pt>
                <c:pt idx="51">
                  <c:v>69</c:v>
                </c:pt>
                <c:pt idx="52">
                  <c:v>68</c:v>
                </c:pt>
                <c:pt idx="53">
                  <c:v>67</c:v>
                </c:pt>
                <c:pt idx="54">
                  <c:v>66</c:v>
                </c:pt>
                <c:pt idx="55">
                  <c:v>65</c:v>
                </c:pt>
                <c:pt idx="56">
                  <c:v>64</c:v>
                </c:pt>
                <c:pt idx="57">
                  <c:v>63</c:v>
                </c:pt>
                <c:pt idx="58">
                  <c:v>62</c:v>
                </c:pt>
                <c:pt idx="59">
                  <c:v>61</c:v>
                </c:pt>
                <c:pt idx="60">
                  <c:v>60</c:v>
                </c:pt>
                <c:pt idx="61">
                  <c:v>59</c:v>
                </c:pt>
                <c:pt idx="62">
                  <c:v>58</c:v>
                </c:pt>
                <c:pt idx="63">
                  <c:v>57</c:v>
                </c:pt>
                <c:pt idx="64">
                  <c:v>56</c:v>
                </c:pt>
                <c:pt idx="65">
                  <c:v>55</c:v>
                </c:pt>
                <c:pt idx="66">
                  <c:v>54</c:v>
                </c:pt>
                <c:pt idx="67">
                  <c:v>53</c:v>
                </c:pt>
                <c:pt idx="68">
                  <c:v>52</c:v>
                </c:pt>
                <c:pt idx="69">
                  <c:v>51</c:v>
                </c:pt>
                <c:pt idx="70">
                  <c:v>50</c:v>
                </c:pt>
                <c:pt idx="71">
                  <c:v>49</c:v>
                </c:pt>
                <c:pt idx="72">
                  <c:v>48</c:v>
                </c:pt>
                <c:pt idx="73">
                  <c:v>47</c:v>
                </c:pt>
                <c:pt idx="74">
                  <c:v>46</c:v>
                </c:pt>
                <c:pt idx="75">
                  <c:v>45</c:v>
                </c:pt>
                <c:pt idx="76">
                  <c:v>44</c:v>
                </c:pt>
                <c:pt idx="77">
                  <c:v>43</c:v>
                </c:pt>
                <c:pt idx="78">
                  <c:v>42</c:v>
                </c:pt>
                <c:pt idx="79">
                  <c:v>41</c:v>
                </c:pt>
                <c:pt idx="80">
                  <c:v>40</c:v>
                </c:pt>
                <c:pt idx="81">
                  <c:v>39</c:v>
                </c:pt>
                <c:pt idx="82">
                  <c:v>38</c:v>
                </c:pt>
                <c:pt idx="83">
                  <c:v>37</c:v>
                </c:pt>
                <c:pt idx="84">
                  <c:v>36</c:v>
                </c:pt>
                <c:pt idx="85">
                  <c:v>35</c:v>
                </c:pt>
                <c:pt idx="86">
                  <c:v>34</c:v>
                </c:pt>
                <c:pt idx="87">
                  <c:v>33</c:v>
                </c:pt>
                <c:pt idx="88">
                  <c:v>32</c:v>
                </c:pt>
                <c:pt idx="89">
                  <c:v>31</c:v>
                </c:pt>
                <c:pt idx="90">
                  <c:v>30</c:v>
                </c:pt>
                <c:pt idx="91">
                  <c:v>29</c:v>
                </c:pt>
                <c:pt idx="92">
                  <c:v>28</c:v>
                </c:pt>
                <c:pt idx="93">
                  <c:v>27</c:v>
                </c:pt>
                <c:pt idx="94">
                  <c:v>26</c:v>
                </c:pt>
                <c:pt idx="95">
                  <c:v>25</c:v>
                </c:pt>
                <c:pt idx="96">
                  <c:v>24</c:v>
                </c:pt>
                <c:pt idx="97">
                  <c:v>23</c:v>
                </c:pt>
                <c:pt idx="98">
                  <c:v>22</c:v>
                </c:pt>
                <c:pt idx="99">
                  <c:v>21</c:v>
                </c:pt>
                <c:pt idx="100">
                  <c:v>20</c:v>
                </c:pt>
                <c:pt idx="101">
                  <c:v>19</c:v>
                </c:pt>
                <c:pt idx="102">
                  <c:v>18</c:v>
                </c:pt>
                <c:pt idx="103">
                  <c:v>17</c:v>
                </c:pt>
                <c:pt idx="104">
                  <c:v>16</c:v>
                </c:pt>
                <c:pt idx="105">
                  <c:v>15</c:v>
                </c:pt>
                <c:pt idx="106">
                  <c:v>14</c:v>
                </c:pt>
                <c:pt idx="107">
                  <c:v>13</c:v>
                </c:pt>
                <c:pt idx="108">
                  <c:v>12</c:v>
                </c:pt>
                <c:pt idx="109">
                  <c:v>11</c:v>
                </c:pt>
                <c:pt idx="110">
                  <c:v>10</c:v>
                </c:pt>
                <c:pt idx="111">
                  <c:v>9</c:v>
                </c:pt>
                <c:pt idx="112">
                  <c:v>8</c:v>
                </c:pt>
                <c:pt idx="113">
                  <c:v>7</c:v>
                </c:pt>
                <c:pt idx="114">
                  <c:v>6</c:v>
                </c:pt>
                <c:pt idx="115">
                  <c:v>5</c:v>
                </c:pt>
                <c:pt idx="116">
                  <c:v>4</c:v>
                </c:pt>
                <c:pt idx="117">
                  <c:v>3</c:v>
                </c:pt>
                <c:pt idx="118">
                  <c:v>2</c:v>
                </c:pt>
                <c:pt idx="119">
                  <c:v>1</c:v>
                </c:pt>
                <c:pt idx="120">
                  <c:v>0</c:v>
                </c:pt>
              </c:numCache>
            </c:numRef>
          </c:xVal>
          <c:yVal>
            <c:numRef>
              <c:f>OscBC!$S$4:$S$131</c:f>
              <c:numCache>
                <c:formatCode>0.000</c:formatCode>
                <c:ptCount val="121"/>
                <c:pt idx="0">
                  <c:v>1</c:v>
                </c:pt>
                <c:pt idx="64">
                  <c:v>0.8997822856550437</c:v>
                </c:pt>
                <c:pt idx="72">
                  <c:v>0.88595915264194625</c:v>
                </c:pt>
                <c:pt idx="88">
                  <c:v>0.86522445312230012</c:v>
                </c:pt>
                <c:pt idx="90">
                  <c:v>0.86176866986902578</c:v>
                </c:pt>
                <c:pt idx="91">
                  <c:v>0.85485710336247711</c:v>
                </c:pt>
                <c:pt idx="92">
                  <c:v>0.84794553685592844</c:v>
                </c:pt>
                <c:pt idx="94">
                  <c:v>0.81684348757645919</c:v>
                </c:pt>
                <c:pt idx="96">
                  <c:v>0.78919722155026439</c:v>
                </c:pt>
                <c:pt idx="112">
                  <c:v>0.57839444310052879</c:v>
                </c:pt>
                <c:pt idx="113">
                  <c:v>0.561115526834157</c:v>
                </c:pt>
                <c:pt idx="114">
                  <c:v>0.55074817707433388</c:v>
                </c:pt>
                <c:pt idx="115">
                  <c:v>0.53692504406123653</c:v>
                </c:pt>
                <c:pt idx="116">
                  <c:v>0.3606800981442444</c:v>
                </c:pt>
                <c:pt idx="117">
                  <c:v>0.20171406849362405</c:v>
                </c:pt>
                <c:pt idx="118">
                  <c:v>8.1798389605003977E-2</c:v>
                </c:pt>
                <c:pt idx="119">
                  <c:v>1.3719459515499187E-2</c:v>
                </c:pt>
                <c:pt idx="120">
                  <c:v>0</c:v>
                </c:pt>
              </c:numCache>
            </c:numRef>
          </c:yVal>
          <c:smooth val="0"/>
        </c:ser>
        <c:ser>
          <c:idx val="6"/>
          <c:order val="3"/>
          <c:tx>
            <c:v>BC 0.3</c:v>
          </c:tx>
          <c:marker>
            <c:symbol val="plus"/>
            <c:size val="3"/>
          </c:marker>
          <c:xVal>
            <c:numRef>
              <c:f>OscBC!$A$4:$A$131</c:f>
              <c:numCache>
                <c:formatCode>General</c:formatCode>
                <c:ptCount val="121"/>
                <c:pt idx="0">
                  <c:v>127</c:v>
                </c:pt>
                <c:pt idx="1">
                  <c:v>126</c:v>
                </c:pt>
                <c:pt idx="2">
                  <c:v>125</c:v>
                </c:pt>
                <c:pt idx="3">
                  <c:v>124</c:v>
                </c:pt>
                <c:pt idx="4">
                  <c:v>123</c:v>
                </c:pt>
                <c:pt idx="5">
                  <c:v>122</c:v>
                </c:pt>
                <c:pt idx="6">
                  <c:v>121</c:v>
                </c:pt>
                <c:pt idx="7">
                  <c:v>120</c:v>
                </c:pt>
                <c:pt idx="8">
                  <c:v>119</c:v>
                </c:pt>
                <c:pt idx="9">
                  <c:v>118</c:v>
                </c:pt>
                <c:pt idx="10">
                  <c:v>117</c:v>
                </c:pt>
                <c:pt idx="11">
                  <c:v>116</c:v>
                </c:pt>
                <c:pt idx="12">
                  <c:v>115</c:v>
                </c:pt>
                <c:pt idx="13">
                  <c:v>114</c:v>
                </c:pt>
                <c:pt idx="14">
                  <c:v>113</c:v>
                </c:pt>
                <c:pt idx="15">
                  <c:v>112</c:v>
                </c:pt>
                <c:pt idx="16">
                  <c:v>111</c:v>
                </c:pt>
                <c:pt idx="17">
                  <c:v>110</c:v>
                </c:pt>
                <c:pt idx="18">
                  <c:v>109</c:v>
                </c:pt>
                <c:pt idx="19">
                  <c:v>108</c:v>
                </c:pt>
                <c:pt idx="20">
                  <c:v>107</c:v>
                </c:pt>
                <c:pt idx="21">
                  <c:v>106</c:v>
                </c:pt>
                <c:pt idx="22">
                  <c:v>105</c:v>
                </c:pt>
                <c:pt idx="23">
                  <c:v>104</c:v>
                </c:pt>
                <c:pt idx="24">
                  <c:v>103</c:v>
                </c:pt>
                <c:pt idx="25">
                  <c:v>102</c:v>
                </c:pt>
                <c:pt idx="26">
                  <c:v>101</c:v>
                </c:pt>
                <c:pt idx="27">
                  <c:v>100</c:v>
                </c:pt>
                <c:pt idx="28">
                  <c:v>99</c:v>
                </c:pt>
                <c:pt idx="29">
                  <c:v>98</c:v>
                </c:pt>
                <c:pt idx="30">
                  <c:v>97</c:v>
                </c:pt>
                <c:pt idx="31">
                  <c:v>96</c:v>
                </c:pt>
                <c:pt idx="32">
                  <c:v>88</c:v>
                </c:pt>
                <c:pt idx="33">
                  <c:v>87</c:v>
                </c:pt>
                <c:pt idx="34">
                  <c:v>86</c:v>
                </c:pt>
                <c:pt idx="35">
                  <c:v>85</c:v>
                </c:pt>
                <c:pt idx="36">
                  <c:v>84</c:v>
                </c:pt>
                <c:pt idx="37">
                  <c:v>83</c:v>
                </c:pt>
                <c:pt idx="38">
                  <c:v>82</c:v>
                </c:pt>
                <c:pt idx="39">
                  <c:v>81</c:v>
                </c:pt>
                <c:pt idx="40">
                  <c:v>80</c:v>
                </c:pt>
                <c:pt idx="41">
                  <c:v>79</c:v>
                </c:pt>
                <c:pt idx="42">
                  <c:v>78</c:v>
                </c:pt>
                <c:pt idx="43">
                  <c:v>77</c:v>
                </c:pt>
                <c:pt idx="44">
                  <c:v>76</c:v>
                </c:pt>
                <c:pt idx="45">
                  <c:v>75</c:v>
                </c:pt>
                <c:pt idx="46">
                  <c:v>74</c:v>
                </c:pt>
                <c:pt idx="47">
                  <c:v>73</c:v>
                </c:pt>
                <c:pt idx="48">
                  <c:v>72</c:v>
                </c:pt>
                <c:pt idx="49">
                  <c:v>71</c:v>
                </c:pt>
                <c:pt idx="50">
                  <c:v>70</c:v>
                </c:pt>
                <c:pt idx="51">
                  <c:v>69</c:v>
                </c:pt>
                <c:pt idx="52">
                  <c:v>68</c:v>
                </c:pt>
                <c:pt idx="53">
                  <c:v>67</c:v>
                </c:pt>
                <c:pt idx="54">
                  <c:v>66</c:v>
                </c:pt>
                <c:pt idx="55">
                  <c:v>65</c:v>
                </c:pt>
                <c:pt idx="56">
                  <c:v>64</c:v>
                </c:pt>
                <c:pt idx="57">
                  <c:v>63</c:v>
                </c:pt>
                <c:pt idx="58">
                  <c:v>62</c:v>
                </c:pt>
                <c:pt idx="59">
                  <c:v>61</c:v>
                </c:pt>
                <c:pt idx="60">
                  <c:v>60</c:v>
                </c:pt>
                <c:pt idx="61">
                  <c:v>59</c:v>
                </c:pt>
                <c:pt idx="62">
                  <c:v>58</c:v>
                </c:pt>
                <c:pt idx="63">
                  <c:v>57</c:v>
                </c:pt>
                <c:pt idx="64">
                  <c:v>56</c:v>
                </c:pt>
                <c:pt idx="65">
                  <c:v>55</c:v>
                </c:pt>
                <c:pt idx="66">
                  <c:v>54</c:v>
                </c:pt>
                <c:pt idx="67">
                  <c:v>53</c:v>
                </c:pt>
                <c:pt idx="68">
                  <c:v>52</c:v>
                </c:pt>
                <c:pt idx="69">
                  <c:v>51</c:v>
                </c:pt>
                <c:pt idx="70">
                  <c:v>50</c:v>
                </c:pt>
                <c:pt idx="71">
                  <c:v>49</c:v>
                </c:pt>
                <c:pt idx="72">
                  <c:v>48</c:v>
                </c:pt>
                <c:pt idx="73">
                  <c:v>47</c:v>
                </c:pt>
                <c:pt idx="74">
                  <c:v>46</c:v>
                </c:pt>
                <c:pt idx="75">
                  <c:v>45</c:v>
                </c:pt>
                <c:pt idx="76">
                  <c:v>44</c:v>
                </c:pt>
                <c:pt idx="77">
                  <c:v>43</c:v>
                </c:pt>
                <c:pt idx="78">
                  <c:v>42</c:v>
                </c:pt>
                <c:pt idx="79">
                  <c:v>41</c:v>
                </c:pt>
                <c:pt idx="80">
                  <c:v>40</c:v>
                </c:pt>
                <c:pt idx="81">
                  <c:v>39</c:v>
                </c:pt>
                <c:pt idx="82">
                  <c:v>38</c:v>
                </c:pt>
                <c:pt idx="83">
                  <c:v>37</c:v>
                </c:pt>
                <c:pt idx="84">
                  <c:v>36</c:v>
                </c:pt>
                <c:pt idx="85">
                  <c:v>35</c:v>
                </c:pt>
                <c:pt idx="86">
                  <c:v>34</c:v>
                </c:pt>
                <c:pt idx="87">
                  <c:v>33</c:v>
                </c:pt>
                <c:pt idx="88">
                  <c:v>32</c:v>
                </c:pt>
                <c:pt idx="89">
                  <c:v>31</c:v>
                </c:pt>
                <c:pt idx="90">
                  <c:v>30</c:v>
                </c:pt>
                <c:pt idx="91">
                  <c:v>29</c:v>
                </c:pt>
                <c:pt idx="92">
                  <c:v>28</c:v>
                </c:pt>
                <c:pt idx="93">
                  <c:v>27</c:v>
                </c:pt>
                <c:pt idx="94">
                  <c:v>26</c:v>
                </c:pt>
                <c:pt idx="95">
                  <c:v>25</c:v>
                </c:pt>
                <c:pt idx="96">
                  <c:v>24</c:v>
                </c:pt>
                <c:pt idx="97">
                  <c:v>23</c:v>
                </c:pt>
                <c:pt idx="98">
                  <c:v>22</c:v>
                </c:pt>
                <c:pt idx="99">
                  <c:v>21</c:v>
                </c:pt>
                <c:pt idx="100">
                  <c:v>20</c:v>
                </c:pt>
                <c:pt idx="101">
                  <c:v>19</c:v>
                </c:pt>
                <c:pt idx="102">
                  <c:v>18</c:v>
                </c:pt>
                <c:pt idx="103">
                  <c:v>17</c:v>
                </c:pt>
                <c:pt idx="104">
                  <c:v>16</c:v>
                </c:pt>
                <c:pt idx="105">
                  <c:v>15</c:v>
                </c:pt>
                <c:pt idx="106">
                  <c:v>14</c:v>
                </c:pt>
                <c:pt idx="107">
                  <c:v>13</c:v>
                </c:pt>
                <c:pt idx="108">
                  <c:v>12</c:v>
                </c:pt>
                <c:pt idx="109">
                  <c:v>11</c:v>
                </c:pt>
                <c:pt idx="110">
                  <c:v>10</c:v>
                </c:pt>
                <c:pt idx="111">
                  <c:v>9</c:v>
                </c:pt>
                <c:pt idx="112">
                  <c:v>8</c:v>
                </c:pt>
                <c:pt idx="113">
                  <c:v>7</c:v>
                </c:pt>
                <c:pt idx="114">
                  <c:v>6</c:v>
                </c:pt>
                <c:pt idx="115">
                  <c:v>5</c:v>
                </c:pt>
                <c:pt idx="116">
                  <c:v>4</c:v>
                </c:pt>
                <c:pt idx="117">
                  <c:v>3</c:v>
                </c:pt>
                <c:pt idx="118">
                  <c:v>2</c:v>
                </c:pt>
                <c:pt idx="119">
                  <c:v>1</c:v>
                </c:pt>
                <c:pt idx="120">
                  <c:v>0</c:v>
                </c:pt>
              </c:numCache>
            </c:numRef>
          </c:xVal>
          <c:yVal>
            <c:numRef>
              <c:f>OscBC!$U$4:$U$131</c:f>
              <c:numCache>
                <c:formatCode>0.000</c:formatCode>
                <c:ptCount val="121"/>
                <c:pt idx="0">
                  <c:v>1</c:v>
                </c:pt>
                <c:pt idx="48">
                  <c:v>0.88007054673721341</c:v>
                </c:pt>
                <c:pt idx="56">
                  <c:v>0.86243386243386244</c:v>
                </c:pt>
                <c:pt idx="64">
                  <c:v>0.84479717813051147</c:v>
                </c:pt>
                <c:pt idx="72">
                  <c:v>0.8271604938271605</c:v>
                </c:pt>
                <c:pt idx="78">
                  <c:v>0.81657848324514992</c:v>
                </c:pt>
                <c:pt idx="84">
                  <c:v>0.74603174603174605</c:v>
                </c:pt>
                <c:pt idx="88">
                  <c:v>0.69312169312169314</c:v>
                </c:pt>
                <c:pt idx="108">
                  <c:v>0.44620811287477952</c:v>
                </c:pt>
                <c:pt idx="112">
                  <c:v>0.400352733686067</c:v>
                </c:pt>
                <c:pt idx="113">
                  <c:v>0.38977072310405642</c:v>
                </c:pt>
                <c:pt idx="114">
                  <c:v>0.31287477954144621</c:v>
                </c:pt>
                <c:pt idx="116">
                  <c:v>0.11992945326278659</c:v>
                </c:pt>
                <c:pt idx="118">
                  <c:v>1.5520282186948856E-2</c:v>
                </c:pt>
                <c:pt idx="120">
                  <c:v>0</c:v>
                </c:pt>
              </c:numCache>
            </c:numRef>
          </c:yVal>
          <c:smooth val="0"/>
        </c:ser>
        <c:ser>
          <c:idx val="4"/>
          <c:order val="4"/>
          <c:tx>
            <c:v>BC 0.2</c:v>
          </c:tx>
          <c:marker>
            <c:symbol val="star"/>
            <c:size val="2"/>
          </c:marker>
          <c:trendline>
            <c:trendlineType val="log"/>
            <c:dispRSqr val="0"/>
            <c:dispEq val="0"/>
          </c:trendline>
          <c:xVal>
            <c:numRef>
              <c:f>OscBC!$A$4:$A$131</c:f>
              <c:numCache>
                <c:formatCode>General</c:formatCode>
                <c:ptCount val="121"/>
                <c:pt idx="0">
                  <c:v>127</c:v>
                </c:pt>
                <c:pt idx="1">
                  <c:v>126</c:v>
                </c:pt>
                <c:pt idx="2">
                  <c:v>125</c:v>
                </c:pt>
                <c:pt idx="3">
                  <c:v>124</c:v>
                </c:pt>
                <c:pt idx="4">
                  <c:v>123</c:v>
                </c:pt>
                <c:pt idx="5">
                  <c:v>122</c:v>
                </c:pt>
                <c:pt idx="6">
                  <c:v>121</c:v>
                </c:pt>
                <c:pt idx="7">
                  <c:v>120</c:v>
                </c:pt>
                <c:pt idx="8">
                  <c:v>119</c:v>
                </c:pt>
                <c:pt idx="9">
                  <c:v>118</c:v>
                </c:pt>
                <c:pt idx="10">
                  <c:v>117</c:v>
                </c:pt>
                <c:pt idx="11">
                  <c:v>116</c:v>
                </c:pt>
                <c:pt idx="12">
                  <c:v>115</c:v>
                </c:pt>
                <c:pt idx="13">
                  <c:v>114</c:v>
                </c:pt>
                <c:pt idx="14">
                  <c:v>113</c:v>
                </c:pt>
                <c:pt idx="15">
                  <c:v>112</c:v>
                </c:pt>
                <c:pt idx="16">
                  <c:v>111</c:v>
                </c:pt>
                <c:pt idx="17">
                  <c:v>110</c:v>
                </c:pt>
                <c:pt idx="18">
                  <c:v>109</c:v>
                </c:pt>
                <c:pt idx="19">
                  <c:v>108</c:v>
                </c:pt>
                <c:pt idx="20">
                  <c:v>107</c:v>
                </c:pt>
                <c:pt idx="21">
                  <c:v>106</c:v>
                </c:pt>
                <c:pt idx="22">
                  <c:v>105</c:v>
                </c:pt>
                <c:pt idx="23">
                  <c:v>104</c:v>
                </c:pt>
                <c:pt idx="24">
                  <c:v>103</c:v>
                </c:pt>
                <c:pt idx="25">
                  <c:v>102</c:v>
                </c:pt>
                <c:pt idx="26">
                  <c:v>101</c:v>
                </c:pt>
                <c:pt idx="27">
                  <c:v>100</c:v>
                </c:pt>
                <c:pt idx="28">
                  <c:v>99</c:v>
                </c:pt>
                <c:pt idx="29">
                  <c:v>98</c:v>
                </c:pt>
                <c:pt idx="30">
                  <c:v>97</c:v>
                </c:pt>
                <c:pt idx="31">
                  <c:v>96</c:v>
                </c:pt>
                <c:pt idx="32">
                  <c:v>88</c:v>
                </c:pt>
                <c:pt idx="33">
                  <c:v>87</c:v>
                </c:pt>
                <c:pt idx="34">
                  <c:v>86</c:v>
                </c:pt>
                <c:pt idx="35">
                  <c:v>85</c:v>
                </c:pt>
                <c:pt idx="36">
                  <c:v>84</c:v>
                </c:pt>
                <c:pt idx="37">
                  <c:v>83</c:v>
                </c:pt>
                <c:pt idx="38">
                  <c:v>82</c:v>
                </c:pt>
                <c:pt idx="39">
                  <c:v>81</c:v>
                </c:pt>
                <c:pt idx="40">
                  <c:v>80</c:v>
                </c:pt>
                <c:pt idx="41">
                  <c:v>79</c:v>
                </c:pt>
                <c:pt idx="42">
                  <c:v>78</c:v>
                </c:pt>
                <c:pt idx="43">
                  <c:v>77</c:v>
                </c:pt>
                <c:pt idx="44">
                  <c:v>76</c:v>
                </c:pt>
                <c:pt idx="45">
                  <c:v>75</c:v>
                </c:pt>
                <c:pt idx="46">
                  <c:v>74</c:v>
                </c:pt>
                <c:pt idx="47">
                  <c:v>73</c:v>
                </c:pt>
                <c:pt idx="48">
                  <c:v>72</c:v>
                </c:pt>
                <c:pt idx="49">
                  <c:v>71</c:v>
                </c:pt>
                <c:pt idx="50">
                  <c:v>70</c:v>
                </c:pt>
                <c:pt idx="51">
                  <c:v>69</c:v>
                </c:pt>
                <c:pt idx="52">
                  <c:v>68</c:v>
                </c:pt>
                <c:pt idx="53">
                  <c:v>67</c:v>
                </c:pt>
                <c:pt idx="54">
                  <c:v>66</c:v>
                </c:pt>
                <c:pt idx="55">
                  <c:v>65</c:v>
                </c:pt>
                <c:pt idx="56">
                  <c:v>64</c:v>
                </c:pt>
                <c:pt idx="57">
                  <c:v>63</c:v>
                </c:pt>
                <c:pt idx="58">
                  <c:v>62</c:v>
                </c:pt>
                <c:pt idx="59">
                  <c:v>61</c:v>
                </c:pt>
                <c:pt idx="60">
                  <c:v>60</c:v>
                </c:pt>
                <c:pt idx="61">
                  <c:v>59</c:v>
                </c:pt>
                <c:pt idx="62">
                  <c:v>58</c:v>
                </c:pt>
                <c:pt idx="63">
                  <c:v>57</c:v>
                </c:pt>
                <c:pt idx="64">
                  <c:v>56</c:v>
                </c:pt>
                <c:pt idx="65">
                  <c:v>55</c:v>
                </c:pt>
                <c:pt idx="66">
                  <c:v>54</c:v>
                </c:pt>
                <c:pt idx="67">
                  <c:v>53</c:v>
                </c:pt>
                <c:pt idx="68">
                  <c:v>52</c:v>
                </c:pt>
                <c:pt idx="69">
                  <c:v>51</c:v>
                </c:pt>
                <c:pt idx="70">
                  <c:v>50</c:v>
                </c:pt>
                <c:pt idx="71">
                  <c:v>49</c:v>
                </c:pt>
                <c:pt idx="72">
                  <c:v>48</c:v>
                </c:pt>
                <c:pt idx="73">
                  <c:v>47</c:v>
                </c:pt>
                <c:pt idx="74">
                  <c:v>46</c:v>
                </c:pt>
                <c:pt idx="75">
                  <c:v>45</c:v>
                </c:pt>
                <c:pt idx="76">
                  <c:v>44</c:v>
                </c:pt>
                <c:pt idx="77">
                  <c:v>43</c:v>
                </c:pt>
                <c:pt idx="78">
                  <c:v>42</c:v>
                </c:pt>
                <c:pt idx="79">
                  <c:v>41</c:v>
                </c:pt>
                <c:pt idx="80">
                  <c:v>40</c:v>
                </c:pt>
                <c:pt idx="81">
                  <c:v>39</c:v>
                </c:pt>
                <c:pt idx="82">
                  <c:v>38</c:v>
                </c:pt>
                <c:pt idx="83">
                  <c:v>37</c:v>
                </c:pt>
                <c:pt idx="84">
                  <c:v>36</c:v>
                </c:pt>
                <c:pt idx="85">
                  <c:v>35</c:v>
                </c:pt>
                <c:pt idx="86">
                  <c:v>34</c:v>
                </c:pt>
                <c:pt idx="87">
                  <c:v>33</c:v>
                </c:pt>
                <c:pt idx="88">
                  <c:v>32</c:v>
                </c:pt>
                <c:pt idx="89">
                  <c:v>31</c:v>
                </c:pt>
                <c:pt idx="90">
                  <c:v>30</c:v>
                </c:pt>
                <c:pt idx="91">
                  <c:v>29</c:v>
                </c:pt>
                <c:pt idx="92">
                  <c:v>28</c:v>
                </c:pt>
                <c:pt idx="93">
                  <c:v>27</c:v>
                </c:pt>
                <c:pt idx="94">
                  <c:v>26</c:v>
                </c:pt>
                <c:pt idx="95">
                  <c:v>25</c:v>
                </c:pt>
                <c:pt idx="96">
                  <c:v>24</c:v>
                </c:pt>
                <c:pt idx="97">
                  <c:v>23</c:v>
                </c:pt>
                <c:pt idx="98">
                  <c:v>22</c:v>
                </c:pt>
                <c:pt idx="99">
                  <c:v>21</c:v>
                </c:pt>
                <c:pt idx="100">
                  <c:v>20</c:v>
                </c:pt>
                <c:pt idx="101">
                  <c:v>19</c:v>
                </c:pt>
                <c:pt idx="102">
                  <c:v>18</c:v>
                </c:pt>
                <c:pt idx="103">
                  <c:v>17</c:v>
                </c:pt>
                <c:pt idx="104">
                  <c:v>16</c:v>
                </c:pt>
                <c:pt idx="105">
                  <c:v>15</c:v>
                </c:pt>
                <c:pt idx="106">
                  <c:v>14</c:v>
                </c:pt>
                <c:pt idx="107">
                  <c:v>13</c:v>
                </c:pt>
                <c:pt idx="108">
                  <c:v>12</c:v>
                </c:pt>
                <c:pt idx="109">
                  <c:v>11</c:v>
                </c:pt>
                <c:pt idx="110">
                  <c:v>10</c:v>
                </c:pt>
                <c:pt idx="111">
                  <c:v>9</c:v>
                </c:pt>
                <c:pt idx="112">
                  <c:v>8</c:v>
                </c:pt>
                <c:pt idx="113">
                  <c:v>7</c:v>
                </c:pt>
                <c:pt idx="114">
                  <c:v>6</c:v>
                </c:pt>
                <c:pt idx="115">
                  <c:v>5</c:v>
                </c:pt>
                <c:pt idx="116">
                  <c:v>4</c:v>
                </c:pt>
                <c:pt idx="117">
                  <c:v>3</c:v>
                </c:pt>
                <c:pt idx="118">
                  <c:v>2</c:v>
                </c:pt>
                <c:pt idx="119">
                  <c:v>1</c:v>
                </c:pt>
                <c:pt idx="120">
                  <c:v>0</c:v>
                </c:pt>
              </c:numCache>
            </c:numRef>
          </c:xVal>
          <c:yVal>
            <c:numRef>
              <c:f>OscBC!$Y$4:$Y$131</c:f>
              <c:numCache>
                <c:formatCode>0.000</c:formatCode>
                <c:ptCount val="121"/>
                <c:pt idx="0">
                  <c:v>1</c:v>
                </c:pt>
                <c:pt idx="7">
                  <c:v>0.97158081705150978</c:v>
                </c:pt>
                <c:pt idx="15">
                  <c:v>0.93605683836589693</c:v>
                </c:pt>
                <c:pt idx="31">
                  <c:v>0.86856127886323264</c:v>
                </c:pt>
                <c:pt idx="32">
                  <c:v>0.83658969804618122</c:v>
                </c:pt>
                <c:pt idx="40">
                  <c:v>0.80461811722912968</c:v>
                </c:pt>
                <c:pt idx="48">
                  <c:v>0.77264653641207814</c:v>
                </c:pt>
                <c:pt idx="56">
                  <c:v>0.73357015985790408</c:v>
                </c:pt>
                <c:pt idx="60">
                  <c:v>0.72646536412078155</c:v>
                </c:pt>
                <c:pt idx="64">
                  <c:v>0.68738898756660749</c:v>
                </c:pt>
                <c:pt idx="72">
                  <c:v>0.58081705150976914</c:v>
                </c:pt>
                <c:pt idx="80">
                  <c:v>0.48490230905861459</c:v>
                </c:pt>
                <c:pt idx="88">
                  <c:v>0.39609236234458262</c:v>
                </c:pt>
                <c:pt idx="94">
                  <c:v>0.33925399644760212</c:v>
                </c:pt>
                <c:pt idx="96">
                  <c:v>0.31793960923623443</c:v>
                </c:pt>
                <c:pt idx="100">
                  <c:v>0.28241563055062169</c:v>
                </c:pt>
                <c:pt idx="104">
                  <c:v>0.2483126110124334</c:v>
                </c:pt>
                <c:pt idx="106">
                  <c:v>0.23126110124333923</c:v>
                </c:pt>
                <c:pt idx="108">
                  <c:v>0.21420959147424509</c:v>
                </c:pt>
                <c:pt idx="110">
                  <c:v>0.19928952042628773</c:v>
                </c:pt>
                <c:pt idx="111">
                  <c:v>0.16625222024866784</c:v>
                </c:pt>
                <c:pt idx="112">
                  <c:v>0.12433392539964476</c:v>
                </c:pt>
                <c:pt idx="114">
                  <c:v>5.8614564831261103E-2</c:v>
                </c:pt>
                <c:pt idx="116">
                  <c:v>1.5985790408525755E-2</c:v>
                </c:pt>
                <c:pt idx="120">
                  <c:v>0</c:v>
                </c:pt>
              </c:numCache>
            </c:numRef>
          </c:yVal>
          <c:smooth val="0"/>
        </c:ser>
        <c:ser>
          <c:idx val="5"/>
          <c:order val="5"/>
          <c:tx>
            <c:v>BC 0.15</c:v>
          </c:tx>
          <c:marker>
            <c:symbol val="circle"/>
            <c:size val="3"/>
          </c:marker>
          <c:xVal>
            <c:numRef>
              <c:f>OscBC!$A$4:$A$131</c:f>
              <c:numCache>
                <c:formatCode>General</c:formatCode>
                <c:ptCount val="121"/>
                <c:pt idx="0">
                  <c:v>127</c:v>
                </c:pt>
                <c:pt idx="1">
                  <c:v>126</c:v>
                </c:pt>
                <c:pt idx="2">
                  <c:v>125</c:v>
                </c:pt>
                <c:pt idx="3">
                  <c:v>124</c:v>
                </c:pt>
                <c:pt idx="4">
                  <c:v>123</c:v>
                </c:pt>
                <c:pt idx="5">
                  <c:v>122</c:v>
                </c:pt>
                <c:pt idx="6">
                  <c:v>121</c:v>
                </c:pt>
                <c:pt idx="7">
                  <c:v>120</c:v>
                </c:pt>
                <c:pt idx="8">
                  <c:v>119</c:v>
                </c:pt>
                <c:pt idx="9">
                  <c:v>118</c:v>
                </c:pt>
                <c:pt idx="10">
                  <c:v>117</c:v>
                </c:pt>
                <c:pt idx="11">
                  <c:v>116</c:v>
                </c:pt>
                <c:pt idx="12">
                  <c:v>115</c:v>
                </c:pt>
                <c:pt idx="13">
                  <c:v>114</c:v>
                </c:pt>
                <c:pt idx="14">
                  <c:v>113</c:v>
                </c:pt>
                <c:pt idx="15">
                  <c:v>112</c:v>
                </c:pt>
                <c:pt idx="16">
                  <c:v>111</c:v>
                </c:pt>
                <c:pt idx="17">
                  <c:v>110</c:v>
                </c:pt>
                <c:pt idx="18">
                  <c:v>109</c:v>
                </c:pt>
                <c:pt idx="19">
                  <c:v>108</c:v>
                </c:pt>
                <c:pt idx="20">
                  <c:v>107</c:v>
                </c:pt>
                <c:pt idx="21">
                  <c:v>106</c:v>
                </c:pt>
                <c:pt idx="22">
                  <c:v>105</c:v>
                </c:pt>
                <c:pt idx="23">
                  <c:v>104</c:v>
                </c:pt>
                <c:pt idx="24">
                  <c:v>103</c:v>
                </c:pt>
                <c:pt idx="25">
                  <c:v>102</c:v>
                </c:pt>
                <c:pt idx="26">
                  <c:v>101</c:v>
                </c:pt>
                <c:pt idx="27">
                  <c:v>100</c:v>
                </c:pt>
                <c:pt idx="28">
                  <c:v>99</c:v>
                </c:pt>
                <c:pt idx="29">
                  <c:v>98</c:v>
                </c:pt>
                <c:pt idx="30">
                  <c:v>97</c:v>
                </c:pt>
                <c:pt idx="31">
                  <c:v>96</c:v>
                </c:pt>
                <c:pt idx="32">
                  <c:v>88</c:v>
                </c:pt>
                <c:pt idx="33">
                  <c:v>87</c:v>
                </c:pt>
                <c:pt idx="34">
                  <c:v>86</c:v>
                </c:pt>
                <c:pt idx="35">
                  <c:v>85</c:v>
                </c:pt>
                <c:pt idx="36">
                  <c:v>84</c:v>
                </c:pt>
                <c:pt idx="37">
                  <c:v>83</c:v>
                </c:pt>
                <c:pt idx="38">
                  <c:v>82</c:v>
                </c:pt>
                <c:pt idx="39">
                  <c:v>81</c:v>
                </c:pt>
                <c:pt idx="40">
                  <c:v>80</c:v>
                </c:pt>
                <c:pt idx="41">
                  <c:v>79</c:v>
                </c:pt>
                <c:pt idx="42">
                  <c:v>78</c:v>
                </c:pt>
                <c:pt idx="43">
                  <c:v>77</c:v>
                </c:pt>
                <c:pt idx="44">
                  <c:v>76</c:v>
                </c:pt>
                <c:pt idx="45">
                  <c:v>75</c:v>
                </c:pt>
                <c:pt idx="46">
                  <c:v>74</c:v>
                </c:pt>
                <c:pt idx="47">
                  <c:v>73</c:v>
                </c:pt>
                <c:pt idx="48">
                  <c:v>72</c:v>
                </c:pt>
                <c:pt idx="49">
                  <c:v>71</c:v>
                </c:pt>
                <c:pt idx="50">
                  <c:v>70</c:v>
                </c:pt>
                <c:pt idx="51">
                  <c:v>69</c:v>
                </c:pt>
                <c:pt idx="52">
                  <c:v>68</c:v>
                </c:pt>
                <c:pt idx="53">
                  <c:v>67</c:v>
                </c:pt>
                <c:pt idx="54">
                  <c:v>66</c:v>
                </c:pt>
                <c:pt idx="55">
                  <c:v>65</c:v>
                </c:pt>
                <c:pt idx="56">
                  <c:v>64</c:v>
                </c:pt>
                <c:pt idx="57">
                  <c:v>63</c:v>
                </c:pt>
                <c:pt idx="58">
                  <c:v>62</c:v>
                </c:pt>
                <c:pt idx="59">
                  <c:v>61</c:v>
                </c:pt>
                <c:pt idx="60">
                  <c:v>60</c:v>
                </c:pt>
                <c:pt idx="61">
                  <c:v>59</c:v>
                </c:pt>
                <c:pt idx="62">
                  <c:v>58</c:v>
                </c:pt>
                <c:pt idx="63">
                  <c:v>57</c:v>
                </c:pt>
                <c:pt idx="64">
                  <c:v>56</c:v>
                </c:pt>
                <c:pt idx="65">
                  <c:v>55</c:v>
                </c:pt>
                <c:pt idx="66">
                  <c:v>54</c:v>
                </c:pt>
                <c:pt idx="67">
                  <c:v>53</c:v>
                </c:pt>
                <c:pt idx="68">
                  <c:v>52</c:v>
                </c:pt>
                <c:pt idx="69">
                  <c:v>51</c:v>
                </c:pt>
                <c:pt idx="70">
                  <c:v>50</c:v>
                </c:pt>
                <c:pt idx="71">
                  <c:v>49</c:v>
                </c:pt>
                <c:pt idx="72">
                  <c:v>48</c:v>
                </c:pt>
                <c:pt idx="73">
                  <c:v>47</c:v>
                </c:pt>
                <c:pt idx="74">
                  <c:v>46</c:v>
                </c:pt>
                <c:pt idx="75">
                  <c:v>45</c:v>
                </c:pt>
                <c:pt idx="76">
                  <c:v>44</c:v>
                </c:pt>
                <c:pt idx="77">
                  <c:v>43</c:v>
                </c:pt>
                <c:pt idx="78">
                  <c:v>42</c:v>
                </c:pt>
                <c:pt idx="79">
                  <c:v>41</c:v>
                </c:pt>
                <c:pt idx="80">
                  <c:v>40</c:v>
                </c:pt>
                <c:pt idx="81">
                  <c:v>39</c:v>
                </c:pt>
                <c:pt idx="82">
                  <c:v>38</c:v>
                </c:pt>
                <c:pt idx="83">
                  <c:v>37</c:v>
                </c:pt>
                <c:pt idx="84">
                  <c:v>36</c:v>
                </c:pt>
                <c:pt idx="85">
                  <c:v>35</c:v>
                </c:pt>
                <c:pt idx="86">
                  <c:v>34</c:v>
                </c:pt>
                <c:pt idx="87">
                  <c:v>33</c:v>
                </c:pt>
                <c:pt idx="88">
                  <c:v>32</c:v>
                </c:pt>
                <c:pt idx="89">
                  <c:v>31</c:v>
                </c:pt>
                <c:pt idx="90">
                  <c:v>30</c:v>
                </c:pt>
                <c:pt idx="91">
                  <c:v>29</c:v>
                </c:pt>
                <c:pt idx="92">
                  <c:v>28</c:v>
                </c:pt>
                <c:pt idx="93">
                  <c:v>27</c:v>
                </c:pt>
                <c:pt idx="94">
                  <c:v>26</c:v>
                </c:pt>
                <c:pt idx="95">
                  <c:v>25</c:v>
                </c:pt>
                <c:pt idx="96">
                  <c:v>24</c:v>
                </c:pt>
                <c:pt idx="97">
                  <c:v>23</c:v>
                </c:pt>
                <c:pt idx="98">
                  <c:v>22</c:v>
                </c:pt>
                <c:pt idx="99">
                  <c:v>21</c:v>
                </c:pt>
                <c:pt idx="100">
                  <c:v>20</c:v>
                </c:pt>
                <c:pt idx="101">
                  <c:v>19</c:v>
                </c:pt>
                <c:pt idx="102">
                  <c:v>18</c:v>
                </c:pt>
                <c:pt idx="103">
                  <c:v>17</c:v>
                </c:pt>
                <c:pt idx="104">
                  <c:v>16</c:v>
                </c:pt>
                <c:pt idx="105">
                  <c:v>15</c:v>
                </c:pt>
                <c:pt idx="106">
                  <c:v>14</c:v>
                </c:pt>
                <c:pt idx="107">
                  <c:v>13</c:v>
                </c:pt>
                <c:pt idx="108">
                  <c:v>12</c:v>
                </c:pt>
                <c:pt idx="109">
                  <c:v>11</c:v>
                </c:pt>
                <c:pt idx="110">
                  <c:v>10</c:v>
                </c:pt>
                <c:pt idx="111">
                  <c:v>9</c:v>
                </c:pt>
                <c:pt idx="112">
                  <c:v>8</c:v>
                </c:pt>
                <c:pt idx="113">
                  <c:v>7</c:v>
                </c:pt>
                <c:pt idx="114">
                  <c:v>6</c:v>
                </c:pt>
                <c:pt idx="115">
                  <c:v>5</c:v>
                </c:pt>
                <c:pt idx="116">
                  <c:v>4</c:v>
                </c:pt>
                <c:pt idx="117">
                  <c:v>3</c:v>
                </c:pt>
                <c:pt idx="118">
                  <c:v>2</c:v>
                </c:pt>
                <c:pt idx="119">
                  <c:v>1</c:v>
                </c:pt>
                <c:pt idx="120">
                  <c:v>0</c:v>
                </c:pt>
              </c:numCache>
            </c:numRef>
          </c:xVal>
          <c:yVal>
            <c:numRef>
              <c:f>OscBC!$AA$4:$AA$131</c:f>
              <c:numCache>
                <c:formatCode>0.000</c:formatCode>
                <c:ptCount val="121"/>
                <c:pt idx="0">
                  <c:v>1</c:v>
                </c:pt>
                <c:pt idx="31">
                  <c:v>0.82593250444049737</c:v>
                </c:pt>
                <c:pt idx="32">
                  <c:v>0.78330373001776199</c:v>
                </c:pt>
                <c:pt idx="48">
                  <c:v>0.69449378330373002</c:v>
                </c:pt>
                <c:pt idx="52">
                  <c:v>0.68383658969804617</c:v>
                </c:pt>
                <c:pt idx="56">
                  <c:v>0.63765541740674958</c:v>
                </c:pt>
                <c:pt idx="64">
                  <c:v>0.53463587921847244</c:v>
                </c:pt>
                <c:pt idx="72">
                  <c:v>0.43872113676731794</c:v>
                </c:pt>
                <c:pt idx="88">
                  <c:v>0.27992895204262874</c:v>
                </c:pt>
                <c:pt idx="104">
                  <c:v>0.15381882770870337</c:v>
                </c:pt>
                <c:pt idx="106">
                  <c:v>0.13712255772646537</c:v>
                </c:pt>
                <c:pt idx="108">
                  <c:v>0.12504440497335703</c:v>
                </c:pt>
                <c:pt idx="109">
                  <c:v>0.11509769094138543</c:v>
                </c:pt>
                <c:pt idx="110">
                  <c:v>8.8454706927175844E-2</c:v>
                </c:pt>
                <c:pt idx="112">
                  <c:v>5.079928952042629E-2</c:v>
                </c:pt>
                <c:pt idx="116">
                  <c:v>2.4866785079928925E-3</c:v>
                </c:pt>
                <c:pt idx="120">
                  <c:v>0</c:v>
                </c:pt>
              </c:numCache>
            </c:numRef>
          </c:yVal>
          <c:smooth val="0"/>
        </c:ser>
        <c:ser>
          <c:idx val="3"/>
          <c:order val="6"/>
          <c:tx>
            <c:v>BC 0.1</c:v>
          </c:tx>
          <c:marker>
            <c:symbol val="x"/>
            <c:size val="2"/>
          </c:marker>
          <c:xVal>
            <c:numRef>
              <c:f>OscBC!$A$4:$A$131</c:f>
              <c:numCache>
                <c:formatCode>General</c:formatCode>
                <c:ptCount val="121"/>
                <c:pt idx="0">
                  <c:v>127</c:v>
                </c:pt>
                <c:pt idx="1">
                  <c:v>126</c:v>
                </c:pt>
                <c:pt idx="2">
                  <c:v>125</c:v>
                </c:pt>
                <c:pt idx="3">
                  <c:v>124</c:v>
                </c:pt>
                <c:pt idx="4">
                  <c:v>123</c:v>
                </c:pt>
                <c:pt idx="5">
                  <c:v>122</c:v>
                </c:pt>
                <c:pt idx="6">
                  <c:v>121</c:v>
                </c:pt>
                <c:pt idx="7">
                  <c:v>120</c:v>
                </c:pt>
                <c:pt idx="8">
                  <c:v>119</c:v>
                </c:pt>
                <c:pt idx="9">
                  <c:v>118</c:v>
                </c:pt>
                <c:pt idx="10">
                  <c:v>117</c:v>
                </c:pt>
                <c:pt idx="11">
                  <c:v>116</c:v>
                </c:pt>
                <c:pt idx="12">
                  <c:v>115</c:v>
                </c:pt>
                <c:pt idx="13">
                  <c:v>114</c:v>
                </c:pt>
                <c:pt idx="14">
                  <c:v>113</c:v>
                </c:pt>
                <c:pt idx="15">
                  <c:v>112</c:v>
                </c:pt>
                <c:pt idx="16">
                  <c:v>111</c:v>
                </c:pt>
                <c:pt idx="17">
                  <c:v>110</c:v>
                </c:pt>
                <c:pt idx="18">
                  <c:v>109</c:v>
                </c:pt>
                <c:pt idx="19">
                  <c:v>108</c:v>
                </c:pt>
                <c:pt idx="20">
                  <c:v>107</c:v>
                </c:pt>
                <c:pt idx="21">
                  <c:v>106</c:v>
                </c:pt>
                <c:pt idx="22">
                  <c:v>105</c:v>
                </c:pt>
                <c:pt idx="23">
                  <c:v>104</c:v>
                </c:pt>
                <c:pt idx="24">
                  <c:v>103</c:v>
                </c:pt>
                <c:pt idx="25">
                  <c:v>102</c:v>
                </c:pt>
                <c:pt idx="26">
                  <c:v>101</c:v>
                </c:pt>
                <c:pt idx="27">
                  <c:v>100</c:v>
                </c:pt>
                <c:pt idx="28">
                  <c:v>99</c:v>
                </c:pt>
                <c:pt idx="29">
                  <c:v>98</c:v>
                </c:pt>
                <c:pt idx="30">
                  <c:v>97</c:v>
                </c:pt>
                <c:pt idx="31">
                  <c:v>96</c:v>
                </c:pt>
                <c:pt idx="32">
                  <c:v>88</c:v>
                </c:pt>
                <c:pt idx="33">
                  <c:v>87</c:v>
                </c:pt>
                <c:pt idx="34">
                  <c:v>86</c:v>
                </c:pt>
                <c:pt idx="35">
                  <c:v>85</c:v>
                </c:pt>
                <c:pt idx="36">
                  <c:v>84</c:v>
                </c:pt>
                <c:pt idx="37">
                  <c:v>83</c:v>
                </c:pt>
                <c:pt idx="38">
                  <c:v>82</c:v>
                </c:pt>
                <c:pt idx="39">
                  <c:v>81</c:v>
                </c:pt>
                <c:pt idx="40">
                  <c:v>80</c:v>
                </c:pt>
                <c:pt idx="41">
                  <c:v>79</c:v>
                </c:pt>
                <c:pt idx="42">
                  <c:v>78</c:v>
                </c:pt>
                <c:pt idx="43">
                  <c:v>77</c:v>
                </c:pt>
                <c:pt idx="44">
                  <c:v>76</c:v>
                </c:pt>
                <c:pt idx="45">
                  <c:v>75</c:v>
                </c:pt>
                <c:pt idx="46">
                  <c:v>74</c:v>
                </c:pt>
                <c:pt idx="47">
                  <c:v>73</c:v>
                </c:pt>
                <c:pt idx="48">
                  <c:v>72</c:v>
                </c:pt>
                <c:pt idx="49">
                  <c:v>71</c:v>
                </c:pt>
                <c:pt idx="50">
                  <c:v>70</c:v>
                </c:pt>
                <c:pt idx="51">
                  <c:v>69</c:v>
                </c:pt>
                <c:pt idx="52">
                  <c:v>68</c:v>
                </c:pt>
                <c:pt idx="53">
                  <c:v>67</c:v>
                </c:pt>
                <c:pt idx="54">
                  <c:v>66</c:v>
                </c:pt>
                <c:pt idx="55">
                  <c:v>65</c:v>
                </c:pt>
                <c:pt idx="56">
                  <c:v>64</c:v>
                </c:pt>
                <c:pt idx="57">
                  <c:v>63</c:v>
                </c:pt>
                <c:pt idx="58">
                  <c:v>62</c:v>
                </c:pt>
                <c:pt idx="59">
                  <c:v>61</c:v>
                </c:pt>
                <c:pt idx="60">
                  <c:v>60</c:v>
                </c:pt>
                <c:pt idx="61">
                  <c:v>59</c:v>
                </c:pt>
                <c:pt idx="62">
                  <c:v>58</c:v>
                </c:pt>
                <c:pt idx="63">
                  <c:v>57</c:v>
                </c:pt>
                <c:pt idx="64">
                  <c:v>56</c:v>
                </c:pt>
                <c:pt idx="65">
                  <c:v>55</c:v>
                </c:pt>
                <c:pt idx="66">
                  <c:v>54</c:v>
                </c:pt>
                <c:pt idx="67">
                  <c:v>53</c:v>
                </c:pt>
                <c:pt idx="68">
                  <c:v>52</c:v>
                </c:pt>
                <c:pt idx="69">
                  <c:v>51</c:v>
                </c:pt>
                <c:pt idx="70">
                  <c:v>50</c:v>
                </c:pt>
                <c:pt idx="71">
                  <c:v>49</c:v>
                </c:pt>
                <c:pt idx="72">
                  <c:v>48</c:v>
                </c:pt>
                <c:pt idx="73">
                  <c:v>47</c:v>
                </c:pt>
                <c:pt idx="74">
                  <c:v>46</c:v>
                </c:pt>
                <c:pt idx="75">
                  <c:v>45</c:v>
                </c:pt>
                <c:pt idx="76">
                  <c:v>44</c:v>
                </c:pt>
                <c:pt idx="77">
                  <c:v>43</c:v>
                </c:pt>
                <c:pt idx="78">
                  <c:v>42</c:v>
                </c:pt>
                <c:pt idx="79">
                  <c:v>41</c:v>
                </c:pt>
                <c:pt idx="80">
                  <c:v>40</c:v>
                </c:pt>
                <c:pt idx="81">
                  <c:v>39</c:v>
                </c:pt>
                <c:pt idx="82">
                  <c:v>38</c:v>
                </c:pt>
                <c:pt idx="83">
                  <c:v>37</c:v>
                </c:pt>
                <c:pt idx="84">
                  <c:v>36</c:v>
                </c:pt>
                <c:pt idx="85">
                  <c:v>35</c:v>
                </c:pt>
                <c:pt idx="86">
                  <c:v>34</c:v>
                </c:pt>
                <c:pt idx="87">
                  <c:v>33</c:v>
                </c:pt>
                <c:pt idx="88">
                  <c:v>32</c:v>
                </c:pt>
                <c:pt idx="89">
                  <c:v>31</c:v>
                </c:pt>
                <c:pt idx="90">
                  <c:v>30</c:v>
                </c:pt>
                <c:pt idx="91">
                  <c:v>29</c:v>
                </c:pt>
                <c:pt idx="92">
                  <c:v>28</c:v>
                </c:pt>
                <c:pt idx="93">
                  <c:v>27</c:v>
                </c:pt>
                <c:pt idx="94">
                  <c:v>26</c:v>
                </c:pt>
                <c:pt idx="95">
                  <c:v>25</c:v>
                </c:pt>
                <c:pt idx="96">
                  <c:v>24</c:v>
                </c:pt>
                <c:pt idx="97">
                  <c:v>23</c:v>
                </c:pt>
                <c:pt idx="98">
                  <c:v>22</c:v>
                </c:pt>
                <c:pt idx="99">
                  <c:v>21</c:v>
                </c:pt>
                <c:pt idx="100">
                  <c:v>20</c:v>
                </c:pt>
                <c:pt idx="101">
                  <c:v>19</c:v>
                </c:pt>
                <c:pt idx="102">
                  <c:v>18</c:v>
                </c:pt>
                <c:pt idx="103">
                  <c:v>17</c:v>
                </c:pt>
                <c:pt idx="104">
                  <c:v>16</c:v>
                </c:pt>
                <c:pt idx="105">
                  <c:v>15</c:v>
                </c:pt>
                <c:pt idx="106">
                  <c:v>14</c:v>
                </c:pt>
                <c:pt idx="107">
                  <c:v>13</c:v>
                </c:pt>
                <c:pt idx="108">
                  <c:v>12</c:v>
                </c:pt>
                <c:pt idx="109">
                  <c:v>11</c:v>
                </c:pt>
                <c:pt idx="110">
                  <c:v>10</c:v>
                </c:pt>
                <c:pt idx="111">
                  <c:v>9</c:v>
                </c:pt>
                <c:pt idx="112">
                  <c:v>8</c:v>
                </c:pt>
                <c:pt idx="113">
                  <c:v>7</c:v>
                </c:pt>
                <c:pt idx="114">
                  <c:v>6</c:v>
                </c:pt>
                <c:pt idx="115">
                  <c:v>5</c:v>
                </c:pt>
                <c:pt idx="116">
                  <c:v>4</c:v>
                </c:pt>
                <c:pt idx="117">
                  <c:v>3</c:v>
                </c:pt>
                <c:pt idx="118">
                  <c:v>2</c:v>
                </c:pt>
                <c:pt idx="119">
                  <c:v>1</c:v>
                </c:pt>
                <c:pt idx="120">
                  <c:v>0</c:v>
                </c:pt>
              </c:numCache>
            </c:numRef>
          </c:xVal>
          <c:yVal>
            <c:numRef>
              <c:f>OscBC!$AC$4:$AC$131</c:f>
              <c:numCache>
                <c:formatCode>0.000</c:formatCode>
                <c:ptCount val="121"/>
                <c:pt idx="0">
                  <c:v>1</c:v>
                </c:pt>
                <c:pt idx="15">
                  <c:v>0.88517745302714002</c:v>
                </c:pt>
                <c:pt idx="31">
                  <c:v>0.76339596381350039</c:v>
                </c:pt>
                <c:pt idx="32">
                  <c:v>0.70424495476687554</c:v>
                </c:pt>
                <c:pt idx="36">
                  <c:v>0.68336812804453728</c:v>
                </c:pt>
                <c:pt idx="40">
                  <c:v>0.65553235908141971</c:v>
                </c:pt>
                <c:pt idx="44">
                  <c:v>0.62073764787752272</c:v>
                </c:pt>
                <c:pt idx="48">
                  <c:v>0.56506610995128748</c:v>
                </c:pt>
                <c:pt idx="56">
                  <c:v>0.47459986082115524</c:v>
                </c:pt>
                <c:pt idx="72">
                  <c:v>0.31489213639526792</c:v>
                </c:pt>
                <c:pt idx="88">
                  <c:v>0.1837160751565762</c:v>
                </c:pt>
                <c:pt idx="96">
                  <c:v>0.13221990257480865</c:v>
                </c:pt>
                <c:pt idx="104">
                  <c:v>8.8378566457898405E-2</c:v>
                </c:pt>
                <c:pt idx="105">
                  <c:v>8.3159359777313854E-2</c:v>
                </c:pt>
                <c:pt idx="106">
                  <c:v>7.8636047320807242E-2</c:v>
                </c:pt>
                <c:pt idx="107">
                  <c:v>7.4460681976339593E-2</c:v>
                </c:pt>
                <c:pt idx="108">
                  <c:v>6.1586638830897704E-2</c:v>
                </c:pt>
                <c:pt idx="109">
                  <c:v>5.1148225469728609E-2</c:v>
                </c:pt>
                <c:pt idx="110">
                  <c:v>3.9665970772442591E-2</c:v>
                </c:pt>
                <c:pt idx="116">
                  <c:v>2.0528879610299247E-3</c:v>
                </c:pt>
                <c:pt idx="120">
                  <c:v>0</c:v>
                </c:pt>
              </c:numCache>
            </c:numRef>
          </c:yVal>
          <c:smooth val="0"/>
        </c:ser>
        <c:ser>
          <c:idx val="1"/>
          <c:order val="7"/>
          <c:tx>
            <c:v>BC 0.05</c:v>
          </c:tx>
          <c:spPr>
            <a:ln w="28575">
              <a:noFill/>
            </a:ln>
          </c:spPr>
          <c:marker>
            <c:symbol val="square"/>
            <c:size val="2"/>
          </c:marker>
          <c:xVal>
            <c:numRef>
              <c:f>OscBC!$A$4:$A$131</c:f>
              <c:numCache>
                <c:formatCode>General</c:formatCode>
                <c:ptCount val="121"/>
                <c:pt idx="0">
                  <c:v>127</c:v>
                </c:pt>
                <c:pt idx="1">
                  <c:v>126</c:v>
                </c:pt>
                <c:pt idx="2">
                  <c:v>125</c:v>
                </c:pt>
                <c:pt idx="3">
                  <c:v>124</c:v>
                </c:pt>
                <c:pt idx="4">
                  <c:v>123</c:v>
                </c:pt>
                <c:pt idx="5">
                  <c:v>122</c:v>
                </c:pt>
                <c:pt idx="6">
                  <c:v>121</c:v>
                </c:pt>
                <c:pt idx="7">
                  <c:v>120</c:v>
                </c:pt>
                <c:pt idx="8">
                  <c:v>119</c:v>
                </c:pt>
                <c:pt idx="9">
                  <c:v>118</c:v>
                </c:pt>
                <c:pt idx="10">
                  <c:v>117</c:v>
                </c:pt>
                <c:pt idx="11">
                  <c:v>116</c:v>
                </c:pt>
                <c:pt idx="12">
                  <c:v>115</c:v>
                </c:pt>
                <c:pt idx="13">
                  <c:v>114</c:v>
                </c:pt>
                <c:pt idx="14">
                  <c:v>113</c:v>
                </c:pt>
                <c:pt idx="15">
                  <c:v>112</c:v>
                </c:pt>
                <c:pt idx="16">
                  <c:v>111</c:v>
                </c:pt>
                <c:pt idx="17">
                  <c:v>110</c:v>
                </c:pt>
                <c:pt idx="18">
                  <c:v>109</c:v>
                </c:pt>
                <c:pt idx="19">
                  <c:v>108</c:v>
                </c:pt>
                <c:pt idx="20">
                  <c:v>107</c:v>
                </c:pt>
                <c:pt idx="21">
                  <c:v>106</c:v>
                </c:pt>
                <c:pt idx="22">
                  <c:v>105</c:v>
                </c:pt>
                <c:pt idx="23">
                  <c:v>104</c:v>
                </c:pt>
                <c:pt idx="24">
                  <c:v>103</c:v>
                </c:pt>
                <c:pt idx="25">
                  <c:v>102</c:v>
                </c:pt>
                <c:pt idx="26">
                  <c:v>101</c:v>
                </c:pt>
                <c:pt idx="27">
                  <c:v>100</c:v>
                </c:pt>
                <c:pt idx="28">
                  <c:v>99</c:v>
                </c:pt>
                <c:pt idx="29">
                  <c:v>98</c:v>
                </c:pt>
                <c:pt idx="30">
                  <c:v>97</c:v>
                </c:pt>
                <c:pt idx="31">
                  <c:v>96</c:v>
                </c:pt>
                <c:pt idx="32">
                  <c:v>88</c:v>
                </c:pt>
                <c:pt idx="33">
                  <c:v>87</c:v>
                </c:pt>
                <c:pt idx="34">
                  <c:v>86</c:v>
                </c:pt>
                <c:pt idx="35">
                  <c:v>85</c:v>
                </c:pt>
                <c:pt idx="36">
                  <c:v>84</c:v>
                </c:pt>
                <c:pt idx="37">
                  <c:v>83</c:v>
                </c:pt>
                <c:pt idx="38">
                  <c:v>82</c:v>
                </c:pt>
                <c:pt idx="39">
                  <c:v>81</c:v>
                </c:pt>
                <c:pt idx="40">
                  <c:v>80</c:v>
                </c:pt>
                <c:pt idx="41">
                  <c:v>79</c:v>
                </c:pt>
                <c:pt idx="42">
                  <c:v>78</c:v>
                </c:pt>
                <c:pt idx="43">
                  <c:v>77</c:v>
                </c:pt>
                <c:pt idx="44">
                  <c:v>76</c:v>
                </c:pt>
                <c:pt idx="45">
                  <c:v>75</c:v>
                </c:pt>
                <c:pt idx="46">
                  <c:v>74</c:v>
                </c:pt>
                <c:pt idx="47">
                  <c:v>73</c:v>
                </c:pt>
                <c:pt idx="48">
                  <c:v>72</c:v>
                </c:pt>
                <c:pt idx="49">
                  <c:v>71</c:v>
                </c:pt>
                <c:pt idx="50">
                  <c:v>70</c:v>
                </c:pt>
                <c:pt idx="51">
                  <c:v>69</c:v>
                </c:pt>
                <c:pt idx="52">
                  <c:v>68</c:v>
                </c:pt>
                <c:pt idx="53">
                  <c:v>67</c:v>
                </c:pt>
                <c:pt idx="54">
                  <c:v>66</c:v>
                </c:pt>
                <c:pt idx="55">
                  <c:v>65</c:v>
                </c:pt>
                <c:pt idx="56">
                  <c:v>64</c:v>
                </c:pt>
                <c:pt idx="57">
                  <c:v>63</c:v>
                </c:pt>
                <c:pt idx="58">
                  <c:v>62</c:v>
                </c:pt>
                <c:pt idx="59">
                  <c:v>61</c:v>
                </c:pt>
                <c:pt idx="60">
                  <c:v>60</c:v>
                </c:pt>
                <c:pt idx="61">
                  <c:v>59</c:v>
                </c:pt>
                <c:pt idx="62">
                  <c:v>58</c:v>
                </c:pt>
                <c:pt idx="63">
                  <c:v>57</c:v>
                </c:pt>
                <c:pt idx="64">
                  <c:v>56</c:v>
                </c:pt>
                <c:pt idx="65">
                  <c:v>55</c:v>
                </c:pt>
                <c:pt idx="66">
                  <c:v>54</c:v>
                </c:pt>
                <c:pt idx="67">
                  <c:v>53</c:v>
                </c:pt>
                <c:pt idx="68">
                  <c:v>52</c:v>
                </c:pt>
                <c:pt idx="69">
                  <c:v>51</c:v>
                </c:pt>
                <c:pt idx="70">
                  <c:v>50</c:v>
                </c:pt>
                <c:pt idx="71">
                  <c:v>49</c:v>
                </c:pt>
                <c:pt idx="72">
                  <c:v>48</c:v>
                </c:pt>
                <c:pt idx="73">
                  <c:v>47</c:v>
                </c:pt>
                <c:pt idx="74">
                  <c:v>46</c:v>
                </c:pt>
                <c:pt idx="75">
                  <c:v>45</c:v>
                </c:pt>
                <c:pt idx="76">
                  <c:v>44</c:v>
                </c:pt>
                <c:pt idx="77">
                  <c:v>43</c:v>
                </c:pt>
                <c:pt idx="78">
                  <c:v>42</c:v>
                </c:pt>
                <c:pt idx="79">
                  <c:v>41</c:v>
                </c:pt>
                <c:pt idx="80">
                  <c:v>40</c:v>
                </c:pt>
                <c:pt idx="81">
                  <c:v>39</c:v>
                </c:pt>
                <c:pt idx="82">
                  <c:v>38</c:v>
                </c:pt>
                <c:pt idx="83">
                  <c:v>37</c:v>
                </c:pt>
                <c:pt idx="84">
                  <c:v>36</c:v>
                </c:pt>
                <c:pt idx="85">
                  <c:v>35</c:v>
                </c:pt>
                <c:pt idx="86">
                  <c:v>34</c:v>
                </c:pt>
                <c:pt idx="87">
                  <c:v>33</c:v>
                </c:pt>
                <c:pt idx="88">
                  <c:v>32</c:v>
                </c:pt>
                <c:pt idx="89">
                  <c:v>31</c:v>
                </c:pt>
                <c:pt idx="90">
                  <c:v>30</c:v>
                </c:pt>
                <c:pt idx="91">
                  <c:v>29</c:v>
                </c:pt>
                <c:pt idx="92">
                  <c:v>28</c:v>
                </c:pt>
                <c:pt idx="93">
                  <c:v>27</c:v>
                </c:pt>
                <c:pt idx="94">
                  <c:v>26</c:v>
                </c:pt>
                <c:pt idx="95">
                  <c:v>25</c:v>
                </c:pt>
                <c:pt idx="96">
                  <c:v>24</c:v>
                </c:pt>
                <c:pt idx="97">
                  <c:v>23</c:v>
                </c:pt>
                <c:pt idx="98">
                  <c:v>22</c:v>
                </c:pt>
                <c:pt idx="99">
                  <c:v>21</c:v>
                </c:pt>
                <c:pt idx="100">
                  <c:v>20</c:v>
                </c:pt>
                <c:pt idx="101">
                  <c:v>19</c:v>
                </c:pt>
                <c:pt idx="102">
                  <c:v>18</c:v>
                </c:pt>
                <c:pt idx="103">
                  <c:v>17</c:v>
                </c:pt>
                <c:pt idx="104">
                  <c:v>16</c:v>
                </c:pt>
                <c:pt idx="105">
                  <c:v>15</c:v>
                </c:pt>
                <c:pt idx="106">
                  <c:v>14</c:v>
                </c:pt>
                <c:pt idx="107">
                  <c:v>13</c:v>
                </c:pt>
                <c:pt idx="108">
                  <c:v>12</c:v>
                </c:pt>
                <c:pt idx="109">
                  <c:v>11</c:v>
                </c:pt>
                <c:pt idx="110">
                  <c:v>10</c:v>
                </c:pt>
                <c:pt idx="111">
                  <c:v>9</c:v>
                </c:pt>
                <c:pt idx="112">
                  <c:v>8</c:v>
                </c:pt>
                <c:pt idx="113">
                  <c:v>7</c:v>
                </c:pt>
                <c:pt idx="114">
                  <c:v>6</c:v>
                </c:pt>
                <c:pt idx="115">
                  <c:v>5</c:v>
                </c:pt>
                <c:pt idx="116">
                  <c:v>4</c:v>
                </c:pt>
                <c:pt idx="117">
                  <c:v>3</c:v>
                </c:pt>
                <c:pt idx="118">
                  <c:v>2</c:v>
                </c:pt>
                <c:pt idx="119">
                  <c:v>1</c:v>
                </c:pt>
                <c:pt idx="120">
                  <c:v>0</c:v>
                </c:pt>
              </c:numCache>
            </c:numRef>
          </c:xVal>
          <c:yVal>
            <c:numRef>
              <c:f>OscBC!$AE$4:$AE$131</c:f>
              <c:numCache>
                <c:formatCode>0.000</c:formatCode>
                <c:ptCount val="121"/>
                <c:pt idx="0">
                  <c:v>1</c:v>
                </c:pt>
                <c:pt idx="15">
                  <c:v>0.84510086455331401</c:v>
                </c:pt>
                <c:pt idx="31">
                  <c:v>0.68299711815561948</c:v>
                </c:pt>
                <c:pt idx="40">
                  <c:v>0.51368876080691639</c:v>
                </c:pt>
                <c:pt idx="56">
                  <c:v>0.33357348703170026</c:v>
                </c:pt>
                <c:pt idx="72">
                  <c:v>0.19596541786743513</c:v>
                </c:pt>
                <c:pt idx="88">
                  <c:v>9.2219020172910657E-2</c:v>
                </c:pt>
                <c:pt idx="104">
                  <c:v>2.5216138328530251E-2</c:v>
                </c:pt>
                <c:pt idx="120">
                  <c:v>0</c:v>
                </c:pt>
              </c:numCache>
            </c:numRef>
          </c:yVal>
          <c:smooth val="0"/>
        </c:ser>
        <c:ser>
          <c:idx val="10"/>
          <c:order val="8"/>
          <c:tx>
            <c:v>BC 0.02</c:v>
          </c:tx>
          <c:spPr>
            <a:ln>
              <a:noFill/>
            </a:ln>
          </c:spPr>
          <c:marker>
            <c:symbol val="diamond"/>
            <c:size val="3"/>
          </c:marker>
          <c:xVal>
            <c:numRef>
              <c:f>OscBC!$A$4:$A$131</c:f>
              <c:numCache>
                <c:formatCode>General</c:formatCode>
                <c:ptCount val="121"/>
                <c:pt idx="0">
                  <c:v>127</c:v>
                </c:pt>
                <c:pt idx="1">
                  <c:v>126</c:v>
                </c:pt>
                <c:pt idx="2">
                  <c:v>125</c:v>
                </c:pt>
                <c:pt idx="3">
                  <c:v>124</c:v>
                </c:pt>
                <c:pt idx="4">
                  <c:v>123</c:v>
                </c:pt>
                <c:pt idx="5">
                  <c:v>122</c:v>
                </c:pt>
                <c:pt idx="6">
                  <c:v>121</c:v>
                </c:pt>
                <c:pt idx="7">
                  <c:v>120</c:v>
                </c:pt>
                <c:pt idx="8">
                  <c:v>119</c:v>
                </c:pt>
                <c:pt idx="9">
                  <c:v>118</c:v>
                </c:pt>
                <c:pt idx="10">
                  <c:v>117</c:v>
                </c:pt>
                <c:pt idx="11">
                  <c:v>116</c:v>
                </c:pt>
                <c:pt idx="12">
                  <c:v>115</c:v>
                </c:pt>
                <c:pt idx="13">
                  <c:v>114</c:v>
                </c:pt>
                <c:pt idx="14">
                  <c:v>113</c:v>
                </c:pt>
                <c:pt idx="15">
                  <c:v>112</c:v>
                </c:pt>
                <c:pt idx="16">
                  <c:v>111</c:v>
                </c:pt>
                <c:pt idx="17">
                  <c:v>110</c:v>
                </c:pt>
                <c:pt idx="18">
                  <c:v>109</c:v>
                </c:pt>
                <c:pt idx="19">
                  <c:v>108</c:v>
                </c:pt>
                <c:pt idx="20">
                  <c:v>107</c:v>
                </c:pt>
                <c:pt idx="21">
                  <c:v>106</c:v>
                </c:pt>
                <c:pt idx="22">
                  <c:v>105</c:v>
                </c:pt>
                <c:pt idx="23">
                  <c:v>104</c:v>
                </c:pt>
                <c:pt idx="24">
                  <c:v>103</c:v>
                </c:pt>
                <c:pt idx="25">
                  <c:v>102</c:v>
                </c:pt>
                <c:pt idx="26">
                  <c:v>101</c:v>
                </c:pt>
                <c:pt idx="27">
                  <c:v>100</c:v>
                </c:pt>
                <c:pt idx="28">
                  <c:v>99</c:v>
                </c:pt>
                <c:pt idx="29">
                  <c:v>98</c:v>
                </c:pt>
                <c:pt idx="30">
                  <c:v>97</c:v>
                </c:pt>
                <c:pt idx="31">
                  <c:v>96</c:v>
                </c:pt>
                <c:pt idx="32">
                  <c:v>88</c:v>
                </c:pt>
                <c:pt idx="33">
                  <c:v>87</c:v>
                </c:pt>
                <c:pt idx="34">
                  <c:v>86</c:v>
                </c:pt>
                <c:pt idx="35">
                  <c:v>85</c:v>
                </c:pt>
                <c:pt idx="36">
                  <c:v>84</c:v>
                </c:pt>
                <c:pt idx="37">
                  <c:v>83</c:v>
                </c:pt>
                <c:pt idx="38">
                  <c:v>82</c:v>
                </c:pt>
                <c:pt idx="39">
                  <c:v>81</c:v>
                </c:pt>
                <c:pt idx="40">
                  <c:v>80</c:v>
                </c:pt>
                <c:pt idx="41">
                  <c:v>79</c:v>
                </c:pt>
                <c:pt idx="42">
                  <c:v>78</c:v>
                </c:pt>
                <c:pt idx="43">
                  <c:v>77</c:v>
                </c:pt>
                <c:pt idx="44">
                  <c:v>76</c:v>
                </c:pt>
                <c:pt idx="45">
                  <c:v>75</c:v>
                </c:pt>
                <c:pt idx="46">
                  <c:v>74</c:v>
                </c:pt>
                <c:pt idx="47">
                  <c:v>73</c:v>
                </c:pt>
                <c:pt idx="48">
                  <c:v>72</c:v>
                </c:pt>
                <c:pt idx="49">
                  <c:v>71</c:v>
                </c:pt>
                <c:pt idx="50">
                  <c:v>70</c:v>
                </c:pt>
                <c:pt idx="51">
                  <c:v>69</c:v>
                </c:pt>
                <c:pt idx="52">
                  <c:v>68</c:v>
                </c:pt>
                <c:pt idx="53">
                  <c:v>67</c:v>
                </c:pt>
                <c:pt idx="54">
                  <c:v>66</c:v>
                </c:pt>
                <c:pt idx="55">
                  <c:v>65</c:v>
                </c:pt>
                <c:pt idx="56">
                  <c:v>64</c:v>
                </c:pt>
                <c:pt idx="57">
                  <c:v>63</c:v>
                </c:pt>
                <c:pt idx="58">
                  <c:v>62</c:v>
                </c:pt>
                <c:pt idx="59">
                  <c:v>61</c:v>
                </c:pt>
                <c:pt idx="60">
                  <c:v>60</c:v>
                </c:pt>
                <c:pt idx="61">
                  <c:v>59</c:v>
                </c:pt>
                <c:pt idx="62">
                  <c:v>58</c:v>
                </c:pt>
                <c:pt idx="63">
                  <c:v>57</c:v>
                </c:pt>
                <c:pt idx="64">
                  <c:v>56</c:v>
                </c:pt>
                <c:pt idx="65">
                  <c:v>55</c:v>
                </c:pt>
                <c:pt idx="66">
                  <c:v>54</c:v>
                </c:pt>
                <c:pt idx="67">
                  <c:v>53</c:v>
                </c:pt>
                <c:pt idx="68">
                  <c:v>52</c:v>
                </c:pt>
                <c:pt idx="69">
                  <c:v>51</c:v>
                </c:pt>
                <c:pt idx="70">
                  <c:v>50</c:v>
                </c:pt>
                <c:pt idx="71">
                  <c:v>49</c:v>
                </c:pt>
                <c:pt idx="72">
                  <c:v>48</c:v>
                </c:pt>
                <c:pt idx="73">
                  <c:v>47</c:v>
                </c:pt>
                <c:pt idx="74">
                  <c:v>46</c:v>
                </c:pt>
                <c:pt idx="75">
                  <c:v>45</c:v>
                </c:pt>
                <c:pt idx="76">
                  <c:v>44</c:v>
                </c:pt>
                <c:pt idx="77">
                  <c:v>43</c:v>
                </c:pt>
                <c:pt idx="78">
                  <c:v>42</c:v>
                </c:pt>
                <c:pt idx="79">
                  <c:v>41</c:v>
                </c:pt>
                <c:pt idx="80">
                  <c:v>40</c:v>
                </c:pt>
                <c:pt idx="81">
                  <c:v>39</c:v>
                </c:pt>
                <c:pt idx="82">
                  <c:v>38</c:v>
                </c:pt>
                <c:pt idx="83">
                  <c:v>37</c:v>
                </c:pt>
                <c:pt idx="84">
                  <c:v>36</c:v>
                </c:pt>
                <c:pt idx="85">
                  <c:v>35</c:v>
                </c:pt>
                <c:pt idx="86">
                  <c:v>34</c:v>
                </c:pt>
                <c:pt idx="87">
                  <c:v>33</c:v>
                </c:pt>
                <c:pt idx="88">
                  <c:v>32</c:v>
                </c:pt>
                <c:pt idx="89">
                  <c:v>31</c:v>
                </c:pt>
                <c:pt idx="90">
                  <c:v>30</c:v>
                </c:pt>
                <c:pt idx="91">
                  <c:v>29</c:v>
                </c:pt>
                <c:pt idx="92">
                  <c:v>28</c:v>
                </c:pt>
                <c:pt idx="93">
                  <c:v>27</c:v>
                </c:pt>
                <c:pt idx="94">
                  <c:v>26</c:v>
                </c:pt>
                <c:pt idx="95">
                  <c:v>25</c:v>
                </c:pt>
                <c:pt idx="96">
                  <c:v>24</c:v>
                </c:pt>
                <c:pt idx="97">
                  <c:v>23</c:v>
                </c:pt>
                <c:pt idx="98">
                  <c:v>22</c:v>
                </c:pt>
                <c:pt idx="99">
                  <c:v>21</c:v>
                </c:pt>
                <c:pt idx="100">
                  <c:v>20</c:v>
                </c:pt>
                <c:pt idx="101">
                  <c:v>19</c:v>
                </c:pt>
                <c:pt idx="102">
                  <c:v>18</c:v>
                </c:pt>
                <c:pt idx="103">
                  <c:v>17</c:v>
                </c:pt>
                <c:pt idx="104">
                  <c:v>16</c:v>
                </c:pt>
                <c:pt idx="105">
                  <c:v>15</c:v>
                </c:pt>
                <c:pt idx="106">
                  <c:v>14</c:v>
                </c:pt>
                <c:pt idx="107">
                  <c:v>13</c:v>
                </c:pt>
                <c:pt idx="108">
                  <c:v>12</c:v>
                </c:pt>
                <c:pt idx="109">
                  <c:v>11</c:v>
                </c:pt>
                <c:pt idx="110">
                  <c:v>10</c:v>
                </c:pt>
                <c:pt idx="111">
                  <c:v>9</c:v>
                </c:pt>
                <c:pt idx="112">
                  <c:v>8</c:v>
                </c:pt>
                <c:pt idx="113">
                  <c:v>7</c:v>
                </c:pt>
                <c:pt idx="114">
                  <c:v>6</c:v>
                </c:pt>
                <c:pt idx="115">
                  <c:v>5</c:v>
                </c:pt>
                <c:pt idx="116">
                  <c:v>4</c:v>
                </c:pt>
                <c:pt idx="117">
                  <c:v>3</c:v>
                </c:pt>
                <c:pt idx="118">
                  <c:v>2</c:v>
                </c:pt>
                <c:pt idx="119">
                  <c:v>1</c:v>
                </c:pt>
                <c:pt idx="120">
                  <c:v>0</c:v>
                </c:pt>
              </c:numCache>
            </c:numRef>
          </c:xVal>
          <c:yVal>
            <c:numRef>
              <c:f>OscBC!$AG$4:$AG$131</c:f>
              <c:numCache>
                <c:formatCode>0.000</c:formatCode>
                <c:ptCount val="121"/>
                <c:pt idx="0">
                  <c:v>1</c:v>
                </c:pt>
                <c:pt idx="15">
                  <c:v>0.80436681222707429</c:v>
                </c:pt>
                <c:pt idx="31">
                  <c:v>0.61222707423580791</c:v>
                </c:pt>
                <c:pt idx="40">
                  <c:v>0.43406113537117902</c:v>
                </c:pt>
                <c:pt idx="56">
                  <c:v>0.27510917030567683</c:v>
                </c:pt>
                <c:pt idx="72">
                  <c:v>0.1559825327510917</c:v>
                </c:pt>
                <c:pt idx="88">
                  <c:v>6.8995633187772923E-2</c:v>
                </c:pt>
                <c:pt idx="104">
                  <c:v>3.5000000000000003E-2</c:v>
                </c:pt>
                <c:pt idx="120">
                  <c:v>0</c:v>
                </c:pt>
              </c:numCache>
            </c:numRef>
          </c:yVal>
          <c:smooth val="0"/>
        </c:ser>
        <c:ser>
          <c:idx val="9"/>
          <c:order val="9"/>
          <c:tx>
            <c:v>gamma-osc</c:v>
          </c:tx>
          <c:spPr>
            <a:ln>
              <a:solidFill>
                <a:schemeClr val="accent4">
                  <a:lumMod val="40000"/>
                  <a:lumOff val="60000"/>
                </a:schemeClr>
              </a:solidFill>
              <a:prstDash val="sysDash"/>
            </a:ln>
          </c:spPr>
          <c:marker>
            <c:symbol val="none"/>
          </c:marker>
          <c:xVal>
            <c:numRef>
              <c:f>OscBC!$A$4:$A$131</c:f>
              <c:numCache>
                <c:formatCode>General</c:formatCode>
                <c:ptCount val="121"/>
                <c:pt idx="0">
                  <c:v>127</c:v>
                </c:pt>
                <c:pt idx="1">
                  <c:v>126</c:v>
                </c:pt>
                <c:pt idx="2">
                  <c:v>125</c:v>
                </c:pt>
                <c:pt idx="3">
                  <c:v>124</c:v>
                </c:pt>
                <c:pt idx="4">
                  <c:v>123</c:v>
                </c:pt>
                <c:pt idx="5">
                  <c:v>122</c:v>
                </c:pt>
                <c:pt idx="6">
                  <c:v>121</c:v>
                </c:pt>
                <c:pt idx="7">
                  <c:v>120</c:v>
                </c:pt>
                <c:pt idx="8">
                  <c:v>119</c:v>
                </c:pt>
                <c:pt idx="9">
                  <c:v>118</c:v>
                </c:pt>
                <c:pt idx="10">
                  <c:v>117</c:v>
                </c:pt>
                <c:pt idx="11">
                  <c:v>116</c:v>
                </c:pt>
                <c:pt idx="12">
                  <c:v>115</c:v>
                </c:pt>
                <c:pt idx="13">
                  <c:v>114</c:v>
                </c:pt>
                <c:pt idx="14">
                  <c:v>113</c:v>
                </c:pt>
                <c:pt idx="15">
                  <c:v>112</c:v>
                </c:pt>
                <c:pt idx="16">
                  <c:v>111</c:v>
                </c:pt>
                <c:pt idx="17">
                  <c:v>110</c:v>
                </c:pt>
                <c:pt idx="18">
                  <c:v>109</c:v>
                </c:pt>
                <c:pt idx="19">
                  <c:v>108</c:v>
                </c:pt>
                <c:pt idx="20">
                  <c:v>107</c:v>
                </c:pt>
                <c:pt idx="21">
                  <c:v>106</c:v>
                </c:pt>
                <c:pt idx="22">
                  <c:v>105</c:v>
                </c:pt>
                <c:pt idx="23">
                  <c:v>104</c:v>
                </c:pt>
                <c:pt idx="24">
                  <c:v>103</c:v>
                </c:pt>
                <c:pt idx="25">
                  <c:v>102</c:v>
                </c:pt>
                <c:pt idx="26">
                  <c:v>101</c:v>
                </c:pt>
                <c:pt idx="27">
                  <c:v>100</c:v>
                </c:pt>
                <c:pt idx="28">
                  <c:v>99</c:v>
                </c:pt>
                <c:pt idx="29">
                  <c:v>98</c:v>
                </c:pt>
                <c:pt idx="30">
                  <c:v>97</c:v>
                </c:pt>
                <c:pt idx="31">
                  <c:v>96</c:v>
                </c:pt>
                <c:pt idx="32">
                  <c:v>88</c:v>
                </c:pt>
                <c:pt idx="33">
                  <c:v>87</c:v>
                </c:pt>
                <c:pt idx="34">
                  <c:v>86</c:v>
                </c:pt>
                <c:pt idx="35">
                  <c:v>85</c:v>
                </c:pt>
                <c:pt idx="36">
                  <c:v>84</c:v>
                </c:pt>
                <c:pt idx="37">
                  <c:v>83</c:v>
                </c:pt>
                <c:pt idx="38">
                  <c:v>82</c:v>
                </c:pt>
                <c:pt idx="39">
                  <c:v>81</c:v>
                </c:pt>
                <c:pt idx="40">
                  <c:v>80</c:v>
                </c:pt>
                <c:pt idx="41">
                  <c:v>79</c:v>
                </c:pt>
                <c:pt idx="42">
                  <c:v>78</c:v>
                </c:pt>
                <c:pt idx="43">
                  <c:v>77</c:v>
                </c:pt>
                <c:pt idx="44">
                  <c:v>76</c:v>
                </c:pt>
                <c:pt idx="45">
                  <c:v>75</c:v>
                </c:pt>
                <c:pt idx="46">
                  <c:v>74</c:v>
                </c:pt>
                <c:pt idx="47">
                  <c:v>73</c:v>
                </c:pt>
                <c:pt idx="48">
                  <c:v>72</c:v>
                </c:pt>
                <c:pt idx="49">
                  <c:v>71</c:v>
                </c:pt>
                <c:pt idx="50">
                  <c:v>70</c:v>
                </c:pt>
                <c:pt idx="51">
                  <c:v>69</c:v>
                </c:pt>
                <c:pt idx="52">
                  <c:v>68</c:v>
                </c:pt>
                <c:pt idx="53">
                  <c:v>67</c:v>
                </c:pt>
                <c:pt idx="54">
                  <c:v>66</c:v>
                </c:pt>
                <c:pt idx="55">
                  <c:v>65</c:v>
                </c:pt>
                <c:pt idx="56">
                  <c:v>64</c:v>
                </c:pt>
                <c:pt idx="57">
                  <c:v>63</c:v>
                </c:pt>
                <c:pt idx="58">
                  <c:v>62</c:v>
                </c:pt>
                <c:pt idx="59">
                  <c:v>61</c:v>
                </c:pt>
                <c:pt idx="60">
                  <c:v>60</c:v>
                </c:pt>
                <c:pt idx="61">
                  <c:v>59</c:v>
                </c:pt>
                <c:pt idx="62">
                  <c:v>58</c:v>
                </c:pt>
                <c:pt idx="63">
                  <c:v>57</c:v>
                </c:pt>
                <c:pt idx="64">
                  <c:v>56</c:v>
                </c:pt>
                <c:pt idx="65">
                  <c:v>55</c:v>
                </c:pt>
                <c:pt idx="66">
                  <c:v>54</c:v>
                </c:pt>
                <c:pt idx="67">
                  <c:v>53</c:v>
                </c:pt>
                <c:pt idx="68">
                  <c:v>52</c:v>
                </c:pt>
                <c:pt idx="69">
                  <c:v>51</c:v>
                </c:pt>
                <c:pt idx="70">
                  <c:v>50</c:v>
                </c:pt>
                <c:pt idx="71">
                  <c:v>49</c:v>
                </c:pt>
                <c:pt idx="72">
                  <c:v>48</c:v>
                </c:pt>
                <c:pt idx="73">
                  <c:v>47</c:v>
                </c:pt>
                <c:pt idx="74">
                  <c:v>46</c:v>
                </c:pt>
                <c:pt idx="75">
                  <c:v>45</c:v>
                </c:pt>
                <c:pt idx="76">
                  <c:v>44</c:v>
                </c:pt>
                <c:pt idx="77">
                  <c:v>43</c:v>
                </c:pt>
                <c:pt idx="78">
                  <c:v>42</c:v>
                </c:pt>
                <c:pt idx="79">
                  <c:v>41</c:v>
                </c:pt>
                <c:pt idx="80">
                  <c:v>40</c:v>
                </c:pt>
                <c:pt idx="81">
                  <c:v>39</c:v>
                </c:pt>
                <c:pt idx="82">
                  <c:v>38</c:v>
                </c:pt>
                <c:pt idx="83">
                  <c:v>37</c:v>
                </c:pt>
                <c:pt idx="84">
                  <c:v>36</c:v>
                </c:pt>
                <c:pt idx="85">
                  <c:v>35</c:v>
                </c:pt>
                <c:pt idx="86">
                  <c:v>34</c:v>
                </c:pt>
                <c:pt idx="87">
                  <c:v>33</c:v>
                </c:pt>
                <c:pt idx="88">
                  <c:v>32</c:v>
                </c:pt>
                <c:pt idx="89">
                  <c:v>31</c:v>
                </c:pt>
                <c:pt idx="90">
                  <c:v>30</c:v>
                </c:pt>
                <c:pt idx="91">
                  <c:v>29</c:v>
                </c:pt>
                <c:pt idx="92">
                  <c:v>28</c:v>
                </c:pt>
                <c:pt idx="93">
                  <c:v>27</c:v>
                </c:pt>
                <c:pt idx="94">
                  <c:v>26</c:v>
                </c:pt>
                <c:pt idx="95">
                  <c:v>25</c:v>
                </c:pt>
                <c:pt idx="96">
                  <c:v>24</c:v>
                </c:pt>
                <c:pt idx="97">
                  <c:v>23</c:v>
                </c:pt>
                <c:pt idx="98">
                  <c:v>22</c:v>
                </c:pt>
                <c:pt idx="99">
                  <c:v>21</c:v>
                </c:pt>
                <c:pt idx="100">
                  <c:v>20</c:v>
                </c:pt>
                <c:pt idx="101">
                  <c:v>19</c:v>
                </c:pt>
                <c:pt idx="102">
                  <c:v>18</c:v>
                </c:pt>
                <c:pt idx="103">
                  <c:v>17</c:v>
                </c:pt>
                <c:pt idx="104">
                  <c:v>16</c:v>
                </c:pt>
                <c:pt idx="105">
                  <c:v>15</c:v>
                </c:pt>
                <c:pt idx="106">
                  <c:v>14</c:v>
                </c:pt>
                <c:pt idx="107">
                  <c:v>13</c:v>
                </c:pt>
                <c:pt idx="108">
                  <c:v>12</c:v>
                </c:pt>
                <c:pt idx="109">
                  <c:v>11</c:v>
                </c:pt>
                <c:pt idx="110">
                  <c:v>10</c:v>
                </c:pt>
                <c:pt idx="111">
                  <c:v>9</c:v>
                </c:pt>
                <c:pt idx="112">
                  <c:v>8</c:v>
                </c:pt>
                <c:pt idx="113">
                  <c:v>7</c:v>
                </c:pt>
                <c:pt idx="114">
                  <c:v>6</c:v>
                </c:pt>
                <c:pt idx="115">
                  <c:v>5</c:v>
                </c:pt>
                <c:pt idx="116">
                  <c:v>4</c:v>
                </c:pt>
                <c:pt idx="117">
                  <c:v>3</c:v>
                </c:pt>
                <c:pt idx="118">
                  <c:v>2</c:v>
                </c:pt>
                <c:pt idx="119">
                  <c:v>1</c:v>
                </c:pt>
                <c:pt idx="120">
                  <c:v>0</c:v>
                </c:pt>
              </c:numCache>
            </c:numRef>
          </c:xVal>
          <c:yVal>
            <c:numRef>
              <c:f>OscBC!$D$4:$D$131</c:f>
              <c:numCache>
                <c:formatCode>General</c:formatCode>
                <c:ptCount val="121"/>
                <c:pt idx="0">
                  <c:v>1</c:v>
                </c:pt>
                <c:pt idx="1">
                  <c:v>0.98507112416340792</c:v>
                </c:pt>
                <c:pt idx="2">
                  <c:v>0.97024882514845578</c:v>
                </c:pt>
                <c:pt idx="3">
                  <c:v>0.95553318559079026</c:v>
                </c:pt>
                <c:pt idx="4">
                  <c:v>0.94092428885466717</c:v>
                </c:pt>
                <c:pt idx="5">
                  <c:v>0.9264222190453314</c:v>
                </c:pt>
                <c:pt idx="6">
                  <c:v>0.91202706102170705</c:v>
                </c:pt>
                <c:pt idx="7">
                  <c:v>0.89773890040941418</c:v>
                </c:pt>
                <c:pt idx="8">
                  <c:v>0.88355782361411861</c:v>
                </c:pt>
                <c:pt idx="9">
                  <c:v>0.86948391783522827</c:v>
                </c:pt>
                <c:pt idx="10">
                  <c:v>0.85551727107994757</c:v>
                </c:pt>
                <c:pt idx="11">
                  <c:v>0.841657972177703</c:v>
                </c:pt>
                <c:pt idx="12">
                  <c:v>0.82790611079495147</c:v>
                </c:pt>
                <c:pt idx="13">
                  <c:v>0.81426177745038741</c:v>
                </c:pt>
                <c:pt idx="14">
                  <c:v>0.80072506353055939</c:v>
                </c:pt>
                <c:pt idx="15">
                  <c:v>0.7872960613059149</c:v>
                </c:pt>
                <c:pt idx="16">
                  <c:v>0.77397486394728621</c:v>
                </c:pt>
                <c:pt idx="17">
                  <c:v>0.76076156554283492</c:v>
                </c:pt>
                <c:pt idx="18">
                  <c:v>0.74765626111547123</c:v>
                </c:pt>
                <c:pt idx="19">
                  <c:v>0.73465904664076609</c:v>
                </c:pt>
                <c:pt idx="20">
                  <c:v>0.72177001906537575</c:v>
                </c:pt>
                <c:pt idx="21">
                  <c:v>0.70898927632599695</c:v>
                </c:pt>
                <c:pt idx="22">
                  <c:v>0.69631691736887291</c:v>
                </c:pt>
                <c:pt idx="23">
                  <c:v>0.68375304216987354</c:v>
                </c:pt>
                <c:pt idx="24">
                  <c:v>0.67129775175517081</c:v>
                </c:pt>
                <c:pt idx="25">
                  <c:v>0.65895114822253253</c:v>
                </c:pt>
                <c:pt idx="26">
                  <c:v>0.64671333476326087</c:v>
                </c:pt>
                <c:pt idx="27">
                  <c:v>0.63458441568479973</c:v>
                </c:pt>
                <c:pt idx="28">
                  <c:v>0.62256449643403988</c:v>
                </c:pt>
                <c:pt idx="29">
                  <c:v>0.61065368362135075</c:v>
                </c:pt>
                <c:pt idx="30">
                  <c:v>0.59885208504536591</c:v>
                </c:pt>
                <c:pt idx="31">
                  <c:v>0.58715980971855897</c:v>
                </c:pt>
                <c:pt idx="32">
                  <c:v>0.49757074786623529</c:v>
                </c:pt>
                <c:pt idx="33">
                  <c:v>0.48686750140747798</c:v>
                </c:pt>
                <c:pt idx="34">
                  <c:v>0.47627474134643066</c:v>
                </c:pt>
                <c:pt idx="35">
                  <c:v>0.46579259199854389</c:v>
                </c:pt>
                <c:pt idx="36">
                  <c:v>0.45542117927569481</c:v>
                </c:pt>
                <c:pt idx="37">
                  <c:v>0.44516063072583778</c:v>
                </c:pt>
                <c:pt idx="38">
                  <c:v>0.43501107557412555</c:v>
                </c:pt>
                <c:pt idx="39">
                  <c:v>0.4249726447655755</c:v>
                </c:pt>
                <c:pt idx="40">
                  <c:v>0.41504547100935957</c:v>
                </c:pt>
                <c:pt idx="41">
                  <c:v>0.40522968882479843</c:v>
                </c:pt>
                <c:pt idx="42">
                  <c:v>0.39552543458914957</c:v>
                </c:pt>
                <c:pt idx="43">
                  <c:v>0.385932846587282</c:v>
                </c:pt>
                <c:pt idx="44">
                  <c:v>0.37645206506333811</c:v>
                </c:pt>
                <c:pt idx="45">
                  <c:v>0.36708323227448852</c:v>
                </c:pt>
                <c:pt idx="46">
                  <c:v>0.35782649254689436</c:v>
                </c:pt>
                <c:pt idx="47">
                  <c:v>0.34868199233399705</c:v>
                </c:pt>
                <c:pt idx="48">
                  <c:v>0.339649880277268</c:v>
                </c:pt>
                <c:pt idx="49">
                  <c:v>0.33073030726955471</c:v>
                </c:pt>
                <c:pt idx="50">
                  <c:v>0.32192342652117351</c:v>
                </c:pt>
                <c:pt idx="51">
                  <c:v>0.31322939362890856</c:v>
                </c:pt>
                <c:pt idx="52">
                  <c:v>0.30464836664808892</c:v>
                </c:pt>
                <c:pt idx="53">
                  <c:v>0.29618050616792685</c:v>
                </c:pt>
                <c:pt idx="54">
                  <c:v>0.28782597539031762</c:v>
                </c:pt>
                <c:pt idx="55">
                  <c:v>0.27958494021231101</c:v>
                </c:pt>
                <c:pt idx="56">
                  <c:v>0.27145756931248788</c:v>
                </c:pt>
                <c:pt idx="57">
                  <c:v>0.2634440342414886</c:v>
                </c:pt>
                <c:pt idx="58">
                  <c:v>0.25554450951696039</c:v>
                </c:pt>
                <c:pt idx="59">
                  <c:v>0.24775917272321576</c:v>
                </c:pt>
                <c:pt idx="60">
                  <c:v>0.24008820461591537</c:v>
                </c:pt>
                <c:pt idx="61">
                  <c:v>0.23253178923211437</c:v>
                </c:pt>
                <c:pt idx="62">
                  <c:v>0.22509011400604523</c:v>
                </c:pt>
                <c:pt idx="63">
                  <c:v>0.21776336989103642</c:v>
                </c:pt>
                <c:pt idx="64">
                  <c:v>0.21055175148800595</c:v>
                </c:pt>
                <c:pt idx="65">
                  <c:v>0.20345545718100738</c:v>
                </c:pt>
                <c:pt idx="66">
                  <c:v>0.1964746892803487</c:v>
                </c:pt>
                <c:pt idx="67">
                  <c:v>0.18960965417385484</c:v>
                </c:pt>
                <c:pt idx="68">
                  <c:v>0.18286056248689844</c:v>
                </c:pt>
                <c:pt idx="69">
                  <c:v>0.17622762925188346</c:v>
                </c:pt>
                <c:pt idx="70">
                  <c:v>0.16971107408793487</c:v>
                </c:pt>
                <c:pt idx="71">
                  <c:v>0.16331112139162446</c:v>
                </c:pt>
                <c:pt idx="72">
                  <c:v>0.15702800053964666</c:v>
                </c:pt>
                <c:pt idx="73">
                  <c:v>0.15086194610445569</c:v>
                </c:pt>
                <c:pt idx="74">
                  <c:v>0.14481319808398399</c:v>
                </c:pt>
                <c:pt idx="75">
                  <c:v>0.1388820021466847</c:v>
                </c:pt>
                <c:pt idx="76">
                  <c:v>0.13306860989328023</c:v>
                </c:pt>
                <c:pt idx="77">
                  <c:v>0.12737327913675744</c:v>
                </c:pt>
                <c:pt idx="78">
                  <c:v>0.12179627420233137</c:v>
                </c:pt>
                <c:pt idx="79">
                  <c:v>0.1163378662493067</c:v>
                </c:pt>
                <c:pt idx="80">
                  <c:v>0.11099833361700132</c:v>
                </c:pt>
                <c:pt idx="81">
                  <c:v>0.10577796219717289</c:v>
                </c:pt>
                <c:pt idx="82">
                  <c:v>0.10067704583570122</c:v>
                </c:pt>
                <c:pt idx="83">
                  <c:v>9.5695886766647656E-2</c:v>
                </c:pt>
                <c:pt idx="84">
                  <c:v>9.083479608223595E-2</c:v>
                </c:pt>
                <c:pt idx="85">
                  <c:v>8.6094094242795932E-2</c:v>
                </c:pt>
                <c:pt idx="86">
                  <c:v>8.1474111631292923E-2</c:v>
                </c:pt>
                <c:pt idx="87">
                  <c:v>7.6975189157750937E-2</c:v>
                </c:pt>
                <c:pt idx="88">
                  <c:v>7.2597678919687131E-2</c:v>
                </c:pt>
                <c:pt idx="89">
                  <c:v>6.8341944925636569E-2</c:v>
                </c:pt>
                <c:pt idx="90">
                  <c:v>6.4208363889997219E-2</c:v>
                </c:pt>
                <c:pt idx="91">
                  <c:v>6.0197326108802289E-2</c:v>
                </c:pt>
                <c:pt idx="92">
                  <c:v>5.6309236427693983E-2</c:v>
                </c:pt>
                <c:pt idx="93">
                  <c:v>5.2544515315395474E-2</c:v>
                </c:pt>
                <c:pt idx="94">
                  <c:v>4.8903600058451319E-2</c:v>
                </c:pt>
                <c:pt idx="95">
                  <c:v>4.5386946096051782E-2</c:v>
                </c:pt>
                <c:pt idx="96">
                  <c:v>4.1995028517531549E-2</c:v>
                </c:pt>
                <c:pt idx="97">
                  <c:v>3.8728343749854975E-2</c:v>
                </c:pt>
                <c:pt idx="98">
                  <c:v>3.5587411468349324E-2</c:v>
                </c:pt>
                <c:pt idx="99">
                  <c:v>3.2572776771519783E-2</c:v>
                </c:pt>
                <c:pt idx="100">
                  <c:v>2.9685012670511195E-2</c:v>
                </c:pt>
                <c:pt idx="101">
                  <c:v>2.6924722956423477E-2</c:v>
                </c:pt>
                <c:pt idx="102">
                  <c:v>2.4292545525309305E-2</c:v>
                </c:pt>
                <c:pt idx="103">
                  <c:v>2.1789156262820953E-2</c:v>
                </c:pt>
                <c:pt idx="104">
                  <c:v>1.9415273620382804E-2</c:v>
                </c:pt>
                <c:pt idx="105">
                  <c:v>1.7171664055823446E-2</c:v>
                </c:pt>
                <c:pt idx="106">
                  <c:v>1.5059148568757267E-2</c:v>
                </c:pt>
                <c:pt idx="107">
                  <c:v>1.3078610642731183E-2</c:v>
                </c:pt>
                <c:pt idx="108">
                  <c:v>1.1231006025215333E-2</c:v>
                </c:pt>
                <c:pt idx="109">
                  <c:v>9.5173749544185688E-3</c:v>
                </c:pt>
                <c:pt idx="110">
                  <c:v>7.9388577155489748E-3</c:v>
                </c:pt>
                <c:pt idx="111">
                  <c:v>6.4967148444409076E-3</c:v>
                </c:pt>
                <c:pt idx="112">
                  <c:v>5.1923540168735309E-3</c:v>
                </c:pt>
                <c:pt idx="113">
                  <c:v>4.0273669117695567E-3</c:v>
                </c:pt>
                <c:pt idx="114">
                  <c:v>3.0035816331393994E-3</c:v>
                </c:pt>
                <c:pt idx="115">
                  <c:v>2.1231408093802312E-3</c:v>
                </c:pt>
                <c:pt idx="116">
                  <c:v>1.3886253041645842E-3</c:v>
                </c:pt>
                <c:pt idx="117">
                  <c:v>8.0326754403636455E-4</c:v>
                </c:pt>
                <c:pt idx="118">
                  <c:v>3.7136917650450576E-4</c:v>
                </c:pt>
                <c:pt idx="119">
                  <c:v>9.9317695597233904E-5</c:v>
                </c:pt>
                <c:pt idx="120">
                  <c:v>0</c:v>
                </c:pt>
              </c:numCache>
            </c:numRef>
          </c:yVal>
          <c:smooth val="0"/>
        </c:ser>
        <c:ser>
          <c:idx val="0"/>
          <c:order val="10"/>
          <c:tx>
            <c:v>BC 0</c:v>
          </c:tx>
          <c:spPr>
            <a:ln>
              <a:noFill/>
            </a:ln>
          </c:spPr>
          <c:marker>
            <c:symbol val="diamond"/>
            <c:size val="2"/>
          </c:marker>
          <c:xVal>
            <c:numRef>
              <c:f>OscBC!$A$4:$A$131</c:f>
              <c:numCache>
                <c:formatCode>General</c:formatCode>
                <c:ptCount val="121"/>
                <c:pt idx="0">
                  <c:v>127</c:v>
                </c:pt>
                <c:pt idx="1">
                  <c:v>126</c:v>
                </c:pt>
                <c:pt idx="2">
                  <c:v>125</c:v>
                </c:pt>
                <c:pt idx="3">
                  <c:v>124</c:v>
                </c:pt>
                <c:pt idx="4">
                  <c:v>123</c:v>
                </c:pt>
                <c:pt idx="5">
                  <c:v>122</c:v>
                </c:pt>
                <c:pt idx="6">
                  <c:v>121</c:v>
                </c:pt>
                <c:pt idx="7">
                  <c:v>120</c:v>
                </c:pt>
                <c:pt idx="8">
                  <c:v>119</c:v>
                </c:pt>
                <c:pt idx="9">
                  <c:v>118</c:v>
                </c:pt>
                <c:pt idx="10">
                  <c:v>117</c:v>
                </c:pt>
                <c:pt idx="11">
                  <c:v>116</c:v>
                </c:pt>
                <c:pt idx="12">
                  <c:v>115</c:v>
                </c:pt>
                <c:pt idx="13">
                  <c:v>114</c:v>
                </c:pt>
                <c:pt idx="14">
                  <c:v>113</c:v>
                </c:pt>
                <c:pt idx="15">
                  <c:v>112</c:v>
                </c:pt>
                <c:pt idx="16">
                  <c:v>111</c:v>
                </c:pt>
                <c:pt idx="17">
                  <c:v>110</c:v>
                </c:pt>
                <c:pt idx="18">
                  <c:v>109</c:v>
                </c:pt>
                <c:pt idx="19">
                  <c:v>108</c:v>
                </c:pt>
                <c:pt idx="20">
                  <c:v>107</c:v>
                </c:pt>
                <c:pt idx="21">
                  <c:v>106</c:v>
                </c:pt>
                <c:pt idx="22">
                  <c:v>105</c:v>
                </c:pt>
                <c:pt idx="23">
                  <c:v>104</c:v>
                </c:pt>
                <c:pt idx="24">
                  <c:v>103</c:v>
                </c:pt>
                <c:pt idx="25">
                  <c:v>102</c:v>
                </c:pt>
                <c:pt idx="26">
                  <c:v>101</c:v>
                </c:pt>
                <c:pt idx="27">
                  <c:v>100</c:v>
                </c:pt>
                <c:pt idx="28">
                  <c:v>99</c:v>
                </c:pt>
                <c:pt idx="29">
                  <c:v>98</c:v>
                </c:pt>
                <c:pt idx="30">
                  <c:v>97</c:v>
                </c:pt>
                <c:pt idx="31">
                  <c:v>96</c:v>
                </c:pt>
                <c:pt idx="32">
                  <c:v>88</c:v>
                </c:pt>
                <c:pt idx="33">
                  <c:v>87</c:v>
                </c:pt>
                <c:pt idx="34">
                  <c:v>86</c:v>
                </c:pt>
                <c:pt idx="35">
                  <c:v>85</c:v>
                </c:pt>
                <c:pt idx="36">
                  <c:v>84</c:v>
                </c:pt>
                <c:pt idx="37">
                  <c:v>83</c:v>
                </c:pt>
                <c:pt idx="38">
                  <c:v>82</c:v>
                </c:pt>
                <c:pt idx="39">
                  <c:v>81</c:v>
                </c:pt>
                <c:pt idx="40">
                  <c:v>80</c:v>
                </c:pt>
                <c:pt idx="41">
                  <c:v>79</c:v>
                </c:pt>
                <c:pt idx="42">
                  <c:v>78</c:v>
                </c:pt>
                <c:pt idx="43">
                  <c:v>77</c:v>
                </c:pt>
                <c:pt idx="44">
                  <c:v>76</c:v>
                </c:pt>
                <c:pt idx="45">
                  <c:v>75</c:v>
                </c:pt>
                <c:pt idx="46">
                  <c:v>74</c:v>
                </c:pt>
                <c:pt idx="47">
                  <c:v>73</c:v>
                </c:pt>
                <c:pt idx="48">
                  <c:v>72</c:v>
                </c:pt>
                <c:pt idx="49">
                  <c:v>71</c:v>
                </c:pt>
                <c:pt idx="50">
                  <c:v>70</c:v>
                </c:pt>
                <c:pt idx="51">
                  <c:v>69</c:v>
                </c:pt>
                <c:pt idx="52">
                  <c:v>68</c:v>
                </c:pt>
                <c:pt idx="53">
                  <c:v>67</c:v>
                </c:pt>
                <c:pt idx="54">
                  <c:v>66</c:v>
                </c:pt>
                <c:pt idx="55">
                  <c:v>65</c:v>
                </c:pt>
                <c:pt idx="56">
                  <c:v>64</c:v>
                </c:pt>
                <c:pt idx="57">
                  <c:v>63</c:v>
                </c:pt>
                <c:pt idx="58">
                  <c:v>62</c:v>
                </c:pt>
                <c:pt idx="59">
                  <c:v>61</c:v>
                </c:pt>
                <c:pt idx="60">
                  <c:v>60</c:v>
                </c:pt>
                <c:pt idx="61">
                  <c:v>59</c:v>
                </c:pt>
                <c:pt idx="62">
                  <c:v>58</c:v>
                </c:pt>
                <c:pt idx="63">
                  <c:v>57</c:v>
                </c:pt>
                <c:pt idx="64">
                  <c:v>56</c:v>
                </c:pt>
                <c:pt idx="65">
                  <c:v>55</c:v>
                </c:pt>
                <c:pt idx="66">
                  <c:v>54</c:v>
                </c:pt>
                <c:pt idx="67">
                  <c:v>53</c:v>
                </c:pt>
                <c:pt idx="68">
                  <c:v>52</c:v>
                </c:pt>
                <c:pt idx="69">
                  <c:v>51</c:v>
                </c:pt>
                <c:pt idx="70">
                  <c:v>50</c:v>
                </c:pt>
                <c:pt idx="71">
                  <c:v>49</c:v>
                </c:pt>
                <c:pt idx="72">
                  <c:v>48</c:v>
                </c:pt>
                <c:pt idx="73">
                  <c:v>47</c:v>
                </c:pt>
                <c:pt idx="74">
                  <c:v>46</c:v>
                </c:pt>
                <c:pt idx="75">
                  <c:v>45</c:v>
                </c:pt>
                <c:pt idx="76">
                  <c:v>44</c:v>
                </c:pt>
                <c:pt idx="77">
                  <c:v>43</c:v>
                </c:pt>
                <c:pt idx="78">
                  <c:v>42</c:v>
                </c:pt>
                <c:pt idx="79">
                  <c:v>41</c:v>
                </c:pt>
                <c:pt idx="80">
                  <c:v>40</c:v>
                </c:pt>
                <c:pt idx="81">
                  <c:v>39</c:v>
                </c:pt>
                <c:pt idx="82">
                  <c:v>38</c:v>
                </c:pt>
                <c:pt idx="83">
                  <c:v>37</c:v>
                </c:pt>
                <c:pt idx="84">
                  <c:v>36</c:v>
                </c:pt>
                <c:pt idx="85">
                  <c:v>35</c:v>
                </c:pt>
                <c:pt idx="86">
                  <c:v>34</c:v>
                </c:pt>
                <c:pt idx="87">
                  <c:v>33</c:v>
                </c:pt>
                <c:pt idx="88">
                  <c:v>32</c:v>
                </c:pt>
                <c:pt idx="89">
                  <c:v>31</c:v>
                </c:pt>
                <c:pt idx="90">
                  <c:v>30</c:v>
                </c:pt>
                <c:pt idx="91">
                  <c:v>29</c:v>
                </c:pt>
                <c:pt idx="92">
                  <c:v>28</c:v>
                </c:pt>
                <c:pt idx="93">
                  <c:v>27</c:v>
                </c:pt>
                <c:pt idx="94">
                  <c:v>26</c:v>
                </c:pt>
                <c:pt idx="95">
                  <c:v>25</c:v>
                </c:pt>
                <c:pt idx="96">
                  <c:v>24</c:v>
                </c:pt>
                <c:pt idx="97">
                  <c:v>23</c:v>
                </c:pt>
                <c:pt idx="98">
                  <c:v>22</c:v>
                </c:pt>
                <c:pt idx="99">
                  <c:v>21</c:v>
                </c:pt>
                <c:pt idx="100">
                  <c:v>20</c:v>
                </c:pt>
                <c:pt idx="101">
                  <c:v>19</c:v>
                </c:pt>
                <c:pt idx="102">
                  <c:v>18</c:v>
                </c:pt>
                <c:pt idx="103">
                  <c:v>17</c:v>
                </c:pt>
                <c:pt idx="104">
                  <c:v>16</c:v>
                </c:pt>
                <c:pt idx="105">
                  <c:v>15</c:v>
                </c:pt>
                <c:pt idx="106">
                  <c:v>14</c:v>
                </c:pt>
                <c:pt idx="107">
                  <c:v>13</c:v>
                </c:pt>
                <c:pt idx="108">
                  <c:v>12</c:v>
                </c:pt>
                <c:pt idx="109">
                  <c:v>11</c:v>
                </c:pt>
                <c:pt idx="110">
                  <c:v>10</c:v>
                </c:pt>
                <c:pt idx="111">
                  <c:v>9</c:v>
                </c:pt>
                <c:pt idx="112">
                  <c:v>8</c:v>
                </c:pt>
                <c:pt idx="113">
                  <c:v>7</c:v>
                </c:pt>
                <c:pt idx="114">
                  <c:v>6</c:v>
                </c:pt>
                <c:pt idx="115">
                  <c:v>5</c:v>
                </c:pt>
                <c:pt idx="116">
                  <c:v>4</c:v>
                </c:pt>
                <c:pt idx="117">
                  <c:v>3</c:v>
                </c:pt>
                <c:pt idx="118">
                  <c:v>2</c:v>
                </c:pt>
                <c:pt idx="119">
                  <c:v>1</c:v>
                </c:pt>
                <c:pt idx="120">
                  <c:v>0</c:v>
                </c:pt>
              </c:numCache>
            </c:numRef>
          </c:xVal>
          <c:yVal>
            <c:numRef>
              <c:f>OscBC!$AJ$4:$AJ$131</c:f>
              <c:numCache>
                <c:formatCode>0.000</c:formatCode>
                <c:ptCount val="121"/>
                <c:pt idx="0">
                  <c:v>1</c:v>
                </c:pt>
                <c:pt idx="4">
                  <c:v>0.94596541786743515</c:v>
                </c:pt>
                <c:pt idx="7">
                  <c:v>0.89913544668587886</c:v>
                </c:pt>
                <c:pt idx="11">
                  <c:v>0.83789625360230535</c:v>
                </c:pt>
                <c:pt idx="15">
                  <c:v>0.77118341079728281</c:v>
                </c:pt>
                <c:pt idx="17">
                  <c:v>0.74258133714694319</c:v>
                </c:pt>
                <c:pt idx="19">
                  <c:v>0.71755452270289599</c:v>
                </c:pt>
                <c:pt idx="23">
                  <c:v>0.66035037540221664</c:v>
                </c:pt>
                <c:pt idx="27">
                  <c:v>0.61029674651412225</c:v>
                </c:pt>
                <c:pt idx="31">
                  <c:v>0.55666785841973543</c:v>
                </c:pt>
                <c:pt idx="40">
                  <c:v>0.37432963889882021</c:v>
                </c:pt>
                <c:pt idx="56">
                  <c:v>0.22524132999642474</c:v>
                </c:pt>
                <c:pt idx="72">
                  <c:v>0.11476582052198783</c:v>
                </c:pt>
                <c:pt idx="88">
                  <c:v>3.897032534858777E-2</c:v>
                </c:pt>
                <c:pt idx="104">
                  <c:v>3.2177332856632057E-3</c:v>
                </c:pt>
                <c:pt idx="120">
                  <c:v>0</c:v>
                </c:pt>
              </c:numCache>
            </c:numRef>
          </c:yVal>
          <c:smooth val="0"/>
        </c:ser>
        <c:ser>
          <c:idx val="2"/>
          <c:order val="11"/>
          <c:tx>
            <c:v>BC -0.1</c:v>
          </c:tx>
          <c:marker>
            <c:symbol val="triangle"/>
            <c:size val="2"/>
          </c:marker>
          <c:xVal>
            <c:numRef>
              <c:f>OscBC!$A$4:$A$131</c:f>
              <c:numCache>
                <c:formatCode>General</c:formatCode>
                <c:ptCount val="121"/>
                <c:pt idx="0">
                  <c:v>127</c:v>
                </c:pt>
                <c:pt idx="1">
                  <c:v>126</c:v>
                </c:pt>
                <c:pt idx="2">
                  <c:v>125</c:v>
                </c:pt>
                <c:pt idx="3">
                  <c:v>124</c:v>
                </c:pt>
                <c:pt idx="4">
                  <c:v>123</c:v>
                </c:pt>
                <c:pt idx="5">
                  <c:v>122</c:v>
                </c:pt>
                <c:pt idx="6">
                  <c:v>121</c:v>
                </c:pt>
                <c:pt idx="7">
                  <c:v>120</c:v>
                </c:pt>
                <c:pt idx="8">
                  <c:v>119</c:v>
                </c:pt>
                <c:pt idx="9">
                  <c:v>118</c:v>
                </c:pt>
                <c:pt idx="10">
                  <c:v>117</c:v>
                </c:pt>
                <c:pt idx="11">
                  <c:v>116</c:v>
                </c:pt>
                <c:pt idx="12">
                  <c:v>115</c:v>
                </c:pt>
                <c:pt idx="13">
                  <c:v>114</c:v>
                </c:pt>
                <c:pt idx="14">
                  <c:v>113</c:v>
                </c:pt>
                <c:pt idx="15">
                  <c:v>112</c:v>
                </c:pt>
                <c:pt idx="16">
                  <c:v>111</c:v>
                </c:pt>
                <c:pt idx="17">
                  <c:v>110</c:v>
                </c:pt>
                <c:pt idx="18">
                  <c:v>109</c:v>
                </c:pt>
                <c:pt idx="19">
                  <c:v>108</c:v>
                </c:pt>
                <c:pt idx="20">
                  <c:v>107</c:v>
                </c:pt>
                <c:pt idx="21">
                  <c:v>106</c:v>
                </c:pt>
                <c:pt idx="22">
                  <c:v>105</c:v>
                </c:pt>
                <c:pt idx="23">
                  <c:v>104</c:v>
                </c:pt>
                <c:pt idx="24">
                  <c:v>103</c:v>
                </c:pt>
                <c:pt idx="25">
                  <c:v>102</c:v>
                </c:pt>
                <c:pt idx="26">
                  <c:v>101</c:v>
                </c:pt>
                <c:pt idx="27">
                  <c:v>100</c:v>
                </c:pt>
                <c:pt idx="28">
                  <c:v>99</c:v>
                </c:pt>
                <c:pt idx="29">
                  <c:v>98</c:v>
                </c:pt>
                <c:pt idx="30">
                  <c:v>97</c:v>
                </c:pt>
                <c:pt idx="31">
                  <c:v>96</c:v>
                </c:pt>
                <c:pt idx="32">
                  <c:v>88</c:v>
                </c:pt>
                <c:pt idx="33">
                  <c:v>87</c:v>
                </c:pt>
                <c:pt idx="34">
                  <c:v>86</c:v>
                </c:pt>
                <c:pt idx="35">
                  <c:v>85</c:v>
                </c:pt>
                <c:pt idx="36">
                  <c:v>84</c:v>
                </c:pt>
                <c:pt idx="37">
                  <c:v>83</c:v>
                </c:pt>
                <c:pt idx="38">
                  <c:v>82</c:v>
                </c:pt>
                <c:pt idx="39">
                  <c:v>81</c:v>
                </c:pt>
                <c:pt idx="40">
                  <c:v>80</c:v>
                </c:pt>
                <c:pt idx="41">
                  <c:v>79</c:v>
                </c:pt>
                <c:pt idx="42">
                  <c:v>78</c:v>
                </c:pt>
                <c:pt idx="43">
                  <c:v>77</c:v>
                </c:pt>
                <c:pt idx="44">
                  <c:v>76</c:v>
                </c:pt>
                <c:pt idx="45">
                  <c:v>75</c:v>
                </c:pt>
                <c:pt idx="46">
                  <c:v>74</c:v>
                </c:pt>
                <c:pt idx="47">
                  <c:v>73</c:v>
                </c:pt>
                <c:pt idx="48">
                  <c:v>72</c:v>
                </c:pt>
                <c:pt idx="49">
                  <c:v>71</c:v>
                </c:pt>
                <c:pt idx="50">
                  <c:v>70</c:v>
                </c:pt>
                <c:pt idx="51">
                  <c:v>69</c:v>
                </c:pt>
                <c:pt idx="52">
                  <c:v>68</c:v>
                </c:pt>
                <c:pt idx="53">
                  <c:v>67</c:v>
                </c:pt>
                <c:pt idx="54">
                  <c:v>66</c:v>
                </c:pt>
                <c:pt idx="55">
                  <c:v>65</c:v>
                </c:pt>
                <c:pt idx="56">
                  <c:v>64</c:v>
                </c:pt>
                <c:pt idx="57">
                  <c:v>63</c:v>
                </c:pt>
                <c:pt idx="58">
                  <c:v>62</c:v>
                </c:pt>
                <c:pt idx="59">
                  <c:v>61</c:v>
                </c:pt>
                <c:pt idx="60">
                  <c:v>60</c:v>
                </c:pt>
                <c:pt idx="61">
                  <c:v>59</c:v>
                </c:pt>
                <c:pt idx="62">
                  <c:v>58</c:v>
                </c:pt>
                <c:pt idx="63">
                  <c:v>57</c:v>
                </c:pt>
                <c:pt idx="64">
                  <c:v>56</c:v>
                </c:pt>
                <c:pt idx="65">
                  <c:v>55</c:v>
                </c:pt>
                <c:pt idx="66">
                  <c:v>54</c:v>
                </c:pt>
                <c:pt idx="67">
                  <c:v>53</c:v>
                </c:pt>
                <c:pt idx="68">
                  <c:v>52</c:v>
                </c:pt>
                <c:pt idx="69">
                  <c:v>51</c:v>
                </c:pt>
                <c:pt idx="70">
                  <c:v>50</c:v>
                </c:pt>
                <c:pt idx="71">
                  <c:v>49</c:v>
                </c:pt>
                <c:pt idx="72">
                  <c:v>48</c:v>
                </c:pt>
                <c:pt idx="73">
                  <c:v>47</c:v>
                </c:pt>
                <c:pt idx="74">
                  <c:v>46</c:v>
                </c:pt>
                <c:pt idx="75">
                  <c:v>45</c:v>
                </c:pt>
                <c:pt idx="76">
                  <c:v>44</c:v>
                </c:pt>
                <c:pt idx="77">
                  <c:v>43</c:v>
                </c:pt>
                <c:pt idx="78">
                  <c:v>42</c:v>
                </c:pt>
                <c:pt idx="79">
                  <c:v>41</c:v>
                </c:pt>
                <c:pt idx="80">
                  <c:v>40</c:v>
                </c:pt>
                <c:pt idx="81">
                  <c:v>39</c:v>
                </c:pt>
                <c:pt idx="82">
                  <c:v>38</c:v>
                </c:pt>
                <c:pt idx="83">
                  <c:v>37</c:v>
                </c:pt>
                <c:pt idx="84">
                  <c:v>36</c:v>
                </c:pt>
                <c:pt idx="85">
                  <c:v>35</c:v>
                </c:pt>
                <c:pt idx="86">
                  <c:v>34</c:v>
                </c:pt>
                <c:pt idx="87">
                  <c:v>33</c:v>
                </c:pt>
                <c:pt idx="88">
                  <c:v>32</c:v>
                </c:pt>
                <c:pt idx="89">
                  <c:v>31</c:v>
                </c:pt>
                <c:pt idx="90">
                  <c:v>30</c:v>
                </c:pt>
                <c:pt idx="91">
                  <c:v>29</c:v>
                </c:pt>
                <c:pt idx="92">
                  <c:v>28</c:v>
                </c:pt>
                <c:pt idx="93">
                  <c:v>27</c:v>
                </c:pt>
                <c:pt idx="94">
                  <c:v>26</c:v>
                </c:pt>
                <c:pt idx="95">
                  <c:v>25</c:v>
                </c:pt>
                <c:pt idx="96">
                  <c:v>24</c:v>
                </c:pt>
                <c:pt idx="97">
                  <c:v>23</c:v>
                </c:pt>
                <c:pt idx="98">
                  <c:v>22</c:v>
                </c:pt>
                <c:pt idx="99">
                  <c:v>21</c:v>
                </c:pt>
                <c:pt idx="100">
                  <c:v>20</c:v>
                </c:pt>
                <c:pt idx="101">
                  <c:v>19</c:v>
                </c:pt>
                <c:pt idx="102">
                  <c:v>18</c:v>
                </c:pt>
                <c:pt idx="103">
                  <c:v>17</c:v>
                </c:pt>
                <c:pt idx="104">
                  <c:v>16</c:v>
                </c:pt>
                <c:pt idx="105">
                  <c:v>15</c:v>
                </c:pt>
                <c:pt idx="106">
                  <c:v>14</c:v>
                </c:pt>
                <c:pt idx="107">
                  <c:v>13</c:v>
                </c:pt>
                <c:pt idx="108">
                  <c:v>12</c:v>
                </c:pt>
                <c:pt idx="109">
                  <c:v>11</c:v>
                </c:pt>
                <c:pt idx="110">
                  <c:v>10</c:v>
                </c:pt>
                <c:pt idx="111">
                  <c:v>9</c:v>
                </c:pt>
                <c:pt idx="112">
                  <c:v>8</c:v>
                </c:pt>
                <c:pt idx="113">
                  <c:v>7</c:v>
                </c:pt>
                <c:pt idx="114">
                  <c:v>6</c:v>
                </c:pt>
                <c:pt idx="115">
                  <c:v>5</c:v>
                </c:pt>
                <c:pt idx="116">
                  <c:v>4</c:v>
                </c:pt>
                <c:pt idx="117">
                  <c:v>3</c:v>
                </c:pt>
                <c:pt idx="118">
                  <c:v>2</c:v>
                </c:pt>
                <c:pt idx="119">
                  <c:v>1</c:v>
                </c:pt>
                <c:pt idx="120">
                  <c:v>0</c:v>
                </c:pt>
              </c:numCache>
            </c:numRef>
          </c:xVal>
          <c:yVal>
            <c:numRef>
              <c:f>OscBC!$AO$4:$AO$131</c:f>
              <c:numCache>
                <c:formatCode>0.000</c:formatCode>
                <c:ptCount val="121"/>
                <c:pt idx="0">
                  <c:v>1</c:v>
                </c:pt>
                <c:pt idx="7">
                  <c:v>0.78749778643527524</c:v>
                </c:pt>
                <c:pt idx="11">
                  <c:v>0.68478838321232505</c:v>
                </c:pt>
                <c:pt idx="12">
                  <c:v>0.65999645829644049</c:v>
                </c:pt>
                <c:pt idx="13">
                  <c:v>0.63520453338055594</c:v>
                </c:pt>
                <c:pt idx="14">
                  <c:v>0.61749601558349554</c:v>
                </c:pt>
                <c:pt idx="15">
                  <c:v>0.60687090490525941</c:v>
                </c:pt>
                <c:pt idx="19">
                  <c:v>0.55374535151407822</c:v>
                </c:pt>
                <c:pt idx="23">
                  <c:v>0.51398601398601396</c:v>
                </c:pt>
                <c:pt idx="31">
                  <c:v>0.42270231981583134</c:v>
                </c:pt>
                <c:pt idx="32">
                  <c:v>0.34088896759341242</c:v>
                </c:pt>
                <c:pt idx="40">
                  <c:v>0.26651319284575881</c:v>
                </c:pt>
                <c:pt idx="56">
                  <c:v>0.14928280502921903</c:v>
                </c:pt>
                <c:pt idx="72">
                  <c:v>6.3927749247387991E-2</c:v>
                </c:pt>
                <c:pt idx="88">
                  <c:v>1.9302284398795815E-2</c:v>
                </c:pt>
                <c:pt idx="104">
                  <c:v>1.5229325305471937E-3</c:v>
                </c:pt>
                <c:pt idx="120">
                  <c:v>0</c:v>
                </c:pt>
              </c:numCache>
            </c:numRef>
          </c:yVal>
          <c:smooth val="0"/>
        </c:ser>
        <c:ser>
          <c:idx val="8"/>
          <c:order val="12"/>
          <c:tx>
            <c:v>BC -0.3</c:v>
          </c:tx>
          <c:xVal>
            <c:numRef>
              <c:f>OscBC!$A$4:$A$131</c:f>
              <c:numCache>
                <c:formatCode>General</c:formatCode>
                <c:ptCount val="121"/>
                <c:pt idx="0">
                  <c:v>127</c:v>
                </c:pt>
                <c:pt idx="1">
                  <c:v>126</c:v>
                </c:pt>
                <c:pt idx="2">
                  <c:v>125</c:v>
                </c:pt>
                <c:pt idx="3">
                  <c:v>124</c:v>
                </c:pt>
                <c:pt idx="4">
                  <c:v>123</c:v>
                </c:pt>
                <c:pt idx="5">
                  <c:v>122</c:v>
                </c:pt>
                <c:pt idx="6">
                  <c:v>121</c:v>
                </c:pt>
                <c:pt idx="7">
                  <c:v>120</c:v>
                </c:pt>
                <c:pt idx="8">
                  <c:v>119</c:v>
                </c:pt>
                <c:pt idx="9">
                  <c:v>118</c:v>
                </c:pt>
                <c:pt idx="10">
                  <c:v>117</c:v>
                </c:pt>
                <c:pt idx="11">
                  <c:v>116</c:v>
                </c:pt>
                <c:pt idx="12">
                  <c:v>115</c:v>
                </c:pt>
                <c:pt idx="13">
                  <c:v>114</c:v>
                </c:pt>
                <c:pt idx="14">
                  <c:v>113</c:v>
                </c:pt>
                <c:pt idx="15">
                  <c:v>112</c:v>
                </c:pt>
                <c:pt idx="16">
                  <c:v>111</c:v>
                </c:pt>
                <c:pt idx="17">
                  <c:v>110</c:v>
                </c:pt>
                <c:pt idx="18">
                  <c:v>109</c:v>
                </c:pt>
                <c:pt idx="19">
                  <c:v>108</c:v>
                </c:pt>
                <c:pt idx="20">
                  <c:v>107</c:v>
                </c:pt>
                <c:pt idx="21">
                  <c:v>106</c:v>
                </c:pt>
                <c:pt idx="22">
                  <c:v>105</c:v>
                </c:pt>
                <c:pt idx="23">
                  <c:v>104</c:v>
                </c:pt>
                <c:pt idx="24">
                  <c:v>103</c:v>
                </c:pt>
                <c:pt idx="25">
                  <c:v>102</c:v>
                </c:pt>
                <c:pt idx="26">
                  <c:v>101</c:v>
                </c:pt>
                <c:pt idx="27">
                  <c:v>100</c:v>
                </c:pt>
                <c:pt idx="28">
                  <c:v>99</c:v>
                </c:pt>
                <c:pt idx="29">
                  <c:v>98</c:v>
                </c:pt>
                <c:pt idx="30">
                  <c:v>97</c:v>
                </c:pt>
                <c:pt idx="31">
                  <c:v>96</c:v>
                </c:pt>
                <c:pt idx="32">
                  <c:v>88</c:v>
                </c:pt>
                <c:pt idx="33">
                  <c:v>87</c:v>
                </c:pt>
                <c:pt idx="34">
                  <c:v>86</c:v>
                </c:pt>
                <c:pt idx="35">
                  <c:v>85</c:v>
                </c:pt>
                <c:pt idx="36">
                  <c:v>84</c:v>
                </c:pt>
                <c:pt idx="37">
                  <c:v>83</c:v>
                </c:pt>
                <c:pt idx="38">
                  <c:v>82</c:v>
                </c:pt>
                <c:pt idx="39">
                  <c:v>81</c:v>
                </c:pt>
                <c:pt idx="40">
                  <c:v>80</c:v>
                </c:pt>
                <c:pt idx="41">
                  <c:v>79</c:v>
                </c:pt>
                <c:pt idx="42">
                  <c:v>78</c:v>
                </c:pt>
                <c:pt idx="43">
                  <c:v>77</c:v>
                </c:pt>
                <c:pt idx="44">
                  <c:v>76</c:v>
                </c:pt>
                <c:pt idx="45">
                  <c:v>75</c:v>
                </c:pt>
                <c:pt idx="46">
                  <c:v>74</c:v>
                </c:pt>
                <c:pt idx="47">
                  <c:v>73</c:v>
                </c:pt>
                <c:pt idx="48">
                  <c:v>72</c:v>
                </c:pt>
                <c:pt idx="49">
                  <c:v>71</c:v>
                </c:pt>
                <c:pt idx="50">
                  <c:v>70</c:v>
                </c:pt>
                <c:pt idx="51">
                  <c:v>69</c:v>
                </c:pt>
                <c:pt idx="52">
                  <c:v>68</c:v>
                </c:pt>
                <c:pt idx="53">
                  <c:v>67</c:v>
                </c:pt>
                <c:pt idx="54">
                  <c:v>66</c:v>
                </c:pt>
                <c:pt idx="55">
                  <c:v>65</c:v>
                </c:pt>
                <c:pt idx="56">
                  <c:v>64</c:v>
                </c:pt>
                <c:pt idx="57">
                  <c:v>63</c:v>
                </c:pt>
                <c:pt idx="58">
                  <c:v>62</c:v>
                </c:pt>
                <c:pt idx="59">
                  <c:v>61</c:v>
                </c:pt>
                <c:pt idx="60">
                  <c:v>60</c:v>
                </c:pt>
                <c:pt idx="61">
                  <c:v>59</c:v>
                </c:pt>
                <c:pt idx="62">
                  <c:v>58</c:v>
                </c:pt>
                <c:pt idx="63">
                  <c:v>57</c:v>
                </c:pt>
                <c:pt idx="64">
                  <c:v>56</c:v>
                </c:pt>
                <c:pt idx="65">
                  <c:v>55</c:v>
                </c:pt>
                <c:pt idx="66">
                  <c:v>54</c:v>
                </c:pt>
                <c:pt idx="67">
                  <c:v>53</c:v>
                </c:pt>
                <c:pt idx="68">
                  <c:v>52</c:v>
                </c:pt>
                <c:pt idx="69">
                  <c:v>51</c:v>
                </c:pt>
                <c:pt idx="70">
                  <c:v>50</c:v>
                </c:pt>
                <c:pt idx="71">
                  <c:v>49</c:v>
                </c:pt>
                <c:pt idx="72">
                  <c:v>48</c:v>
                </c:pt>
                <c:pt idx="73">
                  <c:v>47</c:v>
                </c:pt>
                <c:pt idx="74">
                  <c:v>46</c:v>
                </c:pt>
                <c:pt idx="75">
                  <c:v>45</c:v>
                </c:pt>
                <c:pt idx="76">
                  <c:v>44</c:v>
                </c:pt>
                <c:pt idx="77">
                  <c:v>43</c:v>
                </c:pt>
                <c:pt idx="78">
                  <c:v>42</c:v>
                </c:pt>
                <c:pt idx="79">
                  <c:v>41</c:v>
                </c:pt>
                <c:pt idx="80">
                  <c:v>40</c:v>
                </c:pt>
                <c:pt idx="81">
                  <c:v>39</c:v>
                </c:pt>
                <c:pt idx="82">
                  <c:v>38</c:v>
                </c:pt>
                <c:pt idx="83">
                  <c:v>37</c:v>
                </c:pt>
                <c:pt idx="84">
                  <c:v>36</c:v>
                </c:pt>
                <c:pt idx="85">
                  <c:v>35</c:v>
                </c:pt>
                <c:pt idx="86">
                  <c:v>34</c:v>
                </c:pt>
                <c:pt idx="87">
                  <c:v>33</c:v>
                </c:pt>
                <c:pt idx="88">
                  <c:v>32</c:v>
                </c:pt>
                <c:pt idx="89">
                  <c:v>31</c:v>
                </c:pt>
                <c:pt idx="90">
                  <c:v>30</c:v>
                </c:pt>
                <c:pt idx="91">
                  <c:v>29</c:v>
                </c:pt>
                <c:pt idx="92">
                  <c:v>28</c:v>
                </c:pt>
                <c:pt idx="93">
                  <c:v>27</c:v>
                </c:pt>
                <c:pt idx="94">
                  <c:v>26</c:v>
                </c:pt>
                <c:pt idx="95">
                  <c:v>25</c:v>
                </c:pt>
                <c:pt idx="96">
                  <c:v>24</c:v>
                </c:pt>
                <c:pt idx="97">
                  <c:v>23</c:v>
                </c:pt>
                <c:pt idx="98">
                  <c:v>22</c:v>
                </c:pt>
                <c:pt idx="99">
                  <c:v>21</c:v>
                </c:pt>
                <c:pt idx="100">
                  <c:v>20</c:v>
                </c:pt>
                <c:pt idx="101">
                  <c:v>19</c:v>
                </c:pt>
                <c:pt idx="102">
                  <c:v>18</c:v>
                </c:pt>
                <c:pt idx="103">
                  <c:v>17</c:v>
                </c:pt>
                <c:pt idx="104">
                  <c:v>16</c:v>
                </c:pt>
                <c:pt idx="105">
                  <c:v>15</c:v>
                </c:pt>
                <c:pt idx="106">
                  <c:v>14</c:v>
                </c:pt>
                <c:pt idx="107">
                  <c:v>13</c:v>
                </c:pt>
                <c:pt idx="108">
                  <c:v>12</c:v>
                </c:pt>
                <c:pt idx="109">
                  <c:v>11</c:v>
                </c:pt>
                <c:pt idx="110">
                  <c:v>10</c:v>
                </c:pt>
                <c:pt idx="111">
                  <c:v>9</c:v>
                </c:pt>
                <c:pt idx="112">
                  <c:v>8</c:v>
                </c:pt>
                <c:pt idx="113">
                  <c:v>7</c:v>
                </c:pt>
                <c:pt idx="114">
                  <c:v>6</c:v>
                </c:pt>
                <c:pt idx="115">
                  <c:v>5</c:v>
                </c:pt>
                <c:pt idx="116">
                  <c:v>4</c:v>
                </c:pt>
                <c:pt idx="117">
                  <c:v>3</c:v>
                </c:pt>
                <c:pt idx="118">
                  <c:v>2</c:v>
                </c:pt>
                <c:pt idx="119">
                  <c:v>1</c:v>
                </c:pt>
                <c:pt idx="120">
                  <c:v>0</c:v>
                </c:pt>
              </c:numCache>
            </c:numRef>
          </c:xVal>
          <c:yVal>
            <c:numRef>
              <c:f>OscBC!$AS$4:$AS$131</c:f>
              <c:numCache>
                <c:formatCode>0.000</c:formatCode>
                <c:ptCount val="121"/>
                <c:pt idx="0">
                  <c:v>1</c:v>
                </c:pt>
                <c:pt idx="7">
                  <c:v>0.55039616731159013</c:v>
                </c:pt>
                <c:pt idx="9">
                  <c:v>0.44720840243228299</c:v>
                </c:pt>
                <c:pt idx="10">
                  <c:v>0.39929979730974752</c:v>
                </c:pt>
                <c:pt idx="11">
                  <c:v>0.37718813340703883</c:v>
                </c:pt>
                <c:pt idx="15">
                  <c:v>0.33738713838216322</c:v>
                </c:pt>
                <c:pt idx="31">
                  <c:v>0.20140040538050485</c:v>
                </c:pt>
                <c:pt idx="40">
                  <c:v>9.8581168232909522E-2</c:v>
                </c:pt>
                <c:pt idx="56">
                  <c:v>3.077206559793624E-2</c:v>
                </c:pt>
                <c:pt idx="120">
                  <c:v>0</c:v>
                </c:pt>
              </c:numCache>
            </c:numRef>
          </c:yVal>
          <c:smooth val="0"/>
        </c:ser>
        <c:ser>
          <c:idx val="7"/>
          <c:order val="13"/>
          <c:tx>
            <c:v>BC -0.5</c:v>
          </c:tx>
          <c:marker>
            <c:symbol val="circle"/>
            <c:size val="2"/>
          </c:marker>
          <c:xVal>
            <c:numRef>
              <c:f>OscBC!$A$4:$A$131</c:f>
              <c:numCache>
                <c:formatCode>General</c:formatCode>
                <c:ptCount val="121"/>
                <c:pt idx="0">
                  <c:v>127</c:v>
                </c:pt>
                <c:pt idx="1">
                  <c:v>126</c:v>
                </c:pt>
                <c:pt idx="2">
                  <c:v>125</c:v>
                </c:pt>
                <c:pt idx="3">
                  <c:v>124</c:v>
                </c:pt>
                <c:pt idx="4">
                  <c:v>123</c:v>
                </c:pt>
                <c:pt idx="5">
                  <c:v>122</c:v>
                </c:pt>
                <c:pt idx="6">
                  <c:v>121</c:v>
                </c:pt>
                <c:pt idx="7">
                  <c:v>120</c:v>
                </c:pt>
                <c:pt idx="8">
                  <c:v>119</c:v>
                </c:pt>
                <c:pt idx="9">
                  <c:v>118</c:v>
                </c:pt>
                <c:pt idx="10">
                  <c:v>117</c:v>
                </c:pt>
                <c:pt idx="11">
                  <c:v>116</c:v>
                </c:pt>
                <c:pt idx="12">
                  <c:v>115</c:v>
                </c:pt>
                <c:pt idx="13">
                  <c:v>114</c:v>
                </c:pt>
                <c:pt idx="14">
                  <c:v>113</c:v>
                </c:pt>
                <c:pt idx="15">
                  <c:v>112</c:v>
                </c:pt>
                <c:pt idx="16">
                  <c:v>111</c:v>
                </c:pt>
                <c:pt idx="17">
                  <c:v>110</c:v>
                </c:pt>
                <c:pt idx="18">
                  <c:v>109</c:v>
                </c:pt>
                <c:pt idx="19">
                  <c:v>108</c:v>
                </c:pt>
                <c:pt idx="20">
                  <c:v>107</c:v>
                </c:pt>
                <c:pt idx="21">
                  <c:v>106</c:v>
                </c:pt>
                <c:pt idx="22">
                  <c:v>105</c:v>
                </c:pt>
                <c:pt idx="23">
                  <c:v>104</c:v>
                </c:pt>
                <c:pt idx="24">
                  <c:v>103</c:v>
                </c:pt>
                <c:pt idx="25">
                  <c:v>102</c:v>
                </c:pt>
                <c:pt idx="26">
                  <c:v>101</c:v>
                </c:pt>
                <c:pt idx="27">
                  <c:v>100</c:v>
                </c:pt>
                <c:pt idx="28">
                  <c:v>99</c:v>
                </c:pt>
                <c:pt idx="29">
                  <c:v>98</c:v>
                </c:pt>
                <c:pt idx="30">
                  <c:v>97</c:v>
                </c:pt>
                <c:pt idx="31">
                  <c:v>96</c:v>
                </c:pt>
                <c:pt idx="32">
                  <c:v>88</c:v>
                </c:pt>
                <c:pt idx="33">
                  <c:v>87</c:v>
                </c:pt>
                <c:pt idx="34">
                  <c:v>86</c:v>
                </c:pt>
                <c:pt idx="35">
                  <c:v>85</c:v>
                </c:pt>
                <c:pt idx="36">
                  <c:v>84</c:v>
                </c:pt>
                <c:pt idx="37">
                  <c:v>83</c:v>
                </c:pt>
                <c:pt idx="38">
                  <c:v>82</c:v>
                </c:pt>
                <c:pt idx="39">
                  <c:v>81</c:v>
                </c:pt>
                <c:pt idx="40">
                  <c:v>80</c:v>
                </c:pt>
                <c:pt idx="41">
                  <c:v>79</c:v>
                </c:pt>
                <c:pt idx="42">
                  <c:v>78</c:v>
                </c:pt>
                <c:pt idx="43">
                  <c:v>77</c:v>
                </c:pt>
                <c:pt idx="44">
                  <c:v>76</c:v>
                </c:pt>
                <c:pt idx="45">
                  <c:v>75</c:v>
                </c:pt>
                <c:pt idx="46">
                  <c:v>74</c:v>
                </c:pt>
                <c:pt idx="47">
                  <c:v>73</c:v>
                </c:pt>
                <c:pt idx="48">
                  <c:v>72</c:v>
                </c:pt>
                <c:pt idx="49">
                  <c:v>71</c:v>
                </c:pt>
                <c:pt idx="50">
                  <c:v>70</c:v>
                </c:pt>
                <c:pt idx="51">
                  <c:v>69</c:v>
                </c:pt>
                <c:pt idx="52">
                  <c:v>68</c:v>
                </c:pt>
                <c:pt idx="53">
                  <c:v>67</c:v>
                </c:pt>
                <c:pt idx="54">
                  <c:v>66</c:v>
                </c:pt>
                <c:pt idx="55">
                  <c:v>65</c:v>
                </c:pt>
                <c:pt idx="56">
                  <c:v>64</c:v>
                </c:pt>
                <c:pt idx="57">
                  <c:v>63</c:v>
                </c:pt>
                <c:pt idx="58">
                  <c:v>62</c:v>
                </c:pt>
                <c:pt idx="59">
                  <c:v>61</c:v>
                </c:pt>
                <c:pt idx="60">
                  <c:v>60</c:v>
                </c:pt>
                <c:pt idx="61">
                  <c:v>59</c:v>
                </c:pt>
                <c:pt idx="62">
                  <c:v>58</c:v>
                </c:pt>
                <c:pt idx="63">
                  <c:v>57</c:v>
                </c:pt>
                <c:pt idx="64">
                  <c:v>56</c:v>
                </c:pt>
                <c:pt idx="65">
                  <c:v>55</c:v>
                </c:pt>
                <c:pt idx="66">
                  <c:v>54</c:v>
                </c:pt>
                <c:pt idx="67">
                  <c:v>53</c:v>
                </c:pt>
                <c:pt idx="68">
                  <c:v>52</c:v>
                </c:pt>
                <c:pt idx="69">
                  <c:v>51</c:v>
                </c:pt>
                <c:pt idx="70">
                  <c:v>50</c:v>
                </c:pt>
                <c:pt idx="71">
                  <c:v>49</c:v>
                </c:pt>
                <c:pt idx="72">
                  <c:v>48</c:v>
                </c:pt>
                <c:pt idx="73">
                  <c:v>47</c:v>
                </c:pt>
                <c:pt idx="74">
                  <c:v>46</c:v>
                </c:pt>
                <c:pt idx="75">
                  <c:v>45</c:v>
                </c:pt>
                <c:pt idx="76">
                  <c:v>44</c:v>
                </c:pt>
                <c:pt idx="77">
                  <c:v>43</c:v>
                </c:pt>
                <c:pt idx="78">
                  <c:v>42</c:v>
                </c:pt>
                <c:pt idx="79">
                  <c:v>41</c:v>
                </c:pt>
                <c:pt idx="80">
                  <c:v>40</c:v>
                </c:pt>
                <c:pt idx="81">
                  <c:v>39</c:v>
                </c:pt>
                <c:pt idx="82">
                  <c:v>38</c:v>
                </c:pt>
                <c:pt idx="83">
                  <c:v>37</c:v>
                </c:pt>
                <c:pt idx="84">
                  <c:v>36</c:v>
                </c:pt>
                <c:pt idx="85">
                  <c:v>35</c:v>
                </c:pt>
                <c:pt idx="86">
                  <c:v>34</c:v>
                </c:pt>
                <c:pt idx="87">
                  <c:v>33</c:v>
                </c:pt>
                <c:pt idx="88">
                  <c:v>32</c:v>
                </c:pt>
                <c:pt idx="89">
                  <c:v>31</c:v>
                </c:pt>
                <c:pt idx="90">
                  <c:v>30</c:v>
                </c:pt>
                <c:pt idx="91">
                  <c:v>29</c:v>
                </c:pt>
                <c:pt idx="92">
                  <c:v>28</c:v>
                </c:pt>
                <c:pt idx="93">
                  <c:v>27</c:v>
                </c:pt>
                <c:pt idx="94">
                  <c:v>26</c:v>
                </c:pt>
                <c:pt idx="95">
                  <c:v>25</c:v>
                </c:pt>
                <c:pt idx="96">
                  <c:v>24</c:v>
                </c:pt>
                <c:pt idx="97">
                  <c:v>23</c:v>
                </c:pt>
                <c:pt idx="98">
                  <c:v>22</c:v>
                </c:pt>
                <c:pt idx="99">
                  <c:v>21</c:v>
                </c:pt>
                <c:pt idx="100">
                  <c:v>20</c:v>
                </c:pt>
                <c:pt idx="101">
                  <c:v>19</c:v>
                </c:pt>
                <c:pt idx="102">
                  <c:v>18</c:v>
                </c:pt>
                <c:pt idx="103">
                  <c:v>17</c:v>
                </c:pt>
                <c:pt idx="104">
                  <c:v>16</c:v>
                </c:pt>
                <c:pt idx="105">
                  <c:v>15</c:v>
                </c:pt>
                <c:pt idx="106">
                  <c:v>14</c:v>
                </c:pt>
                <c:pt idx="107">
                  <c:v>13</c:v>
                </c:pt>
                <c:pt idx="108">
                  <c:v>12</c:v>
                </c:pt>
                <c:pt idx="109">
                  <c:v>11</c:v>
                </c:pt>
                <c:pt idx="110">
                  <c:v>10</c:v>
                </c:pt>
                <c:pt idx="111">
                  <c:v>9</c:v>
                </c:pt>
                <c:pt idx="112">
                  <c:v>8</c:v>
                </c:pt>
                <c:pt idx="113">
                  <c:v>7</c:v>
                </c:pt>
                <c:pt idx="114">
                  <c:v>6</c:v>
                </c:pt>
                <c:pt idx="115">
                  <c:v>5</c:v>
                </c:pt>
                <c:pt idx="116">
                  <c:v>4</c:v>
                </c:pt>
                <c:pt idx="117">
                  <c:v>3</c:v>
                </c:pt>
                <c:pt idx="118">
                  <c:v>2</c:v>
                </c:pt>
                <c:pt idx="119">
                  <c:v>1</c:v>
                </c:pt>
                <c:pt idx="120">
                  <c:v>0</c:v>
                </c:pt>
              </c:numCache>
            </c:numRef>
          </c:xVal>
          <c:yVal>
            <c:numRef>
              <c:f>OscBC!$BB$4:$BB$131</c:f>
              <c:numCache>
                <c:formatCode>0.000</c:formatCode>
                <c:ptCount val="121"/>
                <c:pt idx="0">
                  <c:v>1</c:v>
                </c:pt>
                <c:pt idx="1">
                  <c:v>0.84943339408827956</c:v>
                </c:pt>
                <c:pt idx="2">
                  <c:v>0.71471590458831924</c:v>
                </c:pt>
                <c:pt idx="3">
                  <c:v>0.59188525239717882</c:v>
                </c:pt>
                <c:pt idx="4">
                  <c:v>0.48094143751485852</c:v>
                </c:pt>
                <c:pt idx="5">
                  <c:v>0.37395990173547822</c:v>
                </c:pt>
                <c:pt idx="6">
                  <c:v>0.28520484982962196</c:v>
                </c:pt>
                <c:pt idx="7">
                  <c:v>0.2115064585149378</c:v>
                </c:pt>
                <c:pt idx="8">
                  <c:v>0.19882716538552975</c:v>
                </c:pt>
                <c:pt idx="9">
                  <c:v>0.19090260717964974</c:v>
                </c:pt>
                <c:pt idx="15">
                  <c:v>0.14850622077819164</c:v>
                </c:pt>
                <c:pt idx="19">
                  <c:v>0.12235517869878754</c:v>
                </c:pt>
                <c:pt idx="23">
                  <c:v>9.8185276170853472E-2</c:v>
                </c:pt>
                <c:pt idx="27">
                  <c:v>7.6788969014977407E-2</c:v>
                </c:pt>
                <c:pt idx="31">
                  <c:v>5.7770029320865356E-2</c:v>
                </c:pt>
                <c:pt idx="56">
                  <c:v>3.922656311910612E-3</c:v>
                </c:pt>
                <c:pt idx="120">
                  <c:v>0</c:v>
                </c:pt>
              </c:numCache>
            </c:numRef>
          </c:yVal>
          <c:smooth val="0"/>
        </c:ser>
        <c:ser>
          <c:idx val="14"/>
          <c:order val="14"/>
          <c:tx>
            <c:v>gamma-filt</c:v>
          </c:tx>
          <c:marker>
            <c:symbol val="plus"/>
            <c:size val="2"/>
            <c:spPr>
              <a:solidFill>
                <a:srgbClr val="00B0F0"/>
              </a:solidFill>
            </c:spPr>
          </c:marker>
          <c:xVal>
            <c:numRef>
              <c:f>OscBC!$A$4:$A$131</c:f>
              <c:numCache>
                <c:formatCode>General</c:formatCode>
                <c:ptCount val="121"/>
                <c:pt idx="0">
                  <c:v>127</c:v>
                </c:pt>
                <c:pt idx="1">
                  <c:v>126</c:v>
                </c:pt>
                <c:pt idx="2">
                  <c:v>125</c:v>
                </c:pt>
                <c:pt idx="3">
                  <c:v>124</c:v>
                </c:pt>
                <c:pt idx="4">
                  <c:v>123</c:v>
                </c:pt>
                <c:pt idx="5">
                  <c:v>122</c:v>
                </c:pt>
                <c:pt idx="6">
                  <c:v>121</c:v>
                </c:pt>
                <c:pt idx="7">
                  <c:v>120</c:v>
                </c:pt>
                <c:pt idx="8">
                  <c:v>119</c:v>
                </c:pt>
                <c:pt idx="9">
                  <c:v>118</c:v>
                </c:pt>
                <c:pt idx="10">
                  <c:v>117</c:v>
                </c:pt>
                <c:pt idx="11">
                  <c:v>116</c:v>
                </c:pt>
                <c:pt idx="12">
                  <c:v>115</c:v>
                </c:pt>
                <c:pt idx="13">
                  <c:v>114</c:v>
                </c:pt>
                <c:pt idx="14">
                  <c:v>113</c:v>
                </c:pt>
                <c:pt idx="15">
                  <c:v>112</c:v>
                </c:pt>
                <c:pt idx="16">
                  <c:v>111</c:v>
                </c:pt>
                <c:pt idx="17">
                  <c:v>110</c:v>
                </c:pt>
                <c:pt idx="18">
                  <c:v>109</c:v>
                </c:pt>
                <c:pt idx="19">
                  <c:v>108</c:v>
                </c:pt>
                <c:pt idx="20">
                  <c:v>107</c:v>
                </c:pt>
                <c:pt idx="21">
                  <c:v>106</c:v>
                </c:pt>
                <c:pt idx="22">
                  <c:v>105</c:v>
                </c:pt>
                <c:pt idx="23">
                  <c:v>104</c:v>
                </c:pt>
                <c:pt idx="24">
                  <c:v>103</c:v>
                </c:pt>
                <c:pt idx="25">
                  <c:v>102</c:v>
                </c:pt>
                <c:pt idx="26">
                  <c:v>101</c:v>
                </c:pt>
                <c:pt idx="27">
                  <c:v>100</c:v>
                </c:pt>
                <c:pt idx="28">
                  <c:v>99</c:v>
                </c:pt>
                <c:pt idx="29">
                  <c:v>98</c:v>
                </c:pt>
                <c:pt idx="30">
                  <c:v>97</c:v>
                </c:pt>
                <c:pt idx="31">
                  <c:v>96</c:v>
                </c:pt>
                <c:pt idx="32">
                  <c:v>88</c:v>
                </c:pt>
                <c:pt idx="33">
                  <c:v>87</c:v>
                </c:pt>
                <c:pt idx="34">
                  <c:v>86</c:v>
                </c:pt>
                <c:pt idx="35">
                  <c:v>85</c:v>
                </c:pt>
                <c:pt idx="36">
                  <c:v>84</c:v>
                </c:pt>
                <c:pt idx="37">
                  <c:v>83</c:v>
                </c:pt>
                <c:pt idx="38">
                  <c:v>82</c:v>
                </c:pt>
                <c:pt idx="39">
                  <c:v>81</c:v>
                </c:pt>
                <c:pt idx="40">
                  <c:v>80</c:v>
                </c:pt>
                <c:pt idx="41">
                  <c:v>79</c:v>
                </c:pt>
                <c:pt idx="42">
                  <c:v>78</c:v>
                </c:pt>
                <c:pt idx="43">
                  <c:v>77</c:v>
                </c:pt>
                <c:pt idx="44">
                  <c:v>76</c:v>
                </c:pt>
                <c:pt idx="45">
                  <c:v>75</c:v>
                </c:pt>
                <c:pt idx="46">
                  <c:v>74</c:v>
                </c:pt>
                <c:pt idx="47">
                  <c:v>73</c:v>
                </c:pt>
                <c:pt idx="48">
                  <c:v>72</c:v>
                </c:pt>
                <c:pt idx="49">
                  <c:v>71</c:v>
                </c:pt>
                <c:pt idx="50">
                  <c:v>70</c:v>
                </c:pt>
                <c:pt idx="51">
                  <c:v>69</c:v>
                </c:pt>
                <c:pt idx="52">
                  <c:v>68</c:v>
                </c:pt>
                <c:pt idx="53">
                  <c:v>67</c:v>
                </c:pt>
                <c:pt idx="54">
                  <c:v>66</c:v>
                </c:pt>
                <c:pt idx="55">
                  <c:v>65</c:v>
                </c:pt>
                <c:pt idx="56">
                  <c:v>64</c:v>
                </c:pt>
                <c:pt idx="57">
                  <c:v>63</c:v>
                </c:pt>
                <c:pt idx="58">
                  <c:v>62</c:v>
                </c:pt>
                <c:pt idx="59">
                  <c:v>61</c:v>
                </c:pt>
                <c:pt idx="60">
                  <c:v>60</c:v>
                </c:pt>
                <c:pt idx="61">
                  <c:v>59</c:v>
                </c:pt>
                <c:pt idx="62">
                  <c:v>58</c:v>
                </c:pt>
                <c:pt idx="63">
                  <c:v>57</c:v>
                </c:pt>
                <c:pt idx="64">
                  <c:v>56</c:v>
                </c:pt>
                <c:pt idx="65">
                  <c:v>55</c:v>
                </c:pt>
                <c:pt idx="66">
                  <c:v>54</c:v>
                </c:pt>
                <c:pt idx="67">
                  <c:v>53</c:v>
                </c:pt>
                <c:pt idx="68">
                  <c:v>52</c:v>
                </c:pt>
                <c:pt idx="69">
                  <c:v>51</c:v>
                </c:pt>
                <c:pt idx="70">
                  <c:v>50</c:v>
                </c:pt>
                <c:pt idx="71">
                  <c:v>49</c:v>
                </c:pt>
                <c:pt idx="72">
                  <c:v>48</c:v>
                </c:pt>
                <c:pt idx="73">
                  <c:v>47</c:v>
                </c:pt>
                <c:pt idx="74">
                  <c:v>46</c:v>
                </c:pt>
                <c:pt idx="75">
                  <c:v>45</c:v>
                </c:pt>
                <c:pt idx="76">
                  <c:v>44</c:v>
                </c:pt>
                <c:pt idx="77">
                  <c:v>43</c:v>
                </c:pt>
                <c:pt idx="78">
                  <c:v>42</c:v>
                </c:pt>
                <c:pt idx="79">
                  <c:v>41</c:v>
                </c:pt>
                <c:pt idx="80">
                  <c:v>40</c:v>
                </c:pt>
                <c:pt idx="81">
                  <c:v>39</c:v>
                </c:pt>
                <c:pt idx="82">
                  <c:v>38</c:v>
                </c:pt>
                <c:pt idx="83">
                  <c:v>37</c:v>
                </c:pt>
                <c:pt idx="84">
                  <c:v>36</c:v>
                </c:pt>
                <c:pt idx="85">
                  <c:v>35</c:v>
                </c:pt>
                <c:pt idx="86">
                  <c:v>34</c:v>
                </c:pt>
                <c:pt idx="87">
                  <c:v>33</c:v>
                </c:pt>
                <c:pt idx="88">
                  <c:v>32</c:v>
                </c:pt>
                <c:pt idx="89">
                  <c:v>31</c:v>
                </c:pt>
                <c:pt idx="90">
                  <c:v>30</c:v>
                </c:pt>
                <c:pt idx="91">
                  <c:v>29</c:v>
                </c:pt>
                <c:pt idx="92">
                  <c:v>28</c:v>
                </c:pt>
                <c:pt idx="93">
                  <c:v>27</c:v>
                </c:pt>
                <c:pt idx="94">
                  <c:v>26</c:v>
                </c:pt>
                <c:pt idx="95">
                  <c:v>25</c:v>
                </c:pt>
                <c:pt idx="96">
                  <c:v>24</c:v>
                </c:pt>
                <c:pt idx="97">
                  <c:v>23</c:v>
                </c:pt>
                <c:pt idx="98">
                  <c:v>22</c:v>
                </c:pt>
                <c:pt idx="99">
                  <c:v>21</c:v>
                </c:pt>
                <c:pt idx="100">
                  <c:v>20</c:v>
                </c:pt>
                <c:pt idx="101">
                  <c:v>19</c:v>
                </c:pt>
                <c:pt idx="102">
                  <c:v>18</c:v>
                </c:pt>
                <c:pt idx="103">
                  <c:v>17</c:v>
                </c:pt>
                <c:pt idx="104">
                  <c:v>16</c:v>
                </c:pt>
                <c:pt idx="105">
                  <c:v>15</c:v>
                </c:pt>
                <c:pt idx="106">
                  <c:v>14</c:v>
                </c:pt>
                <c:pt idx="107">
                  <c:v>13</c:v>
                </c:pt>
                <c:pt idx="108">
                  <c:v>12</c:v>
                </c:pt>
                <c:pt idx="109">
                  <c:v>11</c:v>
                </c:pt>
                <c:pt idx="110">
                  <c:v>10</c:v>
                </c:pt>
                <c:pt idx="111">
                  <c:v>9</c:v>
                </c:pt>
                <c:pt idx="112">
                  <c:v>8</c:v>
                </c:pt>
                <c:pt idx="113">
                  <c:v>7</c:v>
                </c:pt>
                <c:pt idx="114">
                  <c:v>6</c:v>
                </c:pt>
                <c:pt idx="115">
                  <c:v>5</c:v>
                </c:pt>
                <c:pt idx="116">
                  <c:v>4</c:v>
                </c:pt>
                <c:pt idx="117">
                  <c:v>3</c:v>
                </c:pt>
                <c:pt idx="118">
                  <c:v>2</c:v>
                </c:pt>
                <c:pt idx="119">
                  <c:v>1</c:v>
                </c:pt>
                <c:pt idx="120">
                  <c:v>0</c:v>
                </c:pt>
              </c:numCache>
            </c:numRef>
          </c:xVal>
          <c:yVal>
            <c:numRef>
              <c:f>OscBC!$E$4:$E$131</c:f>
              <c:numCache>
                <c:formatCode>General</c:formatCode>
                <c:ptCount val="121"/>
                <c:pt idx="0">
                  <c:v>1</c:v>
                </c:pt>
                <c:pt idx="1">
                  <c:v>0.9906431545594736</c:v>
                </c:pt>
                <c:pt idx="2">
                  <c:v>0.98130034935670485</c:v>
                </c:pt>
                <c:pt idx="3">
                  <c:v>0.97197167539453588</c:v>
                </c:pt>
                <c:pt idx="4">
                  <c:v>0.96265722500376882</c:v>
                </c:pt>
                <c:pt idx="5">
                  <c:v>0.95335709187349182</c:v>
                </c:pt>
                <c:pt idx="6">
                  <c:v>0.94407137108234862</c:v>
                </c:pt>
                <c:pt idx="7">
                  <c:v>0.93480015913079506</c:v>
                </c:pt>
                <c:pt idx="8">
                  <c:v>0.92554355397437693</c:v>
                </c:pt>
                <c:pt idx="9">
                  <c:v>0.91630165505807437</c:v>
                </c:pt>
                <c:pt idx="10">
                  <c:v>0.90707456335175385</c:v>
                </c:pt>
                <c:pt idx="11">
                  <c:v>0.89786238138677399</c:v>
                </c:pt>
                <c:pt idx="12">
                  <c:v>0.88866521329379267</c:v>
                </c:pt>
                <c:pt idx="13">
                  <c:v>0.87948316484182754</c:v>
                </c:pt>
                <c:pt idx="14">
                  <c:v>0.87031634347861919</c:v>
                </c:pt>
                <c:pt idx="15">
                  <c:v>0.86116485837235601</c:v>
                </c:pt>
                <c:pt idx="16">
                  <c:v>0.85202882045481676</c:v>
                </c:pt>
                <c:pt idx="17">
                  <c:v>0.84290834246599367</c:v>
                </c:pt>
                <c:pt idx="18">
                  <c:v>0.83380353900026016</c:v>
                </c:pt>
                <c:pt idx="19">
                  <c:v>0.8247145265541509</c:v>
                </c:pt>
                <c:pt idx="20">
                  <c:v>0.81564142357582692</c:v>
                </c:pt>
                <c:pt idx="21">
                  <c:v>0.80658435051630095</c:v>
                </c:pt>
                <c:pt idx="22">
                  <c:v>0.7975434298825026</c:v>
                </c:pt>
                <c:pt idx="23">
                  <c:v>0.78851878629226801</c:v>
                </c:pt>
                <c:pt idx="24">
                  <c:v>0.77951054653134277</c:v>
                </c:pt>
                <c:pt idx="25">
                  <c:v>0.77051883961249235</c:v>
                </c:pt>
                <c:pt idx="26">
                  <c:v>0.76154379683681805</c:v>
                </c:pt>
                <c:pt idx="27">
                  <c:v>0.75258555185738651</c:v>
                </c:pt>
                <c:pt idx="28">
                  <c:v>0.74364424074527891</c:v>
                </c:pt>
                <c:pt idx="29">
                  <c:v>0.73472000205818389</c:v>
                </c:pt>
                <c:pt idx="30">
                  <c:v>0.72581297691165247</c:v>
                </c:pt>
                <c:pt idx="31">
                  <c:v>0.71692330905315105</c:v>
                </c:pt>
                <c:pt idx="32">
                  <c:v>0.64644901073949701</c:v>
                </c:pt>
                <c:pt idx="33">
                  <c:v>0.63772250208310577</c:v>
                </c:pt>
                <c:pt idx="34">
                  <c:v>0.62901495154458542</c:v>
                </c:pt>
                <c:pt idx="35">
                  <c:v>0.62032653766926127</c:v>
                </c:pt>
                <c:pt idx="36">
                  <c:v>0.61165744280212719</c:v>
                </c:pt>
                <c:pt idx="37">
                  <c:v>0.60300785321485784</c:v>
                </c:pt>
                <c:pt idx="38">
                  <c:v>0.59437795923864867</c:v>
                </c:pt>
                <c:pt idx="39">
                  <c:v>0.58576795540322046</c:v>
                </c:pt>
                <c:pt idx="40">
                  <c:v>0.57717804058235855</c:v>
                </c:pt>
                <c:pt idx="41">
                  <c:v>0.56860841814637786</c:v>
                </c:pt>
                <c:pt idx="42">
                  <c:v>0.56005929612193284</c:v>
                </c:pt>
                <c:pt idx="43">
                  <c:v>0.55153088735962852</c:v>
                </c:pt>
                <c:pt idx="44">
                  <c:v>0.54302340970991725</c:v>
                </c:pt>
                <c:pt idx="45">
                  <c:v>0.53453708620780538</c:v>
                </c:pt>
                <c:pt idx="46">
                  <c:v>0.5260721452669348</c:v>
                </c:pt>
                <c:pt idx="47">
                  <c:v>0.51762882088364748</c:v>
                </c:pt>
                <c:pt idx="48">
                  <c:v>0.50920735285169172</c:v>
                </c:pt>
                <c:pt idx="49">
                  <c:v>0.50080798698827822</c:v>
                </c:pt>
                <c:pt idx="50">
                  <c:v>0.492430975372255</c:v>
                </c:pt>
                <c:pt idx="51">
                  <c:v>0.48407657659523506</c:v>
                </c:pt>
                <c:pt idx="52">
                  <c:v>0.47574505602657469</c:v>
                </c:pt>
                <c:pt idx="53">
                  <c:v>0.46743668609318489</c:v>
                </c:pt>
                <c:pt idx="54">
                  <c:v>0.45915174657523894</c:v>
                </c:pt>
                <c:pt idx="55">
                  <c:v>0.45089052491893072</c:v>
                </c:pt>
                <c:pt idx="56">
                  <c:v>0.44265331656754842</c:v>
                </c:pt>
                <c:pt idx="57">
                  <c:v>0.43444042531223548</c:v>
                </c:pt>
                <c:pt idx="58">
                  <c:v>0.42625216366394175</c:v>
                </c:pt>
                <c:pt idx="59">
                  <c:v>0.41808885324820616</c:v>
                </c:pt>
                <c:pt idx="60">
                  <c:v>0.40995082522457066</c:v>
                </c:pt>
                <c:pt idx="61">
                  <c:v>0.40183842073259524</c:v>
                </c:pt>
                <c:pt idx="62">
                  <c:v>0.39375199136664385</c:v>
                </c:pt>
                <c:pt idx="63">
                  <c:v>0.38569189968182027</c:v>
                </c:pt>
                <c:pt idx="64">
                  <c:v>0.37765851973368347</c:v>
                </c:pt>
                <c:pt idx="65">
                  <c:v>0.36965223765463695</c:v>
                </c:pt>
                <c:pt idx="66">
                  <c:v>0.36167345227019815</c:v>
                </c:pt>
                <c:pt idx="67">
                  <c:v>0.35372257575869409</c:v>
                </c:pt>
                <c:pt idx="68">
                  <c:v>0.34580003435832019</c:v>
                </c:pt>
                <c:pt idx="69">
                  <c:v>0.33790626912593763</c:v>
                </c:pt>
                <c:pt idx="70">
                  <c:v>0.33004173675248233</c:v>
                </c:pt>
                <c:pt idx="71">
                  <c:v>0.32220691044042454</c:v>
                </c:pt>
                <c:pt idx="72">
                  <c:v>0.31440228084936267</c:v>
                </c:pt>
                <c:pt idx="73">
                  <c:v>0.30662835711656788</c:v>
                </c:pt>
                <c:pt idx="74">
                  <c:v>0.29888566796014104</c:v>
                </c:pt>
                <c:pt idx="75">
                  <c:v>0.29117476287340782</c:v>
                </c:pt>
                <c:pt idx="76">
                  <c:v>0.28349621342028913</c:v>
                </c:pt>
                <c:pt idx="77">
                  <c:v>0.27585061464267052</c:v>
                </c:pt>
                <c:pt idx="78">
                  <c:v>0.26823858659227973</c:v>
                </c:pt>
                <c:pt idx="79">
                  <c:v>0.2606607760013091</c:v>
                </c:pt>
                <c:pt idx="80">
                  <c:v>0.25311785810803661</c:v>
                </c:pt>
                <c:pt idx="81">
                  <c:v>0.24561053865605284</c:v>
                </c:pt>
                <c:pt idx="82">
                  <c:v>0.2381395560884722</c:v>
                </c:pt>
                <c:pt idx="83">
                  <c:v>0.23070568396176847</c:v>
                </c:pt>
                <c:pt idx="84">
                  <c:v>0.22330973360773929</c:v>
                </c:pt>
                <c:pt idx="85">
                  <c:v>0.21595255707669456</c:v>
                </c:pt>
                <c:pt idx="86">
                  <c:v>0.20863505040045188</c:v>
                </c:pt>
                <c:pt idx="87">
                  <c:v>0.20135815722030215</c:v>
                </c:pt>
                <c:pt idx="88">
                  <c:v>0.19412287283304716</c:v>
                </c:pt>
                <c:pt idx="89">
                  <c:v>0.18693024871783542</c:v>
                </c:pt>
                <c:pt idx="90">
                  <c:v>0.17978139761826023</c:v>
                </c:pt>
                <c:pt idx="91">
                  <c:v>0.17267749926857714</c:v>
                </c:pt>
                <c:pt idx="92">
                  <c:v>0.16561980687066941</c:v>
                </c:pt>
                <c:pt idx="93">
                  <c:v>0.15860965445047784</c:v>
                </c:pt>
                <c:pt idx="94">
                  <c:v>0.15164846525025394</c:v>
                </c:pt>
                <c:pt idx="95">
                  <c:v>0.14473776134787719</c:v>
                </c:pt>
                <c:pt idx="96">
                  <c:v>0.13787917473883265</c:v>
                </c:pt>
                <c:pt idx="97">
                  <c:v>0.13107446017337801</c:v>
                </c:pt>
                <c:pt idx="98">
                  <c:v>0.12432551011518105</c:v>
                </c:pt>
                <c:pt idx="99">
                  <c:v>0.11763437228426006</c:v>
                </c:pt>
                <c:pt idx="100">
                  <c:v>0.1110032703748681</c:v>
                </c:pt>
                <c:pt idx="101">
                  <c:v>0.10443462871022316</c:v>
                </c:pt>
                <c:pt idx="102">
                  <c:v>9.7931101828538342E-2</c:v>
                </c:pt>
                <c:pt idx="103">
                  <c:v>9.1495610315218148E-2</c:v>
                </c:pt>
                <c:pt idx="104">
                  <c:v>8.5131384644680286E-2</c:v>
                </c:pt>
                <c:pt idx="105">
                  <c:v>7.8842019434573404E-2</c:v>
                </c:pt>
                <c:pt idx="106">
                  <c:v>7.2631541444426601E-2</c:v>
                </c:pt>
                <c:pt idx="107">
                  <c:v>6.6504496031737165E-2</c:v>
                </c:pt>
                <c:pt idx="108">
                  <c:v>6.0466058882600759E-2</c:v>
                </c:pt>
                <c:pt idx="109">
                  <c:v>5.4522183132248443E-2</c:v>
                </c:pt>
                <c:pt idx="110">
                  <c:v>4.8679797332422378E-2</c:v>
                </c:pt>
                <c:pt idx="111">
                  <c:v>4.2947078707272116E-2</c:v>
                </c:pt>
                <c:pt idx="112">
                  <c:v>3.7333841941199264E-2</c:v>
                </c:pt>
                <c:pt idx="113">
                  <c:v>3.1852113055009859E-2</c:v>
                </c:pt>
                <c:pt idx="114">
                  <c:v>2.6517015957772606E-2</c:v>
                </c:pt>
                <c:pt idx="115">
                  <c:v>2.1348223888566085E-2</c:v>
                </c:pt>
                <c:pt idx="116">
                  <c:v>1.6372525360745981E-2</c:v>
                </c:pt>
                <c:pt idx="117">
                  <c:v>1.1628873260451584E-2</c:v>
                </c:pt>
                <c:pt idx="118">
                  <c:v>7.1800696834379849E-3</c:v>
                </c:pt>
                <c:pt idx="119">
                  <c:v>3.1487751292557059E-3</c:v>
                </c:pt>
                <c:pt idx="120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3436544"/>
        <c:axId val="303438464"/>
      </c:scatterChart>
      <c:valAx>
        <c:axId val="3034365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03438464"/>
        <c:crosses val="autoZero"/>
        <c:crossBetween val="midCat"/>
      </c:valAx>
      <c:valAx>
        <c:axId val="303438464"/>
        <c:scaling>
          <c:orientation val="minMax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crossAx val="303436544"/>
        <c:crosses val="autoZero"/>
        <c:crossBetween val="midCat"/>
      </c:valAx>
    </c:plotArea>
    <c:legend>
      <c:legendPos val="r"/>
      <c:legendEntry>
        <c:idx val="15"/>
        <c:delete val="1"/>
      </c:legendEntry>
      <c:overlay val="0"/>
    </c:legend>
    <c:plotVisOnly val="1"/>
    <c:dispBlanksAs val="span"/>
    <c:showDLblsOverMax val="0"/>
  </c:chart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BC 0.2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layout>
                <c:manualLayout>
                  <c:x val="0.31944444444444442"/>
                  <c:y val="0.16902595508894722"/>
                </c:manualLayout>
              </c:layout>
              <c:numFmt formatCode="General" sourceLinked="0"/>
            </c:trendlineLbl>
          </c:trendline>
          <c:xVal>
            <c:numRef>
              <c:f>OscBC!$B$71:$B$121</c:f>
              <c:numCache>
                <c:formatCode>General</c:formatCode>
                <c:ptCount val="51"/>
                <c:pt idx="0">
                  <c:v>0.47244094488188976</c:v>
                </c:pt>
                <c:pt idx="1">
                  <c:v>0.46456692913385828</c:v>
                </c:pt>
                <c:pt idx="2">
                  <c:v>0.45669291338582679</c:v>
                </c:pt>
                <c:pt idx="3">
                  <c:v>0.44881889763779526</c:v>
                </c:pt>
                <c:pt idx="4">
                  <c:v>0.44094488188976377</c:v>
                </c:pt>
                <c:pt idx="5">
                  <c:v>0.43307086614173229</c:v>
                </c:pt>
                <c:pt idx="6">
                  <c:v>0.42519685039370081</c:v>
                </c:pt>
                <c:pt idx="7">
                  <c:v>0.41732283464566927</c:v>
                </c:pt>
                <c:pt idx="8">
                  <c:v>0.40944881889763779</c:v>
                </c:pt>
                <c:pt idx="9">
                  <c:v>0.40157480314960631</c:v>
                </c:pt>
                <c:pt idx="10">
                  <c:v>0.39370078740157483</c:v>
                </c:pt>
                <c:pt idx="11">
                  <c:v>0.38582677165354329</c:v>
                </c:pt>
                <c:pt idx="12">
                  <c:v>0.37795275590551181</c:v>
                </c:pt>
                <c:pt idx="13">
                  <c:v>0.37007874015748032</c:v>
                </c:pt>
                <c:pt idx="14">
                  <c:v>0.36220472440944884</c:v>
                </c:pt>
                <c:pt idx="15">
                  <c:v>0.3543307086614173</c:v>
                </c:pt>
                <c:pt idx="16">
                  <c:v>0.34645669291338582</c:v>
                </c:pt>
                <c:pt idx="17">
                  <c:v>0.33858267716535434</c:v>
                </c:pt>
                <c:pt idx="18">
                  <c:v>0.33070866141732286</c:v>
                </c:pt>
                <c:pt idx="19">
                  <c:v>0.32283464566929132</c:v>
                </c:pt>
                <c:pt idx="20">
                  <c:v>0.31496062992125984</c:v>
                </c:pt>
                <c:pt idx="21">
                  <c:v>0.30708661417322836</c:v>
                </c:pt>
                <c:pt idx="22">
                  <c:v>0.29921259842519687</c:v>
                </c:pt>
                <c:pt idx="23">
                  <c:v>0.29133858267716534</c:v>
                </c:pt>
                <c:pt idx="24">
                  <c:v>0.28346456692913385</c:v>
                </c:pt>
                <c:pt idx="25">
                  <c:v>0.27559055118110237</c:v>
                </c:pt>
                <c:pt idx="26">
                  <c:v>0.26771653543307089</c:v>
                </c:pt>
                <c:pt idx="27">
                  <c:v>0.25984251968503935</c:v>
                </c:pt>
                <c:pt idx="28">
                  <c:v>0.25196850393700787</c:v>
                </c:pt>
                <c:pt idx="29">
                  <c:v>0.24409448818897639</c:v>
                </c:pt>
                <c:pt idx="30">
                  <c:v>0.23622047244094488</c:v>
                </c:pt>
                <c:pt idx="31">
                  <c:v>0.2283464566929134</c:v>
                </c:pt>
                <c:pt idx="32">
                  <c:v>0.22047244094488189</c:v>
                </c:pt>
                <c:pt idx="33">
                  <c:v>0.2125984251968504</c:v>
                </c:pt>
                <c:pt idx="34">
                  <c:v>0.20472440944881889</c:v>
                </c:pt>
                <c:pt idx="35">
                  <c:v>0.19685039370078741</c:v>
                </c:pt>
                <c:pt idx="36">
                  <c:v>0.1889763779527559</c:v>
                </c:pt>
                <c:pt idx="37">
                  <c:v>0.18110236220472442</c:v>
                </c:pt>
                <c:pt idx="38">
                  <c:v>0.17322834645669291</c:v>
                </c:pt>
                <c:pt idx="39">
                  <c:v>0.16535433070866143</c:v>
                </c:pt>
                <c:pt idx="40">
                  <c:v>0.15748031496062992</c:v>
                </c:pt>
                <c:pt idx="41">
                  <c:v>0.14960629921259844</c:v>
                </c:pt>
                <c:pt idx="42">
                  <c:v>0.14173228346456693</c:v>
                </c:pt>
                <c:pt idx="43">
                  <c:v>0.13385826771653545</c:v>
                </c:pt>
                <c:pt idx="44">
                  <c:v>0.12598425196850394</c:v>
                </c:pt>
                <c:pt idx="45">
                  <c:v>0.11811023622047244</c:v>
                </c:pt>
                <c:pt idx="46">
                  <c:v>0.11023622047244094</c:v>
                </c:pt>
                <c:pt idx="47">
                  <c:v>0.10236220472440945</c:v>
                </c:pt>
                <c:pt idx="48">
                  <c:v>9.4488188976377951E-2</c:v>
                </c:pt>
                <c:pt idx="49">
                  <c:v>8.6614173228346455E-2</c:v>
                </c:pt>
                <c:pt idx="50">
                  <c:v>7.874015748031496E-2</c:v>
                </c:pt>
              </c:numCache>
            </c:numRef>
          </c:xVal>
          <c:yVal>
            <c:numRef>
              <c:f>OscBC!$Y$71:$Y$121</c:f>
              <c:numCache>
                <c:formatCode>0.000</c:formatCode>
                <c:ptCount val="51"/>
                <c:pt idx="0">
                  <c:v>0.72646536412078155</c:v>
                </c:pt>
                <c:pt idx="4">
                  <c:v>0.68738898756660749</c:v>
                </c:pt>
                <c:pt idx="12">
                  <c:v>0.58081705150976914</c:v>
                </c:pt>
                <c:pt idx="20">
                  <c:v>0.48490230905861459</c:v>
                </c:pt>
                <c:pt idx="28">
                  <c:v>0.39609236234458262</c:v>
                </c:pt>
                <c:pt idx="34">
                  <c:v>0.33925399644760212</c:v>
                </c:pt>
                <c:pt idx="36">
                  <c:v>0.31793960923623443</c:v>
                </c:pt>
                <c:pt idx="40">
                  <c:v>0.28241563055062169</c:v>
                </c:pt>
                <c:pt idx="44">
                  <c:v>0.2483126110124334</c:v>
                </c:pt>
                <c:pt idx="46">
                  <c:v>0.23126110124333923</c:v>
                </c:pt>
                <c:pt idx="48">
                  <c:v>0.21420959147424509</c:v>
                </c:pt>
                <c:pt idx="50">
                  <c:v>0.19928952042628773</c:v>
                </c:pt>
              </c:numCache>
            </c:numRef>
          </c:yVal>
          <c:smooth val="0"/>
        </c:ser>
        <c:ser>
          <c:idx val="1"/>
          <c:order val="1"/>
          <c:tx>
            <c:v>BC 0.2 Lo</c:v>
          </c:tx>
          <c:spPr>
            <a:ln w="28575">
              <a:noFill/>
            </a:ln>
          </c:spPr>
          <c:trendline>
            <c:trendlineType val="poly"/>
            <c:order val="2"/>
            <c:intercept val="0"/>
            <c:dispRSqr val="0"/>
            <c:dispEq val="1"/>
            <c:trendlineLbl>
              <c:layout>
                <c:manualLayout>
                  <c:x val="0.19444444444444445"/>
                  <c:y val="9.4819918343540394E-3"/>
                </c:manualLayout>
              </c:layout>
              <c:numFmt formatCode="General" sourceLinked="0"/>
            </c:trendlineLbl>
          </c:trendline>
          <c:xVal>
            <c:numRef>
              <c:f>OscBC!$B$121:$B$127</c:f>
              <c:numCache>
                <c:formatCode>General</c:formatCode>
                <c:ptCount val="7"/>
                <c:pt idx="0">
                  <c:v>7.874015748031496E-2</c:v>
                </c:pt>
                <c:pt idx="1">
                  <c:v>7.0866141732283464E-2</c:v>
                </c:pt>
                <c:pt idx="2">
                  <c:v>6.2992125984251968E-2</c:v>
                </c:pt>
                <c:pt idx="3">
                  <c:v>5.5118110236220472E-2</c:v>
                </c:pt>
                <c:pt idx="4">
                  <c:v>4.7244094488188976E-2</c:v>
                </c:pt>
                <c:pt idx="5">
                  <c:v>3.937007874015748E-2</c:v>
                </c:pt>
                <c:pt idx="6">
                  <c:v>3.1496062992125984E-2</c:v>
                </c:pt>
              </c:numCache>
            </c:numRef>
          </c:xVal>
          <c:yVal>
            <c:numRef>
              <c:f>OscBC!$Y$121:$Y$127</c:f>
              <c:numCache>
                <c:formatCode>0.000</c:formatCode>
                <c:ptCount val="7"/>
                <c:pt idx="0">
                  <c:v>0.19928952042628773</c:v>
                </c:pt>
                <c:pt idx="1">
                  <c:v>0.16625222024866784</c:v>
                </c:pt>
                <c:pt idx="2">
                  <c:v>0.12433392539964476</c:v>
                </c:pt>
                <c:pt idx="4">
                  <c:v>5.8614564831261103E-2</c:v>
                </c:pt>
                <c:pt idx="6">
                  <c:v>1.5985790408525755E-2</c:v>
                </c:pt>
              </c:numCache>
            </c:numRef>
          </c:yVal>
          <c:smooth val="0"/>
        </c:ser>
        <c:ser>
          <c:idx val="2"/>
          <c:order val="2"/>
          <c:tx>
            <c:v>BC 0.2 Hi</c:v>
          </c:tx>
          <c:spPr>
            <a:ln w="28575">
              <a:noFill/>
            </a:ln>
          </c:spPr>
          <c:trendline>
            <c:trendlineType val="linear"/>
            <c:dispRSqr val="0"/>
            <c:dispEq val="1"/>
            <c:trendlineLbl>
              <c:layout>
                <c:manualLayout>
                  <c:x val="2.7625765529308836E-2"/>
                  <c:y val="0.15693277923592885"/>
                </c:manualLayout>
              </c:layout>
              <c:numFmt formatCode="General" sourceLinked="0"/>
            </c:trendlineLbl>
          </c:trendline>
          <c:xVal>
            <c:numRef>
              <c:f>OscBC!$B$4:$B$71</c:f>
              <c:numCache>
                <c:formatCode>General</c:formatCode>
                <c:ptCount val="61"/>
                <c:pt idx="0">
                  <c:v>1</c:v>
                </c:pt>
                <c:pt idx="1">
                  <c:v>0.99212598425196852</c:v>
                </c:pt>
                <c:pt idx="2">
                  <c:v>0.98425196850393704</c:v>
                </c:pt>
                <c:pt idx="3">
                  <c:v>0.97637795275590555</c:v>
                </c:pt>
                <c:pt idx="4">
                  <c:v>0.96850393700787396</c:v>
                </c:pt>
                <c:pt idx="5">
                  <c:v>0.96062992125984248</c:v>
                </c:pt>
                <c:pt idx="6">
                  <c:v>0.952755905511811</c:v>
                </c:pt>
                <c:pt idx="7">
                  <c:v>0.94488188976377951</c:v>
                </c:pt>
                <c:pt idx="8">
                  <c:v>0.93700787401574803</c:v>
                </c:pt>
                <c:pt idx="9">
                  <c:v>0.92913385826771655</c:v>
                </c:pt>
                <c:pt idx="10">
                  <c:v>0.92125984251968507</c:v>
                </c:pt>
                <c:pt idx="11">
                  <c:v>0.91338582677165359</c:v>
                </c:pt>
                <c:pt idx="12">
                  <c:v>0.90551181102362199</c:v>
                </c:pt>
                <c:pt idx="13">
                  <c:v>0.89763779527559051</c:v>
                </c:pt>
                <c:pt idx="14">
                  <c:v>0.88976377952755903</c:v>
                </c:pt>
                <c:pt idx="15">
                  <c:v>0.88188976377952755</c:v>
                </c:pt>
                <c:pt idx="16">
                  <c:v>0.87401574803149606</c:v>
                </c:pt>
                <c:pt idx="17">
                  <c:v>0.86614173228346458</c:v>
                </c:pt>
                <c:pt idx="18">
                  <c:v>0.8582677165354331</c:v>
                </c:pt>
                <c:pt idx="19">
                  <c:v>0.85039370078740162</c:v>
                </c:pt>
                <c:pt idx="20">
                  <c:v>0.84251968503937003</c:v>
                </c:pt>
                <c:pt idx="21">
                  <c:v>0.83464566929133854</c:v>
                </c:pt>
                <c:pt idx="22">
                  <c:v>0.82677165354330706</c:v>
                </c:pt>
                <c:pt idx="23">
                  <c:v>0.81889763779527558</c:v>
                </c:pt>
                <c:pt idx="24">
                  <c:v>0.8110236220472441</c:v>
                </c:pt>
                <c:pt idx="25">
                  <c:v>0.80314960629921262</c:v>
                </c:pt>
                <c:pt idx="26">
                  <c:v>0.79527559055118113</c:v>
                </c:pt>
                <c:pt idx="27">
                  <c:v>0.78740157480314965</c:v>
                </c:pt>
                <c:pt idx="28">
                  <c:v>0.77952755905511806</c:v>
                </c:pt>
                <c:pt idx="29">
                  <c:v>0.77165354330708658</c:v>
                </c:pt>
                <c:pt idx="30">
                  <c:v>0.76377952755905509</c:v>
                </c:pt>
                <c:pt idx="31">
                  <c:v>0.75590551181102361</c:v>
                </c:pt>
                <c:pt idx="32">
                  <c:v>0.69291338582677164</c:v>
                </c:pt>
                <c:pt idx="33">
                  <c:v>0.68503937007874016</c:v>
                </c:pt>
                <c:pt idx="34">
                  <c:v>0.67716535433070868</c:v>
                </c:pt>
                <c:pt idx="35">
                  <c:v>0.6692913385826772</c:v>
                </c:pt>
                <c:pt idx="36">
                  <c:v>0.66141732283464572</c:v>
                </c:pt>
                <c:pt idx="37">
                  <c:v>0.65354330708661412</c:v>
                </c:pt>
                <c:pt idx="38">
                  <c:v>0.64566929133858264</c:v>
                </c:pt>
                <c:pt idx="39">
                  <c:v>0.63779527559055116</c:v>
                </c:pt>
                <c:pt idx="40">
                  <c:v>0.62992125984251968</c:v>
                </c:pt>
                <c:pt idx="41">
                  <c:v>0.62204724409448819</c:v>
                </c:pt>
                <c:pt idx="42">
                  <c:v>0.61417322834645671</c:v>
                </c:pt>
                <c:pt idx="43">
                  <c:v>0.60629921259842523</c:v>
                </c:pt>
                <c:pt idx="44">
                  <c:v>0.59842519685039375</c:v>
                </c:pt>
                <c:pt idx="45">
                  <c:v>0.59055118110236215</c:v>
                </c:pt>
                <c:pt idx="46">
                  <c:v>0.58267716535433067</c:v>
                </c:pt>
                <c:pt idx="47">
                  <c:v>0.57480314960629919</c:v>
                </c:pt>
                <c:pt idx="48">
                  <c:v>0.56692913385826771</c:v>
                </c:pt>
                <c:pt idx="49">
                  <c:v>0.55905511811023623</c:v>
                </c:pt>
                <c:pt idx="50">
                  <c:v>0.55118110236220474</c:v>
                </c:pt>
                <c:pt idx="51">
                  <c:v>0.54330708661417326</c:v>
                </c:pt>
                <c:pt idx="52">
                  <c:v>0.53543307086614178</c:v>
                </c:pt>
                <c:pt idx="53">
                  <c:v>0.52755905511811019</c:v>
                </c:pt>
                <c:pt idx="54">
                  <c:v>0.51968503937007871</c:v>
                </c:pt>
                <c:pt idx="55">
                  <c:v>0.51181102362204722</c:v>
                </c:pt>
                <c:pt idx="56">
                  <c:v>0.50393700787401574</c:v>
                </c:pt>
                <c:pt idx="57">
                  <c:v>0.49606299212598426</c:v>
                </c:pt>
                <c:pt idx="58">
                  <c:v>0.48818897637795278</c:v>
                </c:pt>
                <c:pt idx="59">
                  <c:v>0.48031496062992124</c:v>
                </c:pt>
                <c:pt idx="60">
                  <c:v>0.47244094488188976</c:v>
                </c:pt>
              </c:numCache>
            </c:numRef>
          </c:xVal>
          <c:yVal>
            <c:numRef>
              <c:f>OscBC!$Y$4:$Y$71</c:f>
              <c:numCache>
                <c:formatCode>0.000</c:formatCode>
                <c:ptCount val="61"/>
                <c:pt idx="0">
                  <c:v>1</c:v>
                </c:pt>
                <c:pt idx="7">
                  <c:v>0.97158081705150978</c:v>
                </c:pt>
                <c:pt idx="15">
                  <c:v>0.93605683836589693</c:v>
                </c:pt>
                <c:pt idx="31">
                  <c:v>0.86856127886323264</c:v>
                </c:pt>
                <c:pt idx="32">
                  <c:v>0.83658969804618122</c:v>
                </c:pt>
                <c:pt idx="40">
                  <c:v>0.80461811722912968</c:v>
                </c:pt>
                <c:pt idx="48">
                  <c:v>0.77264653641207814</c:v>
                </c:pt>
                <c:pt idx="56">
                  <c:v>0.73357015985790408</c:v>
                </c:pt>
                <c:pt idx="60">
                  <c:v>0.72646536412078155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3488000"/>
        <c:axId val="303764224"/>
      </c:scatterChart>
      <c:valAx>
        <c:axId val="303488000"/>
        <c:scaling>
          <c:orientation val="minMax"/>
          <c:max val="1"/>
        </c:scaling>
        <c:delete val="0"/>
        <c:axPos val="b"/>
        <c:minorGridlines>
          <c:spPr>
            <a:ln>
              <a:noFill/>
            </a:ln>
          </c:spPr>
        </c:minorGridlines>
        <c:numFmt formatCode="General" sourceLinked="1"/>
        <c:majorTickMark val="out"/>
        <c:minorTickMark val="none"/>
        <c:tickLblPos val="nextTo"/>
        <c:crossAx val="303764224"/>
        <c:crosses val="autoZero"/>
        <c:crossBetween val="midCat"/>
      </c:valAx>
      <c:valAx>
        <c:axId val="303764224"/>
        <c:scaling>
          <c:orientation val="minMax"/>
          <c:max val="1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crossAx val="30348800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BC 0.15</c:v>
          </c:tx>
          <c:spPr>
            <a:ln w="28575">
              <a:solidFill>
                <a:schemeClr val="accent6">
                  <a:lumMod val="60000"/>
                  <a:lumOff val="40000"/>
                </a:schemeClr>
              </a:solidFill>
            </a:ln>
          </c:spPr>
          <c:marker>
            <c:symbol val="circle"/>
            <c:size val="4"/>
            <c:spPr>
              <a:solidFill>
                <a:schemeClr val="accent6">
                  <a:lumMod val="75000"/>
                </a:schemeClr>
              </a:solidFill>
            </c:spPr>
          </c:marker>
          <c:trendline>
            <c:trendlineType val="poly"/>
            <c:order val="2"/>
            <c:dispRSqr val="0"/>
            <c:dispEq val="1"/>
            <c:trendlineLbl>
              <c:layout>
                <c:manualLayout>
                  <c:x val="0.29261242344706911"/>
                  <c:y val="0.250854841061534"/>
                </c:manualLayout>
              </c:layout>
              <c:numFmt formatCode="General" sourceLinked="0"/>
            </c:trendlineLbl>
          </c:trendline>
          <c:xVal>
            <c:numRef>
              <c:f>OscBC!$B$63:$B$120</c:f>
              <c:numCache>
                <c:formatCode>General</c:formatCode>
                <c:ptCount val="58"/>
                <c:pt idx="0">
                  <c:v>0.53543307086614178</c:v>
                </c:pt>
                <c:pt idx="1">
                  <c:v>0.52755905511811019</c:v>
                </c:pt>
                <c:pt idx="2">
                  <c:v>0.51968503937007871</c:v>
                </c:pt>
                <c:pt idx="3">
                  <c:v>0.51181102362204722</c:v>
                </c:pt>
                <c:pt idx="4">
                  <c:v>0.50393700787401574</c:v>
                </c:pt>
                <c:pt idx="5">
                  <c:v>0.49606299212598426</c:v>
                </c:pt>
                <c:pt idx="6">
                  <c:v>0.48818897637795278</c:v>
                </c:pt>
                <c:pt idx="7">
                  <c:v>0.48031496062992124</c:v>
                </c:pt>
                <c:pt idx="8">
                  <c:v>0.47244094488188976</c:v>
                </c:pt>
                <c:pt idx="9">
                  <c:v>0.46456692913385828</c:v>
                </c:pt>
                <c:pt idx="10">
                  <c:v>0.45669291338582679</c:v>
                </c:pt>
                <c:pt idx="11">
                  <c:v>0.44881889763779526</c:v>
                </c:pt>
                <c:pt idx="12">
                  <c:v>0.44094488188976377</c:v>
                </c:pt>
                <c:pt idx="13">
                  <c:v>0.43307086614173229</c:v>
                </c:pt>
                <c:pt idx="14">
                  <c:v>0.42519685039370081</c:v>
                </c:pt>
                <c:pt idx="15">
                  <c:v>0.41732283464566927</c:v>
                </c:pt>
                <c:pt idx="16">
                  <c:v>0.40944881889763779</c:v>
                </c:pt>
                <c:pt idx="17">
                  <c:v>0.40157480314960631</c:v>
                </c:pt>
                <c:pt idx="18">
                  <c:v>0.39370078740157483</c:v>
                </c:pt>
                <c:pt idx="19">
                  <c:v>0.38582677165354329</c:v>
                </c:pt>
                <c:pt idx="20">
                  <c:v>0.37795275590551181</c:v>
                </c:pt>
                <c:pt idx="21">
                  <c:v>0.37007874015748032</c:v>
                </c:pt>
                <c:pt idx="22">
                  <c:v>0.36220472440944884</c:v>
                </c:pt>
                <c:pt idx="23">
                  <c:v>0.3543307086614173</c:v>
                </c:pt>
                <c:pt idx="24">
                  <c:v>0.34645669291338582</c:v>
                </c:pt>
                <c:pt idx="25">
                  <c:v>0.33858267716535434</c:v>
                </c:pt>
                <c:pt idx="26">
                  <c:v>0.33070866141732286</c:v>
                </c:pt>
                <c:pt idx="27">
                  <c:v>0.32283464566929132</c:v>
                </c:pt>
                <c:pt idx="28">
                  <c:v>0.31496062992125984</c:v>
                </c:pt>
                <c:pt idx="29">
                  <c:v>0.30708661417322836</c:v>
                </c:pt>
                <c:pt idx="30">
                  <c:v>0.29921259842519687</c:v>
                </c:pt>
                <c:pt idx="31">
                  <c:v>0.29133858267716534</c:v>
                </c:pt>
                <c:pt idx="32">
                  <c:v>0.28346456692913385</c:v>
                </c:pt>
                <c:pt idx="33">
                  <c:v>0.27559055118110237</c:v>
                </c:pt>
                <c:pt idx="34">
                  <c:v>0.26771653543307089</c:v>
                </c:pt>
                <c:pt idx="35">
                  <c:v>0.25984251968503935</c:v>
                </c:pt>
                <c:pt idx="36">
                  <c:v>0.25196850393700787</c:v>
                </c:pt>
                <c:pt idx="37">
                  <c:v>0.24409448818897639</c:v>
                </c:pt>
                <c:pt idx="38">
                  <c:v>0.23622047244094488</c:v>
                </c:pt>
                <c:pt idx="39">
                  <c:v>0.2283464566929134</c:v>
                </c:pt>
                <c:pt idx="40">
                  <c:v>0.22047244094488189</c:v>
                </c:pt>
                <c:pt idx="41">
                  <c:v>0.2125984251968504</c:v>
                </c:pt>
                <c:pt idx="42">
                  <c:v>0.20472440944881889</c:v>
                </c:pt>
                <c:pt idx="43">
                  <c:v>0.19685039370078741</c:v>
                </c:pt>
                <c:pt idx="44">
                  <c:v>0.1889763779527559</c:v>
                </c:pt>
                <c:pt idx="45">
                  <c:v>0.18110236220472442</c:v>
                </c:pt>
                <c:pt idx="46">
                  <c:v>0.17322834645669291</c:v>
                </c:pt>
                <c:pt idx="47">
                  <c:v>0.16535433070866143</c:v>
                </c:pt>
                <c:pt idx="48">
                  <c:v>0.15748031496062992</c:v>
                </c:pt>
                <c:pt idx="49">
                  <c:v>0.14960629921259844</c:v>
                </c:pt>
                <c:pt idx="50">
                  <c:v>0.14173228346456693</c:v>
                </c:pt>
                <c:pt idx="51">
                  <c:v>0.13385826771653545</c:v>
                </c:pt>
                <c:pt idx="52">
                  <c:v>0.12598425196850394</c:v>
                </c:pt>
                <c:pt idx="53">
                  <c:v>0.11811023622047244</c:v>
                </c:pt>
                <c:pt idx="54">
                  <c:v>0.11023622047244094</c:v>
                </c:pt>
                <c:pt idx="55">
                  <c:v>0.10236220472440945</c:v>
                </c:pt>
                <c:pt idx="56">
                  <c:v>9.4488188976377951E-2</c:v>
                </c:pt>
                <c:pt idx="57">
                  <c:v>8.6614173228346455E-2</c:v>
                </c:pt>
              </c:numCache>
            </c:numRef>
          </c:xVal>
          <c:yVal>
            <c:numRef>
              <c:f>OscBC!$AA$63:$AA$120</c:f>
              <c:numCache>
                <c:formatCode>0.000</c:formatCode>
                <c:ptCount val="58"/>
                <c:pt idx="0">
                  <c:v>0.68383658969804617</c:v>
                </c:pt>
                <c:pt idx="4">
                  <c:v>0.63765541740674958</c:v>
                </c:pt>
                <c:pt idx="12">
                  <c:v>0.53463587921847244</c:v>
                </c:pt>
                <c:pt idx="20">
                  <c:v>0.43872113676731794</c:v>
                </c:pt>
                <c:pt idx="36">
                  <c:v>0.27992895204262874</c:v>
                </c:pt>
                <c:pt idx="52">
                  <c:v>0.15381882770870337</c:v>
                </c:pt>
                <c:pt idx="54">
                  <c:v>0.13712255772646537</c:v>
                </c:pt>
                <c:pt idx="56">
                  <c:v>0.12504440497335703</c:v>
                </c:pt>
                <c:pt idx="57">
                  <c:v>0.11509769094138543</c:v>
                </c:pt>
              </c:numCache>
            </c:numRef>
          </c:yVal>
          <c:smooth val="0"/>
        </c:ser>
        <c:ser>
          <c:idx val="1"/>
          <c:order val="1"/>
          <c:tx>
            <c:v>BC 0.15 Lo</c:v>
          </c:tx>
          <c:trendline>
            <c:trendlineType val="poly"/>
            <c:order val="2"/>
            <c:intercept val="0"/>
            <c:dispRSqr val="0"/>
            <c:dispEq val="1"/>
            <c:trendlineLbl>
              <c:layout>
                <c:manualLayout>
                  <c:x val="0.18333333333333332"/>
                  <c:y val="1.013487897346165E-2"/>
                </c:manualLayout>
              </c:layout>
              <c:numFmt formatCode="General" sourceLinked="0"/>
            </c:trendlineLbl>
          </c:trendline>
          <c:xVal>
            <c:numRef>
              <c:f>OscBC!$B$120:$B$127</c:f>
              <c:numCache>
                <c:formatCode>General</c:formatCode>
                <c:ptCount val="8"/>
                <c:pt idx="0">
                  <c:v>8.6614173228346455E-2</c:v>
                </c:pt>
                <c:pt idx="1">
                  <c:v>7.874015748031496E-2</c:v>
                </c:pt>
                <c:pt idx="2">
                  <c:v>7.0866141732283464E-2</c:v>
                </c:pt>
                <c:pt idx="3">
                  <c:v>6.2992125984251968E-2</c:v>
                </c:pt>
                <c:pt idx="4">
                  <c:v>5.5118110236220472E-2</c:v>
                </c:pt>
                <c:pt idx="5">
                  <c:v>4.7244094488188976E-2</c:v>
                </c:pt>
                <c:pt idx="6">
                  <c:v>3.937007874015748E-2</c:v>
                </c:pt>
                <c:pt idx="7">
                  <c:v>3.1496062992125984E-2</c:v>
                </c:pt>
              </c:numCache>
            </c:numRef>
          </c:xVal>
          <c:yVal>
            <c:numRef>
              <c:f>OscBC!$AA$120:$AA$127</c:f>
              <c:numCache>
                <c:formatCode>0.000</c:formatCode>
                <c:ptCount val="8"/>
                <c:pt idx="0">
                  <c:v>0.11509769094138543</c:v>
                </c:pt>
                <c:pt idx="1">
                  <c:v>8.8454706927175844E-2</c:v>
                </c:pt>
                <c:pt idx="3">
                  <c:v>5.079928952042629E-2</c:v>
                </c:pt>
                <c:pt idx="7">
                  <c:v>2.4866785079928925E-3</c:v>
                </c:pt>
              </c:numCache>
            </c:numRef>
          </c:yVal>
          <c:smooth val="0"/>
        </c:ser>
        <c:ser>
          <c:idx val="2"/>
          <c:order val="2"/>
          <c:tx>
            <c:v>BC 0.15 Hi</c:v>
          </c:tx>
          <c:trendline>
            <c:trendlineType val="linear"/>
            <c:dispRSqr val="0"/>
            <c:dispEq val="1"/>
            <c:trendlineLbl>
              <c:layout>
                <c:manualLayout>
                  <c:x val="-0.20551334208223973"/>
                  <c:y val="0.10600685331000291"/>
                </c:manualLayout>
              </c:layout>
              <c:numFmt formatCode="General" sourceLinked="0"/>
            </c:trendlineLbl>
          </c:trendline>
          <c:xVal>
            <c:numRef>
              <c:f>OscBC!$B$4:$B$63</c:f>
              <c:numCache>
                <c:formatCode>General</c:formatCode>
                <c:ptCount val="53"/>
                <c:pt idx="0">
                  <c:v>1</c:v>
                </c:pt>
                <c:pt idx="1">
                  <c:v>0.99212598425196852</c:v>
                </c:pt>
                <c:pt idx="2">
                  <c:v>0.98425196850393704</c:v>
                </c:pt>
                <c:pt idx="3">
                  <c:v>0.97637795275590555</c:v>
                </c:pt>
                <c:pt idx="4">
                  <c:v>0.96850393700787396</c:v>
                </c:pt>
                <c:pt idx="5">
                  <c:v>0.96062992125984248</c:v>
                </c:pt>
                <c:pt idx="6">
                  <c:v>0.952755905511811</c:v>
                </c:pt>
                <c:pt idx="7">
                  <c:v>0.94488188976377951</c:v>
                </c:pt>
                <c:pt idx="8">
                  <c:v>0.93700787401574803</c:v>
                </c:pt>
                <c:pt idx="9">
                  <c:v>0.92913385826771655</c:v>
                </c:pt>
                <c:pt idx="10">
                  <c:v>0.92125984251968507</c:v>
                </c:pt>
                <c:pt idx="11">
                  <c:v>0.91338582677165359</c:v>
                </c:pt>
                <c:pt idx="12">
                  <c:v>0.90551181102362199</c:v>
                </c:pt>
                <c:pt idx="13">
                  <c:v>0.89763779527559051</c:v>
                </c:pt>
                <c:pt idx="14">
                  <c:v>0.88976377952755903</c:v>
                </c:pt>
                <c:pt idx="15">
                  <c:v>0.88188976377952755</c:v>
                </c:pt>
                <c:pt idx="16">
                  <c:v>0.87401574803149606</c:v>
                </c:pt>
                <c:pt idx="17">
                  <c:v>0.86614173228346458</c:v>
                </c:pt>
                <c:pt idx="18">
                  <c:v>0.8582677165354331</c:v>
                </c:pt>
                <c:pt idx="19">
                  <c:v>0.85039370078740162</c:v>
                </c:pt>
                <c:pt idx="20">
                  <c:v>0.84251968503937003</c:v>
                </c:pt>
                <c:pt idx="21">
                  <c:v>0.83464566929133854</c:v>
                </c:pt>
                <c:pt idx="22">
                  <c:v>0.82677165354330706</c:v>
                </c:pt>
                <c:pt idx="23">
                  <c:v>0.81889763779527558</c:v>
                </c:pt>
                <c:pt idx="24">
                  <c:v>0.8110236220472441</c:v>
                </c:pt>
                <c:pt idx="25">
                  <c:v>0.80314960629921262</c:v>
                </c:pt>
                <c:pt idx="26">
                  <c:v>0.79527559055118113</c:v>
                </c:pt>
                <c:pt idx="27">
                  <c:v>0.78740157480314965</c:v>
                </c:pt>
                <c:pt idx="28">
                  <c:v>0.77952755905511806</c:v>
                </c:pt>
                <c:pt idx="29">
                  <c:v>0.77165354330708658</c:v>
                </c:pt>
                <c:pt idx="30">
                  <c:v>0.76377952755905509</c:v>
                </c:pt>
                <c:pt idx="31">
                  <c:v>0.75590551181102361</c:v>
                </c:pt>
                <c:pt idx="32">
                  <c:v>0.69291338582677164</c:v>
                </c:pt>
                <c:pt idx="33">
                  <c:v>0.68503937007874016</c:v>
                </c:pt>
                <c:pt idx="34">
                  <c:v>0.67716535433070868</c:v>
                </c:pt>
                <c:pt idx="35">
                  <c:v>0.6692913385826772</c:v>
                </c:pt>
                <c:pt idx="36">
                  <c:v>0.66141732283464572</c:v>
                </c:pt>
                <c:pt idx="37">
                  <c:v>0.65354330708661412</c:v>
                </c:pt>
                <c:pt idx="38">
                  <c:v>0.64566929133858264</c:v>
                </c:pt>
                <c:pt idx="39">
                  <c:v>0.63779527559055116</c:v>
                </c:pt>
                <c:pt idx="40">
                  <c:v>0.62992125984251968</c:v>
                </c:pt>
                <c:pt idx="41">
                  <c:v>0.62204724409448819</c:v>
                </c:pt>
                <c:pt idx="42">
                  <c:v>0.61417322834645671</c:v>
                </c:pt>
                <c:pt idx="43">
                  <c:v>0.60629921259842523</c:v>
                </c:pt>
                <c:pt idx="44">
                  <c:v>0.59842519685039375</c:v>
                </c:pt>
                <c:pt idx="45">
                  <c:v>0.59055118110236215</c:v>
                </c:pt>
                <c:pt idx="46">
                  <c:v>0.58267716535433067</c:v>
                </c:pt>
                <c:pt idx="47">
                  <c:v>0.57480314960629919</c:v>
                </c:pt>
                <c:pt idx="48">
                  <c:v>0.56692913385826771</c:v>
                </c:pt>
                <c:pt idx="49">
                  <c:v>0.55905511811023623</c:v>
                </c:pt>
                <c:pt idx="50">
                  <c:v>0.55118110236220474</c:v>
                </c:pt>
                <c:pt idx="51">
                  <c:v>0.54330708661417326</c:v>
                </c:pt>
                <c:pt idx="52">
                  <c:v>0.53543307086614178</c:v>
                </c:pt>
              </c:numCache>
            </c:numRef>
          </c:xVal>
          <c:yVal>
            <c:numRef>
              <c:f>OscBC!$AA$4:$AA$63</c:f>
              <c:numCache>
                <c:formatCode>0.000</c:formatCode>
                <c:ptCount val="53"/>
                <c:pt idx="0">
                  <c:v>1</c:v>
                </c:pt>
                <c:pt idx="31">
                  <c:v>0.82593250444049737</c:v>
                </c:pt>
                <c:pt idx="32">
                  <c:v>0.78330373001776199</c:v>
                </c:pt>
                <c:pt idx="48">
                  <c:v>0.69449378330373002</c:v>
                </c:pt>
                <c:pt idx="52">
                  <c:v>0.68383658969804617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3800704"/>
        <c:axId val="303802240"/>
      </c:scatterChart>
      <c:valAx>
        <c:axId val="303800704"/>
        <c:scaling>
          <c:orientation val="minMax"/>
          <c:max val="1"/>
        </c:scaling>
        <c:delete val="0"/>
        <c:axPos val="b"/>
        <c:numFmt formatCode="General" sourceLinked="1"/>
        <c:majorTickMark val="out"/>
        <c:minorTickMark val="none"/>
        <c:tickLblPos val="nextTo"/>
        <c:crossAx val="303802240"/>
        <c:crosses val="autoZero"/>
        <c:crossBetween val="midCat"/>
      </c:valAx>
      <c:valAx>
        <c:axId val="303802240"/>
        <c:scaling>
          <c:orientation val="minMax"/>
          <c:max val="1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crossAx val="303800704"/>
        <c:crosses val="autoZero"/>
        <c:crossBetween val="midCat"/>
      </c:valAx>
    </c:plotArea>
    <c:legend>
      <c:legendPos val="r"/>
      <c:legendEntry>
        <c:idx val="1"/>
        <c:delete val="1"/>
      </c:legendEntry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BC 0.1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BC 0.1</c:v>
          </c:tx>
          <c:spPr>
            <a:ln w="28575">
              <a:noFill/>
            </a:ln>
          </c:spPr>
          <c:marker>
            <c:symbol val="plus"/>
            <c:size val="4"/>
            <c:spPr>
              <a:solidFill>
                <a:schemeClr val="accent4">
                  <a:lumMod val="75000"/>
                </a:schemeClr>
              </a:solidFill>
            </c:spPr>
          </c:marker>
          <c:trendline>
            <c:trendlineType val="poly"/>
            <c:order val="2"/>
            <c:intercept val="0"/>
            <c:dispRSqr val="0"/>
            <c:dispEq val="1"/>
            <c:trendlineLbl>
              <c:layout>
                <c:manualLayout>
                  <c:x val="0.29772222222222222"/>
                  <c:y val="0.19751020705745115"/>
                </c:manualLayout>
              </c:layout>
              <c:numFmt formatCode="General" sourceLinked="0"/>
            </c:trendlineLbl>
          </c:trendline>
          <c:xVal>
            <c:numRef>
              <c:f>OscBC!$B$55:$B$118</c:f>
              <c:numCache>
                <c:formatCode>General</c:formatCode>
                <c:ptCount val="64"/>
                <c:pt idx="0">
                  <c:v>0.59842519685039375</c:v>
                </c:pt>
                <c:pt idx="1">
                  <c:v>0.59055118110236215</c:v>
                </c:pt>
                <c:pt idx="2">
                  <c:v>0.58267716535433067</c:v>
                </c:pt>
                <c:pt idx="3">
                  <c:v>0.57480314960629919</c:v>
                </c:pt>
                <c:pt idx="4">
                  <c:v>0.56692913385826771</c:v>
                </c:pt>
                <c:pt idx="5">
                  <c:v>0.55905511811023623</c:v>
                </c:pt>
                <c:pt idx="6">
                  <c:v>0.55118110236220474</c:v>
                </c:pt>
                <c:pt idx="7">
                  <c:v>0.54330708661417326</c:v>
                </c:pt>
                <c:pt idx="8">
                  <c:v>0.53543307086614178</c:v>
                </c:pt>
                <c:pt idx="9">
                  <c:v>0.52755905511811019</c:v>
                </c:pt>
                <c:pt idx="10">
                  <c:v>0.51968503937007871</c:v>
                </c:pt>
                <c:pt idx="11">
                  <c:v>0.51181102362204722</c:v>
                </c:pt>
                <c:pt idx="12">
                  <c:v>0.50393700787401574</c:v>
                </c:pt>
                <c:pt idx="13">
                  <c:v>0.49606299212598426</c:v>
                </c:pt>
                <c:pt idx="14">
                  <c:v>0.48818897637795278</c:v>
                </c:pt>
                <c:pt idx="15">
                  <c:v>0.48031496062992124</c:v>
                </c:pt>
                <c:pt idx="16">
                  <c:v>0.47244094488188976</c:v>
                </c:pt>
                <c:pt idx="17">
                  <c:v>0.46456692913385828</c:v>
                </c:pt>
                <c:pt idx="18">
                  <c:v>0.45669291338582679</c:v>
                </c:pt>
                <c:pt idx="19">
                  <c:v>0.44881889763779526</c:v>
                </c:pt>
                <c:pt idx="20">
                  <c:v>0.44094488188976377</c:v>
                </c:pt>
                <c:pt idx="21">
                  <c:v>0.43307086614173229</c:v>
                </c:pt>
                <c:pt idx="22">
                  <c:v>0.42519685039370081</c:v>
                </c:pt>
                <c:pt idx="23">
                  <c:v>0.41732283464566927</c:v>
                </c:pt>
                <c:pt idx="24">
                  <c:v>0.40944881889763779</c:v>
                </c:pt>
                <c:pt idx="25">
                  <c:v>0.40157480314960631</c:v>
                </c:pt>
                <c:pt idx="26">
                  <c:v>0.39370078740157483</c:v>
                </c:pt>
                <c:pt idx="27">
                  <c:v>0.38582677165354329</c:v>
                </c:pt>
                <c:pt idx="28">
                  <c:v>0.37795275590551181</c:v>
                </c:pt>
                <c:pt idx="29">
                  <c:v>0.37007874015748032</c:v>
                </c:pt>
                <c:pt idx="30">
                  <c:v>0.36220472440944884</c:v>
                </c:pt>
                <c:pt idx="31">
                  <c:v>0.3543307086614173</c:v>
                </c:pt>
                <c:pt idx="32">
                  <c:v>0.34645669291338582</c:v>
                </c:pt>
                <c:pt idx="33">
                  <c:v>0.33858267716535434</c:v>
                </c:pt>
                <c:pt idx="34">
                  <c:v>0.33070866141732286</c:v>
                </c:pt>
                <c:pt idx="35">
                  <c:v>0.32283464566929132</c:v>
                </c:pt>
                <c:pt idx="36">
                  <c:v>0.31496062992125984</c:v>
                </c:pt>
                <c:pt idx="37">
                  <c:v>0.30708661417322836</c:v>
                </c:pt>
                <c:pt idx="38">
                  <c:v>0.29921259842519687</c:v>
                </c:pt>
                <c:pt idx="39">
                  <c:v>0.29133858267716534</c:v>
                </c:pt>
                <c:pt idx="40">
                  <c:v>0.28346456692913385</c:v>
                </c:pt>
                <c:pt idx="41">
                  <c:v>0.27559055118110237</c:v>
                </c:pt>
                <c:pt idx="42">
                  <c:v>0.26771653543307089</c:v>
                </c:pt>
                <c:pt idx="43">
                  <c:v>0.25984251968503935</c:v>
                </c:pt>
                <c:pt idx="44">
                  <c:v>0.25196850393700787</c:v>
                </c:pt>
                <c:pt idx="45">
                  <c:v>0.24409448818897639</c:v>
                </c:pt>
                <c:pt idx="46">
                  <c:v>0.23622047244094488</c:v>
                </c:pt>
                <c:pt idx="47">
                  <c:v>0.2283464566929134</c:v>
                </c:pt>
                <c:pt idx="48">
                  <c:v>0.22047244094488189</c:v>
                </c:pt>
                <c:pt idx="49">
                  <c:v>0.2125984251968504</c:v>
                </c:pt>
                <c:pt idx="50">
                  <c:v>0.20472440944881889</c:v>
                </c:pt>
                <c:pt idx="51">
                  <c:v>0.19685039370078741</c:v>
                </c:pt>
                <c:pt idx="52">
                  <c:v>0.1889763779527559</c:v>
                </c:pt>
                <c:pt idx="53">
                  <c:v>0.18110236220472442</c:v>
                </c:pt>
                <c:pt idx="54">
                  <c:v>0.17322834645669291</c:v>
                </c:pt>
                <c:pt idx="55">
                  <c:v>0.16535433070866143</c:v>
                </c:pt>
                <c:pt idx="56">
                  <c:v>0.15748031496062992</c:v>
                </c:pt>
                <c:pt idx="57">
                  <c:v>0.14960629921259844</c:v>
                </c:pt>
                <c:pt idx="58">
                  <c:v>0.14173228346456693</c:v>
                </c:pt>
                <c:pt idx="59">
                  <c:v>0.13385826771653545</c:v>
                </c:pt>
                <c:pt idx="60">
                  <c:v>0.12598425196850394</c:v>
                </c:pt>
                <c:pt idx="61">
                  <c:v>0.11811023622047244</c:v>
                </c:pt>
                <c:pt idx="62">
                  <c:v>0.11023622047244094</c:v>
                </c:pt>
                <c:pt idx="63">
                  <c:v>0.10236220472440945</c:v>
                </c:pt>
              </c:numCache>
            </c:numRef>
          </c:xVal>
          <c:yVal>
            <c:numRef>
              <c:f>OscBC!$AC$55:$AC$118</c:f>
              <c:numCache>
                <c:formatCode>0.000</c:formatCode>
                <c:ptCount val="64"/>
                <c:pt idx="0">
                  <c:v>0.62073764787752272</c:v>
                </c:pt>
                <c:pt idx="4">
                  <c:v>0.56506610995128748</c:v>
                </c:pt>
                <c:pt idx="12">
                  <c:v>0.47459986082115524</c:v>
                </c:pt>
                <c:pt idx="28">
                  <c:v>0.31489213639526792</c:v>
                </c:pt>
                <c:pt idx="44">
                  <c:v>0.1837160751565762</c:v>
                </c:pt>
                <c:pt idx="52">
                  <c:v>0.13221990257480865</c:v>
                </c:pt>
                <c:pt idx="60">
                  <c:v>8.8378566457898405E-2</c:v>
                </c:pt>
                <c:pt idx="61">
                  <c:v>8.3159359777313854E-2</c:v>
                </c:pt>
                <c:pt idx="62">
                  <c:v>7.8636047320807242E-2</c:v>
                </c:pt>
                <c:pt idx="63">
                  <c:v>7.4460681976339593E-2</c:v>
                </c:pt>
              </c:numCache>
            </c:numRef>
          </c:yVal>
          <c:smooth val="0"/>
        </c:ser>
        <c:ser>
          <c:idx val="0"/>
          <c:order val="1"/>
          <c:tx>
            <c:v>BC 0.1 Lo</c:v>
          </c:tx>
          <c:spPr>
            <a:ln w="28575">
              <a:noFill/>
            </a:ln>
          </c:spPr>
          <c:marker>
            <c:symbol val="diamond"/>
            <c:size val="7"/>
            <c:spPr>
              <a:solidFill>
                <a:schemeClr val="accent2">
                  <a:lumMod val="60000"/>
                  <a:lumOff val="40000"/>
                </a:schemeClr>
              </a:solidFill>
            </c:spPr>
          </c:marker>
          <c:trendline>
            <c:trendlineType val="poly"/>
            <c:order val="2"/>
            <c:intercept val="0"/>
            <c:dispRSqr val="0"/>
            <c:dispEq val="1"/>
            <c:trendlineLbl>
              <c:layout>
                <c:manualLayout>
                  <c:x val="0.2388888888888889"/>
                  <c:y val="8.06175269757947E-3"/>
                </c:manualLayout>
              </c:layout>
              <c:numFmt formatCode="General" sourceLinked="0"/>
            </c:trendlineLbl>
          </c:trendline>
          <c:xVal>
            <c:numRef>
              <c:f>OscBC!$B$118:$B$127</c:f>
              <c:numCache>
                <c:formatCode>General</c:formatCode>
                <c:ptCount val="10"/>
                <c:pt idx="0">
                  <c:v>0.10236220472440945</c:v>
                </c:pt>
                <c:pt idx="1">
                  <c:v>9.4488188976377951E-2</c:v>
                </c:pt>
                <c:pt idx="2">
                  <c:v>8.6614173228346455E-2</c:v>
                </c:pt>
                <c:pt idx="3">
                  <c:v>7.874015748031496E-2</c:v>
                </c:pt>
                <c:pt idx="4">
                  <c:v>7.0866141732283464E-2</c:v>
                </c:pt>
                <c:pt idx="5">
                  <c:v>6.2992125984251968E-2</c:v>
                </c:pt>
                <c:pt idx="6">
                  <c:v>5.5118110236220472E-2</c:v>
                </c:pt>
                <c:pt idx="7">
                  <c:v>4.7244094488188976E-2</c:v>
                </c:pt>
                <c:pt idx="8">
                  <c:v>3.937007874015748E-2</c:v>
                </c:pt>
                <c:pt idx="9">
                  <c:v>3.1496062992125984E-2</c:v>
                </c:pt>
              </c:numCache>
            </c:numRef>
          </c:xVal>
          <c:yVal>
            <c:numRef>
              <c:f>OscBC!$AC$118:$AC$127</c:f>
              <c:numCache>
                <c:formatCode>0.000</c:formatCode>
                <c:ptCount val="10"/>
                <c:pt idx="0">
                  <c:v>7.4460681976339593E-2</c:v>
                </c:pt>
                <c:pt idx="1">
                  <c:v>6.1586638830897704E-2</c:v>
                </c:pt>
                <c:pt idx="2">
                  <c:v>5.1148225469728609E-2</c:v>
                </c:pt>
                <c:pt idx="3">
                  <c:v>3.9665970772442591E-2</c:v>
                </c:pt>
                <c:pt idx="9">
                  <c:v>2.0528879610299247E-3</c:v>
                </c:pt>
              </c:numCache>
            </c:numRef>
          </c:yVal>
          <c:smooth val="0"/>
        </c:ser>
        <c:ser>
          <c:idx val="2"/>
          <c:order val="2"/>
          <c:tx>
            <c:v>BC 0.1 Hi</c:v>
          </c:tx>
          <c:spPr>
            <a:ln w="28575">
              <a:noFill/>
            </a:ln>
          </c:spPr>
          <c:trendline>
            <c:trendlineType val="linear"/>
            <c:dispRSqr val="0"/>
            <c:dispEq val="1"/>
            <c:trendlineLbl>
              <c:layout>
                <c:manualLayout>
                  <c:x val="-9.1818678915135607E-2"/>
                  <c:y val="3.2048337707786527E-2"/>
                </c:manualLayout>
              </c:layout>
              <c:numFmt formatCode="General" sourceLinked="0"/>
            </c:trendlineLbl>
          </c:trendline>
          <c:xVal>
            <c:numRef>
              <c:f>OscBC!$D$4:$D$55</c:f>
              <c:numCache>
                <c:formatCode>General</c:formatCode>
                <c:ptCount val="45"/>
                <c:pt idx="0">
                  <c:v>1</c:v>
                </c:pt>
                <c:pt idx="1">
                  <c:v>0.98507112416340792</c:v>
                </c:pt>
                <c:pt idx="2">
                  <c:v>0.97024882514845578</c:v>
                </c:pt>
                <c:pt idx="3">
                  <c:v>0.95553318559079026</c:v>
                </c:pt>
                <c:pt idx="4">
                  <c:v>0.94092428885466717</c:v>
                </c:pt>
                <c:pt idx="5">
                  <c:v>0.9264222190453314</c:v>
                </c:pt>
                <c:pt idx="6">
                  <c:v>0.91202706102170705</c:v>
                </c:pt>
                <c:pt idx="7">
                  <c:v>0.89773890040941418</c:v>
                </c:pt>
                <c:pt idx="8">
                  <c:v>0.88355782361411861</c:v>
                </c:pt>
                <c:pt idx="9">
                  <c:v>0.86948391783522827</c:v>
                </c:pt>
                <c:pt idx="10">
                  <c:v>0.85551727107994757</c:v>
                </c:pt>
                <c:pt idx="11">
                  <c:v>0.841657972177703</c:v>
                </c:pt>
                <c:pt idx="12">
                  <c:v>0.82790611079495147</c:v>
                </c:pt>
                <c:pt idx="13">
                  <c:v>0.81426177745038741</c:v>
                </c:pt>
                <c:pt idx="14">
                  <c:v>0.80072506353055939</c:v>
                </c:pt>
                <c:pt idx="15">
                  <c:v>0.7872960613059149</c:v>
                </c:pt>
                <c:pt idx="16">
                  <c:v>0.77397486394728621</c:v>
                </c:pt>
                <c:pt idx="17">
                  <c:v>0.76076156554283492</c:v>
                </c:pt>
                <c:pt idx="18">
                  <c:v>0.74765626111547123</c:v>
                </c:pt>
                <c:pt idx="19">
                  <c:v>0.73465904664076609</c:v>
                </c:pt>
                <c:pt idx="20">
                  <c:v>0.72177001906537575</c:v>
                </c:pt>
                <c:pt idx="21">
                  <c:v>0.70898927632599695</c:v>
                </c:pt>
                <c:pt idx="22">
                  <c:v>0.69631691736887291</c:v>
                </c:pt>
                <c:pt idx="23">
                  <c:v>0.68375304216987354</c:v>
                </c:pt>
                <c:pt idx="24">
                  <c:v>0.67129775175517081</c:v>
                </c:pt>
                <c:pt idx="25">
                  <c:v>0.65895114822253253</c:v>
                </c:pt>
                <c:pt idx="26">
                  <c:v>0.64671333476326087</c:v>
                </c:pt>
                <c:pt idx="27">
                  <c:v>0.63458441568479973</c:v>
                </c:pt>
                <c:pt idx="28">
                  <c:v>0.62256449643403988</c:v>
                </c:pt>
                <c:pt idx="29">
                  <c:v>0.61065368362135075</c:v>
                </c:pt>
                <c:pt idx="30">
                  <c:v>0.59885208504536591</c:v>
                </c:pt>
                <c:pt idx="31">
                  <c:v>0.58715980971855897</c:v>
                </c:pt>
                <c:pt idx="32">
                  <c:v>0.49757074786623529</c:v>
                </c:pt>
                <c:pt idx="33">
                  <c:v>0.48686750140747798</c:v>
                </c:pt>
                <c:pt idx="34">
                  <c:v>0.47627474134643066</c:v>
                </c:pt>
                <c:pt idx="35">
                  <c:v>0.46579259199854389</c:v>
                </c:pt>
                <c:pt idx="36">
                  <c:v>0.45542117927569481</c:v>
                </c:pt>
                <c:pt idx="37">
                  <c:v>0.44516063072583778</c:v>
                </c:pt>
                <c:pt idx="38">
                  <c:v>0.43501107557412555</c:v>
                </c:pt>
                <c:pt idx="39">
                  <c:v>0.4249726447655755</c:v>
                </c:pt>
                <c:pt idx="40">
                  <c:v>0.41504547100935957</c:v>
                </c:pt>
                <c:pt idx="41">
                  <c:v>0.40522968882479843</c:v>
                </c:pt>
                <c:pt idx="42">
                  <c:v>0.39552543458914957</c:v>
                </c:pt>
                <c:pt idx="43">
                  <c:v>0.385932846587282</c:v>
                </c:pt>
                <c:pt idx="44">
                  <c:v>0.37645206506333811</c:v>
                </c:pt>
              </c:numCache>
            </c:numRef>
          </c:xVal>
          <c:yVal>
            <c:numRef>
              <c:f>OscBC!$AC$4:$AC$55</c:f>
              <c:numCache>
                <c:formatCode>0.000</c:formatCode>
                <c:ptCount val="45"/>
                <c:pt idx="0">
                  <c:v>1</c:v>
                </c:pt>
                <c:pt idx="15">
                  <c:v>0.88517745302714002</c:v>
                </c:pt>
                <c:pt idx="31">
                  <c:v>0.76339596381350039</c:v>
                </c:pt>
                <c:pt idx="32">
                  <c:v>0.70424495476687554</c:v>
                </c:pt>
                <c:pt idx="36">
                  <c:v>0.68336812804453728</c:v>
                </c:pt>
                <c:pt idx="40">
                  <c:v>0.65553235908141971</c:v>
                </c:pt>
                <c:pt idx="44">
                  <c:v>0.62073764787752272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3852160"/>
        <c:axId val="303866240"/>
      </c:scatterChart>
      <c:valAx>
        <c:axId val="303852160"/>
        <c:scaling>
          <c:orientation val="minMax"/>
          <c:max val="1"/>
        </c:scaling>
        <c:delete val="0"/>
        <c:axPos val="b"/>
        <c:numFmt formatCode="General" sourceLinked="1"/>
        <c:majorTickMark val="out"/>
        <c:minorTickMark val="none"/>
        <c:tickLblPos val="nextTo"/>
        <c:crossAx val="303866240"/>
        <c:crosses val="autoZero"/>
        <c:crossBetween val="midCat"/>
      </c:valAx>
      <c:valAx>
        <c:axId val="303866240"/>
        <c:scaling>
          <c:orientation val="minMax"/>
          <c:max val="1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crossAx val="30385216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BC 0.3</c:v>
          </c:tx>
          <c:spPr>
            <a:ln w="28575">
              <a:noFill/>
            </a:ln>
          </c:spPr>
          <c:trendline>
            <c:trendlineType val="linear"/>
            <c:dispRSqr val="0"/>
            <c:dispEq val="1"/>
            <c:trendlineLbl>
              <c:layout>
                <c:manualLayout>
                  <c:x val="0.21329002624671917"/>
                  <c:y val="0.16494276757072032"/>
                </c:manualLayout>
              </c:layout>
              <c:numFmt formatCode="General" sourceLinked="0"/>
            </c:trendlineLbl>
          </c:trendline>
          <c:xVal>
            <c:numRef>
              <c:f>OscBC!$B$89:$B$124</c:f>
              <c:numCache>
                <c:formatCode>General</c:formatCode>
                <c:ptCount val="36"/>
                <c:pt idx="0">
                  <c:v>0.33070866141732286</c:v>
                </c:pt>
                <c:pt idx="1">
                  <c:v>0.32283464566929132</c:v>
                </c:pt>
                <c:pt idx="2">
                  <c:v>0.31496062992125984</c:v>
                </c:pt>
                <c:pt idx="3">
                  <c:v>0.30708661417322836</c:v>
                </c:pt>
                <c:pt idx="4">
                  <c:v>0.29921259842519687</c:v>
                </c:pt>
                <c:pt idx="5">
                  <c:v>0.29133858267716534</c:v>
                </c:pt>
                <c:pt idx="6">
                  <c:v>0.28346456692913385</c:v>
                </c:pt>
                <c:pt idx="7">
                  <c:v>0.27559055118110237</c:v>
                </c:pt>
                <c:pt idx="8">
                  <c:v>0.26771653543307089</c:v>
                </c:pt>
                <c:pt idx="9">
                  <c:v>0.25984251968503935</c:v>
                </c:pt>
                <c:pt idx="10">
                  <c:v>0.25196850393700787</c:v>
                </c:pt>
                <c:pt idx="11">
                  <c:v>0.24409448818897639</c:v>
                </c:pt>
                <c:pt idx="12">
                  <c:v>0.23622047244094488</c:v>
                </c:pt>
                <c:pt idx="13">
                  <c:v>0.2283464566929134</c:v>
                </c:pt>
                <c:pt idx="14">
                  <c:v>0.22047244094488189</c:v>
                </c:pt>
                <c:pt idx="15">
                  <c:v>0.2125984251968504</c:v>
                </c:pt>
                <c:pt idx="16">
                  <c:v>0.20472440944881889</c:v>
                </c:pt>
                <c:pt idx="17">
                  <c:v>0.19685039370078741</c:v>
                </c:pt>
                <c:pt idx="18">
                  <c:v>0.1889763779527559</c:v>
                </c:pt>
                <c:pt idx="19">
                  <c:v>0.18110236220472442</c:v>
                </c:pt>
                <c:pt idx="20">
                  <c:v>0.17322834645669291</c:v>
                </c:pt>
                <c:pt idx="21">
                  <c:v>0.16535433070866143</c:v>
                </c:pt>
                <c:pt idx="22">
                  <c:v>0.15748031496062992</c:v>
                </c:pt>
                <c:pt idx="23">
                  <c:v>0.14960629921259844</c:v>
                </c:pt>
                <c:pt idx="24">
                  <c:v>0.14173228346456693</c:v>
                </c:pt>
                <c:pt idx="25">
                  <c:v>0.13385826771653545</c:v>
                </c:pt>
                <c:pt idx="26">
                  <c:v>0.12598425196850394</c:v>
                </c:pt>
                <c:pt idx="27">
                  <c:v>0.11811023622047244</c:v>
                </c:pt>
                <c:pt idx="28">
                  <c:v>0.11023622047244094</c:v>
                </c:pt>
                <c:pt idx="29">
                  <c:v>0.10236220472440945</c:v>
                </c:pt>
                <c:pt idx="30">
                  <c:v>9.4488188976377951E-2</c:v>
                </c:pt>
                <c:pt idx="31">
                  <c:v>8.6614173228346455E-2</c:v>
                </c:pt>
                <c:pt idx="32">
                  <c:v>7.874015748031496E-2</c:v>
                </c:pt>
                <c:pt idx="33">
                  <c:v>7.0866141732283464E-2</c:v>
                </c:pt>
                <c:pt idx="34">
                  <c:v>6.2992125984251968E-2</c:v>
                </c:pt>
                <c:pt idx="35">
                  <c:v>5.5118110236220472E-2</c:v>
                </c:pt>
              </c:numCache>
            </c:numRef>
          </c:xVal>
          <c:yVal>
            <c:numRef>
              <c:f>OscBC!$U$89:$U$124</c:f>
              <c:numCache>
                <c:formatCode>0.000</c:formatCode>
                <c:ptCount val="36"/>
                <c:pt idx="0">
                  <c:v>0.81657848324514992</c:v>
                </c:pt>
                <c:pt idx="6">
                  <c:v>0.74603174603174605</c:v>
                </c:pt>
                <c:pt idx="10">
                  <c:v>0.69312169312169314</c:v>
                </c:pt>
                <c:pt idx="30">
                  <c:v>0.44620811287477952</c:v>
                </c:pt>
                <c:pt idx="34">
                  <c:v>0.400352733686067</c:v>
                </c:pt>
                <c:pt idx="35">
                  <c:v>0.38977072310405642</c:v>
                </c:pt>
              </c:numCache>
            </c:numRef>
          </c:yVal>
          <c:smooth val="0"/>
        </c:ser>
        <c:ser>
          <c:idx val="1"/>
          <c:order val="1"/>
          <c:tx>
            <c:v>BC 0.3 Lo</c:v>
          </c:tx>
          <c:spPr>
            <a:ln w="28575">
              <a:noFill/>
            </a:ln>
          </c:spPr>
          <c:trendline>
            <c:trendlineType val="poly"/>
            <c:order val="2"/>
            <c:intercept val="0"/>
            <c:dispRSqr val="0"/>
            <c:dispEq val="1"/>
            <c:trendlineLbl>
              <c:layout>
                <c:manualLayout>
                  <c:x val="0.15833333333333333"/>
                  <c:y val="0.10314413823272091"/>
                </c:manualLayout>
              </c:layout>
              <c:numFmt formatCode="General" sourceLinked="0"/>
            </c:trendlineLbl>
          </c:trendline>
          <c:xVal>
            <c:numRef>
              <c:f>OscBC!$B$124:$B$129</c:f>
              <c:numCache>
                <c:formatCode>General</c:formatCode>
                <c:ptCount val="6"/>
                <c:pt idx="0">
                  <c:v>5.5118110236220472E-2</c:v>
                </c:pt>
                <c:pt idx="1">
                  <c:v>4.7244094488188976E-2</c:v>
                </c:pt>
                <c:pt idx="2">
                  <c:v>3.937007874015748E-2</c:v>
                </c:pt>
                <c:pt idx="3">
                  <c:v>3.1496062992125984E-2</c:v>
                </c:pt>
                <c:pt idx="4">
                  <c:v>2.3622047244094488E-2</c:v>
                </c:pt>
                <c:pt idx="5">
                  <c:v>1.5748031496062992E-2</c:v>
                </c:pt>
              </c:numCache>
            </c:numRef>
          </c:xVal>
          <c:yVal>
            <c:numRef>
              <c:f>OscBC!$U$124:$U$129</c:f>
              <c:numCache>
                <c:formatCode>0.000</c:formatCode>
                <c:ptCount val="6"/>
                <c:pt idx="0">
                  <c:v>0.38977072310405642</c:v>
                </c:pt>
                <c:pt idx="1">
                  <c:v>0.31287477954144621</c:v>
                </c:pt>
                <c:pt idx="3">
                  <c:v>0.11992945326278659</c:v>
                </c:pt>
                <c:pt idx="5">
                  <c:v>1.5520282186948856E-2</c:v>
                </c:pt>
              </c:numCache>
            </c:numRef>
          </c:yVal>
          <c:smooth val="0"/>
        </c:ser>
        <c:ser>
          <c:idx val="2"/>
          <c:order val="2"/>
          <c:tx>
            <c:v>BC 0.3 Hi</c:v>
          </c:tx>
          <c:spPr>
            <a:ln w="28575">
              <a:noFill/>
            </a:ln>
          </c:spPr>
          <c:trendline>
            <c:trendlineType val="linear"/>
            <c:dispRSqr val="0"/>
            <c:dispEq val="1"/>
            <c:trendlineLbl>
              <c:layout>
                <c:manualLayout>
                  <c:x val="5.2088801399825021E-3"/>
                  <c:y val="8.7488334791484393E-2"/>
                </c:manualLayout>
              </c:layout>
              <c:numFmt formatCode="General" sourceLinked="0"/>
            </c:trendlineLbl>
          </c:trendline>
          <c:xVal>
            <c:numRef>
              <c:f>OscBC!$B$4:$B$89</c:f>
              <c:numCache>
                <c:formatCode>General</c:formatCode>
                <c:ptCount val="79"/>
                <c:pt idx="0">
                  <c:v>1</c:v>
                </c:pt>
                <c:pt idx="1">
                  <c:v>0.99212598425196852</c:v>
                </c:pt>
                <c:pt idx="2">
                  <c:v>0.98425196850393704</c:v>
                </c:pt>
                <c:pt idx="3">
                  <c:v>0.97637795275590555</c:v>
                </c:pt>
                <c:pt idx="4">
                  <c:v>0.96850393700787396</c:v>
                </c:pt>
                <c:pt idx="5">
                  <c:v>0.96062992125984248</c:v>
                </c:pt>
                <c:pt idx="6">
                  <c:v>0.952755905511811</c:v>
                </c:pt>
                <c:pt idx="7">
                  <c:v>0.94488188976377951</c:v>
                </c:pt>
                <c:pt idx="8">
                  <c:v>0.93700787401574803</c:v>
                </c:pt>
                <c:pt idx="9">
                  <c:v>0.92913385826771655</c:v>
                </c:pt>
                <c:pt idx="10">
                  <c:v>0.92125984251968507</c:v>
                </c:pt>
                <c:pt idx="11">
                  <c:v>0.91338582677165359</c:v>
                </c:pt>
                <c:pt idx="12">
                  <c:v>0.90551181102362199</c:v>
                </c:pt>
                <c:pt idx="13">
                  <c:v>0.89763779527559051</c:v>
                </c:pt>
                <c:pt idx="14">
                  <c:v>0.88976377952755903</c:v>
                </c:pt>
                <c:pt idx="15">
                  <c:v>0.88188976377952755</c:v>
                </c:pt>
                <c:pt idx="16">
                  <c:v>0.87401574803149606</c:v>
                </c:pt>
                <c:pt idx="17">
                  <c:v>0.86614173228346458</c:v>
                </c:pt>
                <c:pt idx="18">
                  <c:v>0.8582677165354331</c:v>
                </c:pt>
                <c:pt idx="19">
                  <c:v>0.85039370078740162</c:v>
                </c:pt>
                <c:pt idx="20">
                  <c:v>0.84251968503937003</c:v>
                </c:pt>
                <c:pt idx="21">
                  <c:v>0.83464566929133854</c:v>
                </c:pt>
                <c:pt idx="22">
                  <c:v>0.82677165354330706</c:v>
                </c:pt>
                <c:pt idx="23">
                  <c:v>0.81889763779527558</c:v>
                </c:pt>
                <c:pt idx="24">
                  <c:v>0.8110236220472441</c:v>
                </c:pt>
                <c:pt idx="25">
                  <c:v>0.80314960629921262</c:v>
                </c:pt>
                <c:pt idx="26">
                  <c:v>0.79527559055118113</c:v>
                </c:pt>
                <c:pt idx="27">
                  <c:v>0.78740157480314965</c:v>
                </c:pt>
                <c:pt idx="28">
                  <c:v>0.77952755905511806</c:v>
                </c:pt>
                <c:pt idx="29">
                  <c:v>0.77165354330708658</c:v>
                </c:pt>
                <c:pt idx="30">
                  <c:v>0.76377952755905509</c:v>
                </c:pt>
                <c:pt idx="31">
                  <c:v>0.75590551181102361</c:v>
                </c:pt>
                <c:pt idx="32">
                  <c:v>0.69291338582677164</c:v>
                </c:pt>
                <c:pt idx="33">
                  <c:v>0.68503937007874016</c:v>
                </c:pt>
                <c:pt idx="34">
                  <c:v>0.67716535433070868</c:v>
                </c:pt>
                <c:pt idx="35">
                  <c:v>0.6692913385826772</c:v>
                </c:pt>
                <c:pt idx="36">
                  <c:v>0.66141732283464572</c:v>
                </c:pt>
                <c:pt idx="37">
                  <c:v>0.65354330708661412</c:v>
                </c:pt>
                <c:pt idx="38">
                  <c:v>0.64566929133858264</c:v>
                </c:pt>
                <c:pt idx="39">
                  <c:v>0.63779527559055116</c:v>
                </c:pt>
                <c:pt idx="40">
                  <c:v>0.62992125984251968</c:v>
                </c:pt>
                <c:pt idx="41">
                  <c:v>0.62204724409448819</c:v>
                </c:pt>
                <c:pt idx="42">
                  <c:v>0.61417322834645671</c:v>
                </c:pt>
                <c:pt idx="43">
                  <c:v>0.60629921259842523</c:v>
                </c:pt>
                <c:pt idx="44">
                  <c:v>0.59842519685039375</c:v>
                </c:pt>
                <c:pt idx="45">
                  <c:v>0.59055118110236215</c:v>
                </c:pt>
                <c:pt idx="46">
                  <c:v>0.58267716535433067</c:v>
                </c:pt>
                <c:pt idx="47">
                  <c:v>0.57480314960629919</c:v>
                </c:pt>
                <c:pt idx="48">
                  <c:v>0.56692913385826771</c:v>
                </c:pt>
                <c:pt idx="49">
                  <c:v>0.55905511811023623</c:v>
                </c:pt>
                <c:pt idx="50">
                  <c:v>0.55118110236220474</c:v>
                </c:pt>
                <c:pt idx="51">
                  <c:v>0.54330708661417326</c:v>
                </c:pt>
                <c:pt idx="52">
                  <c:v>0.53543307086614178</c:v>
                </c:pt>
                <c:pt idx="53">
                  <c:v>0.52755905511811019</c:v>
                </c:pt>
                <c:pt idx="54">
                  <c:v>0.51968503937007871</c:v>
                </c:pt>
                <c:pt idx="55">
                  <c:v>0.51181102362204722</c:v>
                </c:pt>
                <c:pt idx="56">
                  <c:v>0.50393700787401574</c:v>
                </c:pt>
                <c:pt idx="57">
                  <c:v>0.49606299212598426</c:v>
                </c:pt>
                <c:pt idx="58">
                  <c:v>0.48818897637795278</c:v>
                </c:pt>
                <c:pt idx="59">
                  <c:v>0.48031496062992124</c:v>
                </c:pt>
                <c:pt idx="60">
                  <c:v>0.47244094488188976</c:v>
                </c:pt>
                <c:pt idx="61">
                  <c:v>0.46456692913385828</c:v>
                </c:pt>
                <c:pt idx="62">
                  <c:v>0.45669291338582679</c:v>
                </c:pt>
                <c:pt idx="63">
                  <c:v>0.44881889763779526</c:v>
                </c:pt>
                <c:pt idx="64">
                  <c:v>0.44094488188976377</c:v>
                </c:pt>
                <c:pt idx="65">
                  <c:v>0.43307086614173229</c:v>
                </c:pt>
                <c:pt idx="66">
                  <c:v>0.42519685039370081</c:v>
                </c:pt>
                <c:pt idx="67">
                  <c:v>0.41732283464566927</c:v>
                </c:pt>
                <c:pt idx="68">
                  <c:v>0.40944881889763779</c:v>
                </c:pt>
                <c:pt idx="69">
                  <c:v>0.40157480314960631</c:v>
                </c:pt>
                <c:pt idx="70">
                  <c:v>0.39370078740157483</c:v>
                </c:pt>
                <c:pt idx="71">
                  <c:v>0.38582677165354329</c:v>
                </c:pt>
                <c:pt idx="72">
                  <c:v>0.37795275590551181</c:v>
                </c:pt>
                <c:pt idx="73">
                  <c:v>0.37007874015748032</c:v>
                </c:pt>
                <c:pt idx="74">
                  <c:v>0.36220472440944884</c:v>
                </c:pt>
                <c:pt idx="75">
                  <c:v>0.3543307086614173</c:v>
                </c:pt>
                <c:pt idx="76">
                  <c:v>0.34645669291338582</c:v>
                </c:pt>
                <c:pt idx="77">
                  <c:v>0.33858267716535434</c:v>
                </c:pt>
                <c:pt idx="78">
                  <c:v>0.33070866141732286</c:v>
                </c:pt>
              </c:numCache>
            </c:numRef>
          </c:xVal>
          <c:yVal>
            <c:numRef>
              <c:f>OscBC!$U$4:$U$89</c:f>
              <c:numCache>
                <c:formatCode>0.000</c:formatCode>
                <c:ptCount val="79"/>
                <c:pt idx="0">
                  <c:v>1</c:v>
                </c:pt>
                <c:pt idx="48">
                  <c:v>0.88007054673721341</c:v>
                </c:pt>
                <c:pt idx="56">
                  <c:v>0.86243386243386244</c:v>
                </c:pt>
                <c:pt idx="64">
                  <c:v>0.84479717813051147</c:v>
                </c:pt>
                <c:pt idx="72">
                  <c:v>0.8271604938271605</c:v>
                </c:pt>
                <c:pt idx="78">
                  <c:v>0.81657848324514992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3911296"/>
        <c:axId val="303912832"/>
      </c:scatterChart>
      <c:valAx>
        <c:axId val="303911296"/>
        <c:scaling>
          <c:orientation val="minMax"/>
          <c:max val="1"/>
        </c:scaling>
        <c:delete val="0"/>
        <c:axPos val="b"/>
        <c:numFmt formatCode="General" sourceLinked="1"/>
        <c:majorTickMark val="out"/>
        <c:minorTickMark val="none"/>
        <c:tickLblPos val="nextTo"/>
        <c:crossAx val="303912832"/>
        <c:crosses val="autoZero"/>
        <c:crossBetween val="midCat"/>
      </c:valAx>
      <c:valAx>
        <c:axId val="303912832"/>
        <c:scaling>
          <c:orientation val="minMax"/>
          <c:max val="1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crossAx val="30391129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BC 0.35</c:v>
          </c:tx>
          <c:spPr>
            <a:ln w="28575">
              <a:noFill/>
            </a:ln>
          </c:spPr>
          <c:trendline>
            <c:trendlineType val="linear"/>
            <c:dispRSqr val="0"/>
            <c:dispEq val="1"/>
            <c:trendlineLbl>
              <c:layout>
                <c:manualLayout>
                  <c:x val="0.19444444444444445"/>
                  <c:y val="0.1637153689122193"/>
                </c:manualLayout>
              </c:layout>
              <c:numFmt formatCode="General" sourceLinked="0"/>
            </c:trendlineLbl>
          </c:trendline>
          <c:xVal>
            <c:numRef>
              <c:f>OscBC!$B$102:$B$126</c:f>
              <c:numCache>
                <c:formatCode>General</c:formatCode>
                <c:ptCount val="25"/>
                <c:pt idx="0">
                  <c:v>0.2283464566929134</c:v>
                </c:pt>
                <c:pt idx="1">
                  <c:v>0.22047244094488189</c:v>
                </c:pt>
                <c:pt idx="2">
                  <c:v>0.2125984251968504</c:v>
                </c:pt>
                <c:pt idx="3">
                  <c:v>0.20472440944881889</c:v>
                </c:pt>
                <c:pt idx="4">
                  <c:v>0.19685039370078741</c:v>
                </c:pt>
                <c:pt idx="5">
                  <c:v>0.1889763779527559</c:v>
                </c:pt>
                <c:pt idx="6">
                  <c:v>0.18110236220472442</c:v>
                </c:pt>
                <c:pt idx="7">
                  <c:v>0.17322834645669291</c:v>
                </c:pt>
                <c:pt idx="8">
                  <c:v>0.16535433070866143</c:v>
                </c:pt>
                <c:pt idx="9">
                  <c:v>0.15748031496062992</c:v>
                </c:pt>
                <c:pt idx="10">
                  <c:v>0.14960629921259844</c:v>
                </c:pt>
                <c:pt idx="11">
                  <c:v>0.14173228346456693</c:v>
                </c:pt>
                <c:pt idx="12">
                  <c:v>0.13385826771653545</c:v>
                </c:pt>
                <c:pt idx="13">
                  <c:v>0.12598425196850394</c:v>
                </c:pt>
                <c:pt idx="14">
                  <c:v>0.11811023622047244</c:v>
                </c:pt>
                <c:pt idx="15">
                  <c:v>0.11023622047244094</c:v>
                </c:pt>
                <c:pt idx="16">
                  <c:v>0.10236220472440945</c:v>
                </c:pt>
                <c:pt idx="17">
                  <c:v>9.4488188976377951E-2</c:v>
                </c:pt>
                <c:pt idx="18">
                  <c:v>8.6614173228346455E-2</c:v>
                </c:pt>
                <c:pt idx="19">
                  <c:v>7.874015748031496E-2</c:v>
                </c:pt>
                <c:pt idx="20">
                  <c:v>7.0866141732283464E-2</c:v>
                </c:pt>
                <c:pt idx="21">
                  <c:v>6.2992125984251968E-2</c:v>
                </c:pt>
                <c:pt idx="22">
                  <c:v>5.5118110236220472E-2</c:v>
                </c:pt>
                <c:pt idx="23">
                  <c:v>4.7244094488188976E-2</c:v>
                </c:pt>
                <c:pt idx="24">
                  <c:v>3.937007874015748E-2</c:v>
                </c:pt>
              </c:numCache>
            </c:numRef>
          </c:xVal>
          <c:yVal>
            <c:numRef>
              <c:f>OscBC!$S$102:$S$126</c:f>
              <c:numCache>
                <c:formatCode>0.000</c:formatCode>
                <c:ptCount val="25"/>
                <c:pt idx="0">
                  <c:v>0.85485710336247711</c:v>
                </c:pt>
                <c:pt idx="1">
                  <c:v>0.84794553685592844</c:v>
                </c:pt>
                <c:pt idx="3">
                  <c:v>0.81684348757645919</c:v>
                </c:pt>
                <c:pt idx="5">
                  <c:v>0.78919722155026439</c:v>
                </c:pt>
                <c:pt idx="21">
                  <c:v>0.57839444310052879</c:v>
                </c:pt>
                <c:pt idx="22">
                  <c:v>0.561115526834157</c:v>
                </c:pt>
                <c:pt idx="23">
                  <c:v>0.55074817707433388</c:v>
                </c:pt>
                <c:pt idx="24">
                  <c:v>0.53692504406123653</c:v>
                </c:pt>
              </c:numCache>
            </c:numRef>
          </c:yVal>
          <c:smooth val="0"/>
        </c:ser>
        <c:ser>
          <c:idx val="1"/>
          <c:order val="1"/>
          <c:tx>
            <c:v>BC 0.35 Lo</c:v>
          </c:tx>
          <c:spPr>
            <a:ln w="28575">
              <a:noFill/>
            </a:ln>
          </c:spPr>
          <c:trendline>
            <c:trendlineType val="linear"/>
            <c:intercept val="0"/>
            <c:dispRSqr val="0"/>
            <c:dispEq val="1"/>
            <c:trendlineLbl>
              <c:layout>
                <c:manualLayout>
                  <c:x val="0.13333333333333333"/>
                  <c:y val="0.17648439778361039"/>
                </c:manualLayout>
              </c:layout>
              <c:numFmt formatCode="General" sourceLinked="0"/>
            </c:trendlineLbl>
          </c:trendline>
          <c:xVal>
            <c:numRef>
              <c:f>OscBC!$B$126:$B$130</c:f>
              <c:numCache>
                <c:formatCode>General</c:formatCode>
                <c:ptCount val="5"/>
                <c:pt idx="0">
                  <c:v>3.937007874015748E-2</c:v>
                </c:pt>
                <c:pt idx="1">
                  <c:v>3.1496062992125984E-2</c:v>
                </c:pt>
                <c:pt idx="2">
                  <c:v>2.3622047244094488E-2</c:v>
                </c:pt>
                <c:pt idx="3">
                  <c:v>1.5748031496062992E-2</c:v>
                </c:pt>
                <c:pt idx="4">
                  <c:v>7.874015748031496E-3</c:v>
                </c:pt>
              </c:numCache>
            </c:numRef>
          </c:xVal>
          <c:yVal>
            <c:numRef>
              <c:f>OscBC!$S$126:$S$130</c:f>
              <c:numCache>
                <c:formatCode>0.000</c:formatCode>
                <c:ptCount val="5"/>
                <c:pt idx="0">
                  <c:v>0.53692504406123653</c:v>
                </c:pt>
                <c:pt idx="1">
                  <c:v>0.3606800981442444</c:v>
                </c:pt>
                <c:pt idx="2">
                  <c:v>0.20171406849362405</c:v>
                </c:pt>
                <c:pt idx="3">
                  <c:v>8.1798389605003977E-2</c:v>
                </c:pt>
                <c:pt idx="4">
                  <c:v>1.3719459515499187E-2</c:v>
                </c:pt>
              </c:numCache>
            </c:numRef>
          </c:yVal>
          <c:smooth val="0"/>
        </c:ser>
        <c:ser>
          <c:idx val="2"/>
          <c:order val="2"/>
          <c:tx>
            <c:v>BC 0.35 Hi</c:v>
          </c:tx>
          <c:spPr>
            <a:ln w="28575">
              <a:noFill/>
            </a:ln>
          </c:spPr>
          <c:marker>
            <c:symbol val="triangle"/>
            <c:size val="4"/>
          </c:marker>
          <c:trendline>
            <c:trendlineType val="linear"/>
            <c:dispRSqr val="0"/>
            <c:dispEq val="1"/>
            <c:trendlineLbl>
              <c:layout>
                <c:manualLayout>
                  <c:x val="1.3806430446194225E-2"/>
                  <c:y val="8.2786526684164474E-2"/>
                </c:manualLayout>
              </c:layout>
              <c:numFmt formatCode="General" sourceLinked="0"/>
            </c:trendlineLbl>
          </c:trendline>
          <c:xVal>
            <c:numRef>
              <c:f>OscBC!$B$4:$B$102</c:f>
              <c:numCache>
                <c:formatCode>General</c:formatCode>
                <c:ptCount val="92"/>
                <c:pt idx="0">
                  <c:v>1</c:v>
                </c:pt>
                <c:pt idx="1">
                  <c:v>0.99212598425196852</c:v>
                </c:pt>
                <c:pt idx="2">
                  <c:v>0.98425196850393704</c:v>
                </c:pt>
                <c:pt idx="3">
                  <c:v>0.97637795275590555</c:v>
                </c:pt>
                <c:pt idx="4">
                  <c:v>0.96850393700787396</c:v>
                </c:pt>
                <c:pt idx="5">
                  <c:v>0.96062992125984248</c:v>
                </c:pt>
                <c:pt idx="6">
                  <c:v>0.952755905511811</c:v>
                </c:pt>
                <c:pt idx="7">
                  <c:v>0.94488188976377951</c:v>
                </c:pt>
                <c:pt idx="8">
                  <c:v>0.93700787401574803</c:v>
                </c:pt>
                <c:pt idx="9">
                  <c:v>0.92913385826771655</c:v>
                </c:pt>
                <c:pt idx="10">
                  <c:v>0.92125984251968507</c:v>
                </c:pt>
                <c:pt idx="11">
                  <c:v>0.91338582677165359</c:v>
                </c:pt>
                <c:pt idx="12">
                  <c:v>0.90551181102362199</c:v>
                </c:pt>
                <c:pt idx="13">
                  <c:v>0.89763779527559051</c:v>
                </c:pt>
                <c:pt idx="14">
                  <c:v>0.88976377952755903</c:v>
                </c:pt>
                <c:pt idx="15">
                  <c:v>0.88188976377952755</c:v>
                </c:pt>
                <c:pt idx="16">
                  <c:v>0.87401574803149606</c:v>
                </c:pt>
                <c:pt idx="17">
                  <c:v>0.86614173228346458</c:v>
                </c:pt>
                <c:pt idx="18">
                  <c:v>0.8582677165354331</c:v>
                </c:pt>
                <c:pt idx="19">
                  <c:v>0.85039370078740162</c:v>
                </c:pt>
                <c:pt idx="20">
                  <c:v>0.84251968503937003</c:v>
                </c:pt>
                <c:pt idx="21">
                  <c:v>0.83464566929133854</c:v>
                </c:pt>
                <c:pt idx="22">
                  <c:v>0.82677165354330706</c:v>
                </c:pt>
                <c:pt idx="23">
                  <c:v>0.81889763779527558</c:v>
                </c:pt>
                <c:pt idx="24">
                  <c:v>0.8110236220472441</c:v>
                </c:pt>
                <c:pt idx="25">
                  <c:v>0.80314960629921262</c:v>
                </c:pt>
                <c:pt idx="26">
                  <c:v>0.79527559055118113</c:v>
                </c:pt>
                <c:pt idx="27">
                  <c:v>0.78740157480314965</c:v>
                </c:pt>
                <c:pt idx="28">
                  <c:v>0.77952755905511806</c:v>
                </c:pt>
                <c:pt idx="29">
                  <c:v>0.77165354330708658</c:v>
                </c:pt>
                <c:pt idx="30">
                  <c:v>0.76377952755905509</c:v>
                </c:pt>
                <c:pt idx="31">
                  <c:v>0.75590551181102361</c:v>
                </c:pt>
                <c:pt idx="32">
                  <c:v>0.69291338582677164</c:v>
                </c:pt>
                <c:pt idx="33">
                  <c:v>0.68503937007874016</c:v>
                </c:pt>
                <c:pt idx="34">
                  <c:v>0.67716535433070868</c:v>
                </c:pt>
                <c:pt idx="35">
                  <c:v>0.6692913385826772</c:v>
                </c:pt>
                <c:pt idx="36">
                  <c:v>0.66141732283464572</c:v>
                </c:pt>
                <c:pt idx="37">
                  <c:v>0.65354330708661412</c:v>
                </c:pt>
                <c:pt idx="38">
                  <c:v>0.64566929133858264</c:v>
                </c:pt>
                <c:pt idx="39">
                  <c:v>0.63779527559055116</c:v>
                </c:pt>
                <c:pt idx="40">
                  <c:v>0.62992125984251968</c:v>
                </c:pt>
                <c:pt idx="41">
                  <c:v>0.62204724409448819</c:v>
                </c:pt>
                <c:pt idx="42">
                  <c:v>0.61417322834645671</c:v>
                </c:pt>
                <c:pt idx="43">
                  <c:v>0.60629921259842523</c:v>
                </c:pt>
                <c:pt idx="44">
                  <c:v>0.59842519685039375</c:v>
                </c:pt>
                <c:pt idx="45">
                  <c:v>0.59055118110236215</c:v>
                </c:pt>
                <c:pt idx="46">
                  <c:v>0.58267716535433067</c:v>
                </c:pt>
                <c:pt idx="47">
                  <c:v>0.57480314960629919</c:v>
                </c:pt>
                <c:pt idx="48">
                  <c:v>0.56692913385826771</c:v>
                </c:pt>
                <c:pt idx="49">
                  <c:v>0.55905511811023623</c:v>
                </c:pt>
                <c:pt idx="50">
                  <c:v>0.55118110236220474</c:v>
                </c:pt>
                <c:pt idx="51">
                  <c:v>0.54330708661417326</c:v>
                </c:pt>
                <c:pt idx="52">
                  <c:v>0.53543307086614178</c:v>
                </c:pt>
                <c:pt idx="53">
                  <c:v>0.52755905511811019</c:v>
                </c:pt>
                <c:pt idx="54">
                  <c:v>0.51968503937007871</c:v>
                </c:pt>
                <c:pt idx="55">
                  <c:v>0.51181102362204722</c:v>
                </c:pt>
                <c:pt idx="56">
                  <c:v>0.50393700787401574</c:v>
                </c:pt>
                <c:pt idx="57">
                  <c:v>0.49606299212598426</c:v>
                </c:pt>
                <c:pt idx="58">
                  <c:v>0.48818897637795278</c:v>
                </c:pt>
                <c:pt idx="59">
                  <c:v>0.48031496062992124</c:v>
                </c:pt>
                <c:pt idx="60">
                  <c:v>0.47244094488188976</c:v>
                </c:pt>
                <c:pt idx="61">
                  <c:v>0.46456692913385828</c:v>
                </c:pt>
                <c:pt idx="62">
                  <c:v>0.45669291338582679</c:v>
                </c:pt>
                <c:pt idx="63">
                  <c:v>0.44881889763779526</c:v>
                </c:pt>
                <c:pt idx="64">
                  <c:v>0.44094488188976377</c:v>
                </c:pt>
                <c:pt idx="65">
                  <c:v>0.43307086614173229</c:v>
                </c:pt>
                <c:pt idx="66">
                  <c:v>0.42519685039370081</c:v>
                </c:pt>
                <c:pt idx="67">
                  <c:v>0.41732283464566927</c:v>
                </c:pt>
                <c:pt idx="68">
                  <c:v>0.40944881889763779</c:v>
                </c:pt>
                <c:pt idx="69">
                  <c:v>0.40157480314960631</c:v>
                </c:pt>
                <c:pt idx="70">
                  <c:v>0.39370078740157483</c:v>
                </c:pt>
                <c:pt idx="71">
                  <c:v>0.38582677165354329</c:v>
                </c:pt>
                <c:pt idx="72">
                  <c:v>0.37795275590551181</c:v>
                </c:pt>
                <c:pt idx="73">
                  <c:v>0.37007874015748032</c:v>
                </c:pt>
                <c:pt idx="74">
                  <c:v>0.36220472440944884</c:v>
                </c:pt>
                <c:pt idx="75">
                  <c:v>0.3543307086614173</c:v>
                </c:pt>
                <c:pt idx="76">
                  <c:v>0.34645669291338582</c:v>
                </c:pt>
                <c:pt idx="77">
                  <c:v>0.33858267716535434</c:v>
                </c:pt>
                <c:pt idx="78">
                  <c:v>0.33070866141732286</c:v>
                </c:pt>
                <c:pt idx="79">
                  <c:v>0.32283464566929132</c:v>
                </c:pt>
                <c:pt idx="80">
                  <c:v>0.31496062992125984</c:v>
                </c:pt>
                <c:pt idx="81">
                  <c:v>0.30708661417322836</c:v>
                </c:pt>
                <c:pt idx="82">
                  <c:v>0.29921259842519687</c:v>
                </c:pt>
                <c:pt idx="83">
                  <c:v>0.29133858267716534</c:v>
                </c:pt>
                <c:pt idx="84">
                  <c:v>0.28346456692913385</c:v>
                </c:pt>
                <c:pt idx="85">
                  <c:v>0.27559055118110237</c:v>
                </c:pt>
                <c:pt idx="86">
                  <c:v>0.26771653543307089</c:v>
                </c:pt>
                <c:pt idx="87">
                  <c:v>0.25984251968503935</c:v>
                </c:pt>
                <c:pt idx="88">
                  <c:v>0.25196850393700787</c:v>
                </c:pt>
                <c:pt idx="89">
                  <c:v>0.24409448818897639</c:v>
                </c:pt>
                <c:pt idx="90">
                  <c:v>0.23622047244094488</c:v>
                </c:pt>
                <c:pt idx="91">
                  <c:v>0.2283464566929134</c:v>
                </c:pt>
              </c:numCache>
            </c:numRef>
          </c:xVal>
          <c:yVal>
            <c:numRef>
              <c:f>OscBC!$S$4:$S$102</c:f>
              <c:numCache>
                <c:formatCode>0.000</c:formatCode>
                <c:ptCount val="92"/>
                <c:pt idx="0">
                  <c:v>1</c:v>
                </c:pt>
                <c:pt idx="64">
                  <c:v>0.8997822856550437</c:v>
                </c:pt>
                <c:pt idx="72">
                  <c:v>0.88595915264194625</c:v>
                </c:pt>
                <c:pt idx="88">
                  <c:v>0.86522445312230012</c:v>
                </c:pt>
                <c:pt idx="90">
                  <c:v>0.86176866986902578</c:v>
                </c:pt>
                <c:pt idx="91">
                  <c:v>0.85485710336247711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3945984"/>
        <c:axId val="303955968"/>
      </c:scatterChart>
      <c:valAx>
        <c:axId val="303945984"/>
        <c:scaling>
          <c:orientation val="minMax"/>
          <c:max val="1"/>
        </c:scaling>
        <c:delete val="0"/>
        <c:axPos val="b"/>
        <c:numFmt formatCode="General" sourceLinked="1"/>
        <c:majorTickMark val="out"/>
        <c:minorTickMark val="none"/>
        <c:tickLblPos val="nextTo"/>
        <c:crossAx val="303955968"/>
        <c:crosses val="autoZero"/>
        <c:crossBetween val="midCat"/>
      </c:valAx>
      <c:valAx>
        <c:axId val="303955968"/>
        <c:scaling>
          <c:orientation val="minMax"/>
          <c:max val="1"/>
          <c:min val="0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crossAx val="303945984"/>
        <c:crosses val="autoZero"/>
        <c:crossBetween val="midCat"/>
      </c:valAx>
    </c:plotArea>
    <c:legend>
      <c:legendPos val="r"/>
      <c:legendEntry>
        <c:idx val="3"/>
        <c:delete val="1"/>
      </c:legendEntry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BC 0.4</c:v>
          </c:tx>
          <c:spPr>
            <a:ln w="28575">
              <a:noFill/>
            </a:ln>
          </c:spPr>
          <c:trendline>
            <c:trendlineType val="linear"/>
            <c:dispRSqr val="0"/>
            <c:dispEq val="1"/>
            <c:trendlineLbl>
              <c:layout>
                <c:manualLayout>
                  <c:x val="0.16944444444444445"/>
                  <c:y val="0.12717920676582095"/>
                </c:manualLayout>
              </c:layout>
              <c:numFmt formatCode="General" sourceLinked="0"/>
            </c:trendlineLbl>
          </c:trendline>
          <c:xVal>
            <c:numRef>
              <c:f>OscBC!$B$111:$B$127</c:f>
              <c:numCache>
                <c:formatCode>General</c:formatCode>
                <c:ptCount val="17"/>
                <c:pt idx="0">
                  <c:v>0.15748031496062992</c:v>
                </c:pt>
                <c:pt idx="1">
                  <c:v>0.14960629921259844</c:v>
                </c:pt>
                <c:pt idx="2">
                  <c:v>0.14173228346456693</c:v>
                </c:pt>
                <c:pt idx="3">
                  <c:v>0.13385826771653545</c:v>
                </c:pt>
                <c:pt idx="4">
                  <c:v>0.12598425196850394</c:v>
                </c:pt>
                <c:pt idx="5">
                  <c:v>0.11811023622047244</c:v>
                </c:pt>
                <c:pt idx="6">
                  <c:v>0.11023622047244094</c:v>
                </c:pt>
                <c:pt idx="7">
                  <c:v>0.10236220472440945</c:v>
                </c:pt>
                <c:pt idx="8">
                  <c:v>9.4488188976377951E-2</c:v>
                </c:pt>
                <c:pt idx="9">
                  <c:v>8.6614173228346455E-2</c:v>
                </c:pt>
                <c:pt idx="10">
                  <c:v>7.874015748031496E-2</c:v>
                </c:pt>
                <c:pt idx="11">
                  <c:v>7.0866141732283464E-2</c:v>
                </c:pt>
                <c:pt idx="12">
                  <c:v>6.2992125984251968E-2</c:v>
                </c:pt>
                <c:pt idx="13">
                  <c:v>5.5118110236220472E-2</c:v>
                </c:pt>
                <c:pt idx="14">
                  <c:v>4.7244094488188976E-2</c:v>
                </c:pt>
                <c:pt idx="15">
                  <c:v>3.937007874015748E-2</c:v>
                </c:pt>
                <c:pt idx="16">
                  <c:v>3.1496062992125984E-2</c:v>
                </c:pt>
              </c:numCache>
            </c:numRef>
          </c:xVal>
          <c:yVal>
            <c:numRef>
              <c:f>(OscBC!$Q$111:$Q$127,OscBC!$Q$127:$Q$131)</c:f>
              <c:numCache>
                <c:formatCode>0.000</c:formatCode>
                <c:ptCount val="22"/>
                <c:pt idx="0">
                  <c:v>0.90669385216159237</c:v>
                </c:pt>
                <c:pt idx="4">
                  <c:v>0.84794553685592844</c:v>
                </c:pt>
                <c:pt idx="12">
                  <c:v>0.73390468949787468</c:v>
                </c:pt>
                <c:pt idx="16">
                  <c:v>0.68206794069875942</c:v>
                </c:pt>
                <c:pt idx="17">
                  <c:v>0.68206794069875942</c:v>
                </c:pt>
                <c:pt idx="18">
                  <c:v>0.55074817707433388</c:v>
                </c:pt>
                <c:pt idx="19">
                  <c:v>0.23558074437571275</c:v>
                </c:pt>
                <c:pt idx="20">
                  <c:v>5.1041918650862217E-2</c:v>
                </c:pt>
                <c:pt idx="21">
                  <c:v>0</c:v>
                </c:pt>
              </c:numCache>
            </c:numRef>
          </c:yVal>
          <c:smooth val="0"/>
        </c:ser>
        <c:ser>
          <c:idx val="1"/>
          <c:order val="1"/>
          <c:tx>
            <c:v>BC 0.4 Lo</c:v>
          </c:tx>
          <c:spPr>
            <a:ln w="28575">
              <a:noFill/>
            </a:ln>
          </c:spPr>
          <c:marker>
            <c:symbol val="square"/>
            <c:size val="4"/>
          </c:marker>
          <c:trendline>
            <c:trendlineType val="linear"/>
            <c:intercept val="0"/>
            <c:dispRSqr val="0"/>
            <c:dispEq val="1"/>
            <c:trendlineLbl>
              <c:layout>
                <c:manualLayout>
                  <c:x val="0.14722222222222223"/>
                  <c:y val="0.13676800816564597"/>
                </c:manualLayout>
              </c:layout>
              <c:numFmt formatCode="General" sourceLinked="0"/>
            </c:trendlineLbl>
          </c:trendline>
          <c:xVal>
            <c:numRef>
              <c:f>OscBC!$B$127:$B$130</c:f>
              <c:numCache>
                <c:formatCode>General</c:formatCode>
                <c:ptCount val="4"/>
                <c:pt idx="0">
                  <c:v>3.1496062992125984E-2</c:v>
                </c:pt>
                <c:pt idx="1">
                  <c:v>2.3622047244094488E-2</c:v>
                </c:pt>
                <c:pt idx="2">
                  <c:v>1.5748031496062992E-2</c:v>
                </c:pt>
                <c:pt idx="3">
                  <c:v>7.874015748031496E-3</c:v>
                </c:pt>
              </c:numCache>
            </c:numRef>
          </c:xVal>
          <c:yVal>
            <c:numRef>
              <c:f>OscBC!$Q$127:$Q$130</c:f>
              <c:numCache>
                <c:formatCode>0.000</c:formatCode>
                <c:ptCount val="4"/>
                <c:pt idx="0">
                  <c:v>0.68206794069875942</c:v>
                </c:pt>
                <c:pt idx="1">
                  <c:v>0.55074817707433388</c:v>
                </c:pt>
                <c:pt idx="2">
                  <c:v>0.23558074437571275</c:v>
                </c:pt>
                <c:pt idx="3">
                  <c:v>5.1041918650862217E-2</c:v>
                </c:pt>
              </c:numCache>
            </c:numRef>
          </c:yVal>
          <c:smooth val="0"/>
        </c:ser>
        <c:ser>
          <c:idx val="2"/>
          <c:order val="2"/>
          <c:tx>
            <c:v>BC 0.4 Hi</c:v>
          </c:tx>
          <c:spPr>
            <a:ln w="28575">
              <a:noFill/>
            </a:ln>
          </c:spPr>
          <c:marker>
            <c:symbol val="triangle"/>
            <c:size val="4"/>
          </c:marker>
          <c:trendline>
            <c:trendlineType val="linear"/>
            <c:dispRSqr val="0"/>
            <c:dispEq val="1"/>
            <c:trendlineLbl>
              <c:layout>
                <c:manualLayout>
                  <c:x val="8.0562117235345575E-3"/>
                  <c:y val="3.656240886555847E-2"/>
                </c:manualLayout>
              </c:layout>
              <c:numFmt formatCode="General" sourceLinked="0"/>
            </c:trendlineLbl>
          </c:trendline>
          <c:xVal>
            <c:numRef>
              <c:f>OscBC!$B$4:$B$111</c:f>
              <c:numCache>
                <c:formatCode>General</c:formatCode>
                <c:ptCount val="101"/>
                <c:pt idx="0">
                  <c:v>1</c:v>
                </c:pt>
                <c:pt idx="1">
                  <c:v>0.99212598425196852</c:v>
                </c:pt>
                <c:pt idx="2">
                  <c:v>0.98425196850393704</c:v>
                </c:pt>
                <c:pt idx="3">
                  <c:v>0.97637795275590555</c:v>
                </c:pt>
                <c:pt idx="4">
                  <c:v>0.96850393700787396</c:v>
                </c:pt>
                <c:pt idx="5">
                  <c:v>0.96062992125984248</c:v>
                </c:pt>
                <c:pt idx="6">
                  <c:v>0.952755905511811</c:v>
                </c:pt>
                <c:pt idx="7">
                  <c:v>0.94488188976377951</c:v>
                </c:pt>
                <c:pt idx="8">
                  <c:v>0.93700787401574803</c:v>
                </c:pt>
                <c:pt idx="9">
                  <c:v>0.92913385826771655</c:v>
                </c:pt>
                <c:pt idx="10">
                  <c:v>0.92125984251968507</c:v>
                </c:pt>
                <c:pt idx="11">
                  <c:v>0.91338582677165359</c:v>
                </c:pt>
                <c:pt idx="12">
                  <c:v>0.90551181102362199</c:v>
                </c:pt>
                <c:pt idx="13">
                  <c:v>0.89763779527559051</c:v>
                </c:pt>
                <c:pt idx="14">
                  <c:v>0.88976377952755903</c:v>
                </c:pt>
                <c:pt idx="15">
                  <c:v>0.88188976377952755</c:v>
                </c:pt>
                <c:pt idx="16">
                  <c:v>0.87401574803149606</c:v>
                </c:pt>
                <c:pt idx="17">
                  <c:v>0.86614173228346458</c:v>
                </c:pt>
                <c:pt idx="18">
                  <c:v>0.8582677165354331</c:v>
                </c:pt>
                <c:pt idx="19">
                  <c:v>0.85039370078740162</c:v>
                </c:pt>
                <c:pt idx="20">
                  <c:v>0.84251968503937003</c:v>
                </c:pt>
                <c:pt idx="21">
                  <c:v>0.83464566929133854</c:v>
                </c:pt>
                <c:pt idx="22">
                  <c:v>0.82677165354330706</c:v>
                </c:pt>
                <c:pt idx="23">
                  <c:v>0.81889763779527558</c:v>
                </c:pt>
                <c:pt idx="24">
                  <c:v>0.8110236220472441</c:v>
                </c:pt>
                <c:pt idx="25">
                  <c:v>0.80314960629921262</c:v>
                </c:pt>
                <c:pt idx="26">
                  <c:v>0.79527559055118113</c:v>
                </c:pt>
                <c:pt idx="27">
                  <c:v>0.78740157480314965</c:v>
                </c:pt>
                <c:pt idx="28">
                  <c:v>0.77952755905511806</c:v>
                </c:pt>
                <c:pt idx="29">
                  <c:v>0.77165354330708658</c:v>
                </c:pt>
                <c:pt idx="30">
                  <c:v>0.76377952755905509</c:v>
                </c:pt>
                <c:pt idx="31">
                  <c:v>0.75590551181102361</c:v>
                </c:pt>
                <c:pt idx="32">
                  <c:v>0.69291338582677164</c:v>
                </c:pt>
                <c:pt idx="33">
                  <c:v>0.68503937007874016</c:v>
                </c:pt>
                <c:pt idx="34">
                  <c:v>0.67716535433070868</c:v>
                </c:pt>
                <c:pt idx="35">
                  <c:v>0.6692913385826772</c:v>
                </c:pt>
                <c:pt idx="36">
                  <c:v>0.66141732283464572</c:v>
                </c:pt>
                <c:pt idx="37">
                  <c:v>0.65354330708661412</c:v>
                </c:pt>
                <c:pt idx="38">
                  <c:v>0.64566929133858264</c:v>
                </c:pt>
                <c:pt idx="39">
                  <c:v>0.63779527559055116</c:v>
                </c:pt>
                <c:pt idx="40">
                  <c:v>0.62992125984251968</c:v>
                </c:pt>
                <c:pt idx="41">
                  <c:v>0.62204724409448819</c:v>
                </c:pt>
                <c:pt idx="42">
                  <c:v>0.61417322834645671</c:v>
                </c:pt>
                <c:pt idx="43">
                  <c:v>0.60629921259842523</c:v>
                </c:pt>
                <c:pt idx="44">
                  <c:v>0.59842519685039375</c:v>
                </c:pt>
                <c:pt idx="45">
                  <c:v>0.59055118110236215</c:v>
                </c:pt>
                <c:pt idx="46">
                  <c:v>0.58267716535433067</c:v>
                </c:pt>
                <c:pt idx="47">
                  <c:v>0.57480314960629919</c:v>
                </c:pt>
                <c:pt idx="48">
                  <c:v>0.56692913385826771</c:v>
                </c:pt>
                <c:pt idx="49">
                  <c:v>0.55905511811023623</c:v>
                </c:pt>
                <c:pt idx="50">
                  <c:v>0.55118110236220474</c:v>
                </c:pt>
                <c:pt idx="51">
                  <c:v>0.54330708661417326</c:v>
                </c:pt>
                <c:pt idx="52">
                  <c:v>0.53543307086614178</c:v>
                </c:pt>
                <c:pt idx="53">
                  <c:v>0.52755905511811019</c:v>
                </c:pt>
                <c:pt idx="54">
                  <c:v>0.51968503937007871</c:v>
                </c:pt>
                <c:pt idx="55">
                  <c:v>0.51181102362204722</c:v>
                </c:pt>
                <c:pt idx="56">
                  <c:v>0.50393700787401574</c:v>
                </c:pt>
                <c:pt idx="57">
                  <c:v>0.49606299212598426</c:v>
                </c:pt>
                <c:pt idx="58">
                  <c:v>0.48818897637795278</c:v>
                </c:pt>
                <c:pt idx="59">
                  <c:v>0.48031496062992124</c:v>
                </c:pt>
                <c:pt idx="60">
                  <c:v>0.47244094488188976</c:v>
                </c:pt>
                <c:pt idx="61">
                  <c:v>0.46456692913385828</c:v>
                </c:pt>
                <c:pt idx="62">
                  <c:v>0.45669291338582679</c:v>
                </c:pt>
                <c:pt idx="63">
                  <c:v>0.44881889763779526</c:v>
                </c:pt>
                <c:pt idx="64">
                  <c:v>0.44094488188976377</c:v>
                </c:pt>
                <c:pt idx="65">
                  <c:v>0.43307086614173229</c:v>
                </c:pt>
                <c:pt idx="66">
                  <c:v>0.42519685039370081</c:v>
                </c:pt>
                <c:pt idx="67">
                  <c:v>0.41732283464566927</c:v>
                </c:pt>
                <c:pt idx="68">
                  <c:v>0.40944881889763779</c:v>
                </c:pt>
                <c:pt idx="69">
                  <c:v>0.40157480314960631</c:v>
                </c:pt>
                <c:pt idx="70">
                  <c:v>0.39370078740157483</c:v>
                </c:pt>
                <c:pt idx="71">
                  <c:v>0.38582677165354329</c:v>
                </c:pt>
                <c:pt idx="72">
                  <c:v>0.37795275590551181</c:v>
                </c:pt>
                <c:pt idx="73">
                  <c:v>0.37007874015748032</c:v>
                </c:pt>
                <c:pt idx="74">
                  <c:v>0.36220472440944884</c:v>
                </c:pt>
                <c:pt idx="75">
                  <c:v>0.3543307086614173</c:v>
                </c:pt>
                <c:pt idx="76">
                  <c:v>0.34645669291338582</c:v>
                </c:pt>
                <c:pt idx="77">
                  <c:v>0.33858267716535434</c:v>
                </c:pt>
                <c:pt idx="78">
                  <c:v>0.33070866141732286</c:v>
                </c:pt>
                <c:pt idx="79">
                  <c:v>0.32283464566929132</c:v>
                </c:pt>
                <c:pt idx="80">
                  <c:v>0.31496062992125984</c:v>
                </c:pt>
                <c:pt idx="81">
                  <c:v>0.30708661417322836</c:v>
                </c:pt>
                <c:pt idx="82">
                  <c:v>0.29921259842519687</c:v>
                </c:pt>
                <c:pt idx="83">
                  <c:v>0.29133858267716534</c:v>
                </c:pt>
                <c:pt idx="84">
                  <c:v>0.28346456692913385</c:v>
                </c:pt>
                <c:pt idx="85">
                  <c:v>0.27559055118110237</c:v>
                </c:pt>
                <c:pt idx="86">
                  <c:v>0.26771653543307089</c:v>
                </c:pt>
                <c:pt idx="87">
                  <c:v>0.25984251968503935</c:v>
                </c:pt>
                <c:pt idx="88">
                  <c:v>0.25196850393700787</c:v>
                </c:pt>
                <c:pt idx="89">
                  <c:v>0.24409448818897639</c:v>
                </c:pt>
                <c:pt idx="90">
                  <c:v>0.23622047244094488</c:v>
                </c:pt>
                <c:pt idx="91">
                  <c:v>0.2283464566929134</c:v>
                </c:pt>
                <c:pt idx="92">
                  <c:v>0.22047244094488189</c:v>
                </c:pt>
                <c:pt idx="93">
                  <c:v>0.2125984251968504</c:v>
                </c:pt>
                <c:pt idx="94">
                  <c:v>0.20472440944881889</c:v>
                </c:pt>
                <c:pt idx="95">
                  <c:v>0.19685039370078741</c:v>
                </c:pt>
                <c:pt idx="96">
                  <c:v>0.1889763779527559</c:v>
                </c:pt>
                <c:pt idx="97">
                  <c:v>0.18110236220472442</c:v>
                </c:pt>
                <c:pt idx="98">
                  <c:v>0.17322834645669291</c:v>
                </c:pt>
                <c:pt idx="99">
                  <c:v>0.16535433070866143</c:v>
                </c:pt>
                <c:pt idx="100">
                  <c:v>0.15748031496062992</c:v>
                </c:pt>
              </c:numCache>
            </c:numRef>
          </c:xVal>
          <c:yVal>
            <c:numRef>
              <c:f>OscBC!$Q$4:$Q$111</c:f>
              <c:numCache>
                <c:formatCode>0.000</c:formatCode>
                <c:ptCount val="101"/>
                <c:pt idx="0">
                  <c:v>1</c:v>
                </c:pt>
                <c:pt idx="56">
                  <c:v>0.94470746794761029</c:v>
                </c:pt>
                <c:pt idx="96">
                  <c:v>0.90323806890831804</c:v>
                </c:pt>
                <c:pt idx="100">
                  <c:v>0.90669385216159237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3993216"/>
        <c:axId val="303994752"/>
      </c:scatterChart>
      <c:valAx>
        <c:axId val="303993216"/>
        <c:scaling>
          <c:orientation val="minMax"/>
          <c:max val="1"/>
        </c:scaling>
        <c:delete val="0"/>
        <c:axPos val="b"/>
        <c:numFmt formatCode="General" sourceLinked="1"/>
        <c:majorTickMark val="out"/>
        <c:minorTickMark val="none"/>
        <c:tickLblPos val="nextTo"/>
        <c:crossAx val="303994752"/>
        <c:crosses val="autoZero"/>
        <c:crossBetween val="midCat"/>
      </c:valAx>
      <c:valAx>
        <c:axId val="303994752"/>
        <c:scaling>
          <c:orientation val="minMax"/>
          <c:max val="1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crossAx val="30399321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BC 0.05</c:v>
          </c:tx>
          <c:spPr>
            <a:ln w="28575">
              <a:noFill/>
            </a:ln>
          </c:spPr>
          <c:trendline>
            <c:trendlineType val="poly"/>
            <c:order val="2"/>
            <c:intercept val="0"/>
            <c:dispRSqr val="0"/>
            <c:dispEq val="1"/>
            <c:trendlineLbl>
              <c:layout>
                <c:manualLayout>
                  <c:x val="0.16695319335083114"/>
                  <c:y val="0.25885608048993874"/>
                </c:manualLayout>
              </c:layout>
              <c:numFmt formatCode="General" sourceLinked="0"/>
            </c:trendlineLbl>
          </c:trendline>
          <c:xVal>
            <c:numRef>
              <c:f>OscBC!$B$51:$B$115</c:f>
              <c:numCache>
                <c:formatCode>General</c:formatCode>
                <c:ptCount val="65"/>
                <c:pt idx="0">
                  <c:v>0.62992125984251968</c:v>
                </c:pt>
                <c:pt idx="1">
                  <c:v>0.62204724409448819</c:v>
                </c:pt>
                <c:pt idx="2">
                  <c:v>0.61417322834645671</c:v>
                </c:pt>
                <c:pt idx="3">
                  <c:v>0.60629921259842523</c:v>
                </c:pt>
                <c:pt idx="4">
                  <c:v>0.59842519685039375</c:v>
                </c:pt>
                <c:pt idx="5">
                  <c:v>0.59055118110236215</c:v>
                </c:pt>
                <c:pt idx="6">
                  <c:v>0.58267716535433067</c:v>
                </c:pt>
                <c:pt idx="7">
                  <c:v>0.57480314960629919</c:v>
                </c:pt>
                <c:pt idx="8">
                  <c:v>0.56692913385826771</c:v>
                </c:pt>
                <c:pt idx="9">
                  <c:v>0.55905511811023623</c:v>
                </c:pt>
                <c:pt idx="10">
                  <c:v>0.55118110236220474</c:v>
                </c:pt>
                <c:pt idx="11">
                  <c:v>0.54330708661417326</c:v>
                </c:pt>
                <c:pt idx="12">
                  <c:v>0.53543307086614178</c:v>
                </c:pt>
                <c:pt idx="13">
                  <c:v>0.52755905511811019</c:v>
                </c:pt>
                <c:pt idx="14">
                  <c:v>0.51968503937007871</c:v>
                </c:pt>
                <c:pt idx="15">
                  <c:v>0.51181102362204722</c:v>
                </c:pt>
                <c:pt idx="16">
                  <c:v>0.50393700787401574</c:v>
                </c:pt>
                <c:pt idx="17">
                  <c:v>0.49606299212598426</c:v>
                </c:pt>
                <c:pt idx="18">
                  <c:v>0.48818897637795278</c:v>
                </c:pt>
                <c:pt idx="19">
                  <c:v>0.48031496062992124</c:v>
                </c:pt>
                <c:pt idx="20">
                  <c:v>0.47244094488188976</c:v>
                </c:pt>
                <c:pt idx="21">
                  <c:v>0.46456692913385828</c:v>
                </c:pt>
                <c:pt idx="22">
                  <c:v>0.45669291338582679</c:v>
                </c:pt>
                <c:pt idx="23">
                  <c:v>0.44881889763779526</c:v>
                </c:pt>
                <c:pt idx="24">
                  <c:v>0.44094488188976377</c:v>
                </c:pt>
                <c:pt idx="25">
                  <c:v>0.43307086614173229</c:v>
                </c:pt>
                <c:pt idx="26">
                  <c:v>0.42519685039370081</c:v>
                </c:pt>
                <c:pt idx="27">
                  <c:v>0.41732283464566927</c:v>
                </c:pt>
                <c:pt idx="28">
                  <c:v>0.40944881889763779</c:v>
                </c:pt>
                <c:pt idx="29">
                  <c:v>0.40157480314960631</c:v>
                </c:pt>
                <c:pt idx="30">
                  <c:v>0.39370078740157483</c:v>
                </c:pt>
                <c:pt idx="31">
                  <c:v>0.38582677165354329</c:v>
                </c:pt>
                <c:pt idx="32">
                  <c:v>0.37795275590551181</c:v>
                </c:pt>
                <c:pt idx="33">
                  <c:v>0.37007874015748032</c:v>
                </c:pt>
                <c:pt idx="34">
                  <c:v>0.36220472440944884</c:v>
                </c:pt>
                <c:pt idx="35">
                  <c:v>0.3543307086614173</c:v>
                </c:pt>
                <c:pt idx="36">
                  <c:v>0.34645669291338582</c:v>
                </c:pt>
                <c:pt idx="37">
                  <c:v>0.33858267716535434</c:v>
                </c:pt>
                <c:pt idx="38">
                  <c:v>0.33070866141732286</c:v>
                </c:pt>
                <c:pt idx="39">
                  <c:v>0.32283464566929132</c:v>
                </c:pt>
                <c:pt idx="40">
                  <c:v>0.31496062992125984</c:v>
                </c:pt>
                <c:pt idx="41">
                  <c:v>0.30708661417322836</c:v>
                </c:pt>
                <c:pt idx="42">
                  <c:v>0.29921259842519687</c:v>
                </c:pt>
                <c:pt idx="43">
                  <c:v>0.29133858267716534</c:v>
                </c:pt>
                <c:pt idx="44">
                  <c:v>0.28346456692913385</c:v>
                </c:pt>
                <c:pt idx="45">
                  <c:v>0.27559055118110237</c:v>
                </c:pt>
                <c:pt idx="46">
                  <c:v>0.26771653543307089</c:v>
                </c:pt>
                <c:pt idx="47">
                  <c:v>0.25984251968503935</c:v>
                </c:pt>
                <c:pt idx="48">
                  <c:v>0.25196850393700787</c:v>
                </c:pt>
                <c:pt idx="49">
                  <c:v>0.24409448818897639</c:v>
                </c:pt>
                <c:pt idx="50">
                  <c:v>0.23622047244094488</c:v>
                </c:pt>
                <c:pt idx="51">
                  <c:v>0.2283464566929134</c:v>
                </c:pt>
                <c:pt idx="52">
                  <c:v>0.22047244094488189</c:v>
                </c:pt>
                <c:pt idx="53">
                  <c:v>0.2125984251968504</c:v>
                </c:pt>
                <c:pt idx="54">
                  <c:v>0.20472440944881889</c:v>
                </c:pt>
                <c:pt idx="55">
                  <c:v>0.19685039370078741</c:v>
                </c:pt>
                <c:pt idx="56">
                  <c:v>0.1889763779527559</c:v>
                </c:pt>
                <c:pt idx="57">
                  <c:v>0.18110236220472442</c:v>
                </c:pt>
                <c:pt idx="58">
                  <c:v>0.17322834645669291</c:v>
                </c:pt>
                <c:pt idx="59">
                  <c:v>0.16535433070866143</c:v>
                </c:pt>
                <c:pt idx="60">
                  <c:v>0.15748031496062992</c:v>
                </c:pt>
                <c:pt idx="61">
                  <c:v>0.14960629921259844</c:v>
                </c:pt>
                <c:pt idx="62">
                  <c:v>0.14173228346456693</c:v>
                </c:pt>
                <c:pt idx="63">
                  <c:v>0.13385826771653545</c:v>
                </c:pt>
                <c:pt idx="64">
                  <c:v>0.12598425196850394</c:v>
                </c:pt>
              </c:numCache>
            </c:numRef>
          </c:xVal>
          <c:yVal>
            <c:numRef>
              <c:f>OscBC!$AE$51:$AE$115</c:f>
              <c:numCache>
                <c:formatCode>0.000</c:formatCode>
                <c:ptCount val="65"/>
                <c:pt idx="0">
                  <c:v>0.51368876080691639</c:v>
                </c:pt>
                <c:pt idx="16">
                  <c:v>0.33357348703170026</c:v>
                </c:pt>
                <c:pt idx="32">
                  <c:v>0.19596541786743513</c:v>
                </c:pt>
                <c:pt idx="48">
                  <c:v>9.2219020172910657E-2</c:v>
                </c:pt>
                <c:pt idx="64">
                  <c:v>2.5216138328530251E-2</c:v>
                </c:pt>
              </c:numCache>
            </c:numRef>
          </c:yVal>
          <c:smooth val="0"/>
        </c:ser>
        <c:ser>
          <c:idx val="1"/>
          <c:order val="1"/>
          <c:tx>
            <c:v>BC 0.05 Hi</c:v>
          </c:tx>
          <c:spPr>
            <a:ln w="28575">
              <a:noFill/>
            </a:ln>
          </c:spPr>
          <c:trendline>
            <c:trendlineType val="linear"/>
            <c:dispRSqr val="0"/>
            <c:dispEq val="1"/>
            <c:trendlineLbl>
              <c:layout>
                <c:manualLayout>
                  <c:x val="-8.3068897637795278E-2"/>
                  <c:y val="2.2673519976669582E-2"/>
                </c:manualLayout>
              </c:layout>
              <c:numFmt formatCode="General" sourceLinked="0"/>
            </c:trendlineLbl>
          </c:trendline>
          <c:xVal>
            <c:numRef>
              <c:f>OscBC!$D$4:$D$51</c:f>
              <c:numCache>
                <c:formatCode>General</c:formatCode>
                <c:ptCount val="41"/>
                <c:pt idx="0">
                  <c:v>1</c:v>
                </c:pt>
                <c:pt idx="1">
                  <c:v>0.98507112416340792</c:v>
                </c:pt>
                <c:pt idx="2">
                  <c:v>0.97024882514845578</c:v>
                </c:pt>
                <c:pt idx="3">
                  <c:v>0.95553318559079026</c:v>
                </c:pt>
                <c:pt idx="4">
                  <c:v>0.94092428885466717</c:v>
                </c:pt>
                <c:pt idx="5">
                  <c:v>0.9264222190453314</c:v>
                </c:pt>
                <c:pt idx="6">
                  <c:v>0.91202706102170705</c:v>
                </c:pt>
                <c:pt idx="7">
                  <c:v>0.89773890040941418</c:v>
                </c:pt>
                <c:pt idx="8">
                  <c:v>0.88355782361411861</c:v>
                </c:pt>
                <c:pt idx="9">
                  <c:v>0.86948391783522827</c:v>
                </c:pt>
                <c:pt idx="10">
                  <c:v>0.85551727107994757</c:v>
                </c:pt>
                <c:pt idx="11">
                  <c:v>0.841657972177703</c:v>
                </c:pt>
                <c:pt idx="12">
                  <c:v>0.82790611079495147</c:v>
                </c:pt>
                <c:pt idx="13">
                  <c:v>0.81426177745038741</c:v>
                </c:pt>
                <c:pt idx="14">
                  <c:v>0.80072506353055939</c:v>
                </c:pt>
                <c:pt idx="15">
                  <c:v>0.7872960613059149</c:v>
                </c:pt>
                <c:pt idx="16">
                  <c:v>0.77397486394728621</c:v>
                </c:pt>
                <c:pt idx="17">
                  <c:v>0.76076156554283492</c:v>
                </c:pt>
                <c:pt idx="18">
                  <c:v>0.74765626111547123</c:v>
                </c:pt>
                <c:pt idx="19">
                  <c:v>0.73465904664076609</c:v>
                </c:pt>
                <c:pt idx="20">
                  <c:v>0.72177001906537575</c:v>
                </c:pt>
                <c:pt idx="21">
                  <c:v>0.70898927632599695</c:v>
                </c:pt>
                <c:pt idx="22">
                  <c:v>0.69631691736887291</c:v>
                </c:pt>
                <c:pt idx="23">
                  <c:v>0.68375304216987354</c:v>
                </c:pt>
                <c:pt idx="24">
                  <c:v>0.67129775175517081</c:v>
                </c:pt>
                <c:pt idx="25">
                  <c:v>0.65895114822253253</c:v>
                </c:pt>
                <c:pt idx="26">
                  <c:v>0.64671333476326087</c:v>
                </c:pt>
                <c:pt idx="27">
                  <c:v>0.63458441568479973</c:v>
                </c:pt>
                <c:pt idx="28">
                  <c:v>0.62256449643403988</c:v>
                </c:pt>
                <c:pt idx="29">
                  <c:v>0.61065368362135075</c:v>
                </c:pt>
                <c:pt idx="30">
                  <c:v>0.59885208504536591</c:v>
                </c:pt>
                <c:pt idx="31">
                  <c:v>0.58715980971855897</c:v>
                </c:pt>
                <c:pt idx="32">
                  <c:v>0.49757074786623529</c:v>
                </c:pt>
                <c:pt idx="33">
                  <c:v>0.48686750140747798</c:v>
                </c:pt>
                <c:pt idx="34">
                  <c:v>0.47627474134643066</c:v>
                </c:pt>
                <c:pt idx="35">
                  <c:v>0.46579259199854389</c:v>
                </c:pt>
                <c:pt idx="36">
                  <c:v>0.45542117927569481</c:v>
                </c:pt>
                <c:pt idx="37">
                  <c:v>0.44516063072583778</c:v>
                </c:pt>
                <c:pt idx="38">
                  <c:v>0.43501107557412555</c:v>
                </c:pt>
                <c:pt idx="39">
                  <c:v>0.4249726447655755</c:v>
                </c:pt>
                <c:pt idx="40">
                  <c:v>0.41504547100935957</c:v>
                </c:pt>
              </c:numCache>
            </c:numRef>
          </c:xVal>
          <c:yVal>
            <c:numRef>
              <c:f>OscBC!$AE$4:$AE$51</c:f>
              <c:numCache>
                <c:formatCode>0.000</c:formatCode>
                <c:ptCount val="41"/>
                <c:pt idx="0">
                  <c:v>1</c:v>
                </c:pt>
                <c:pt idx="15">
                  <c:v>0.84510086455331401</c:v>
                </c:pt>
                <c:pt idx="31">
                  <c:v>0.68299711815561948</c:v>
                </c:pt>
                <c:pt idx="40">
                  <c:v>0.51368876080691639</c:v>
                </c:pt>
              </c:numCache>
            </c:numRef>
          </c:yVal>
          <c:smooth val="0"/>
        </c:ser>
        <c:ser>
          <c:idx val="2"/>
          <c:order val="2"/>
          <c:tx>
            <c:v>BC 0.05 Lo</c:v>
          </c:tx>
          <c:spPr>
            <a:ln w="28575">
              <a:noFill/>
            </a:ln>
          </c:spPr>
          <c:trendline>
            <c:trendlineType val="linear"/>
            <c:dispRSqr val="0"/>
            <c:dispEq val="1"/>
            <c:trendlineLbl>
              <c:layout>
                <c:manualLayout>
                  <c:x val="0.25277777777777777"/>
                  <c:y val="3.5433070866141734E-4"/>
                </c:manualLayout>
              </c:layout>
              <c:tx>
                <c:rich>
                  <a:bodyPr/>
                  <a:lstStyle/>
                  <a:p>
                    <a:pPr>
                      <a:defRPr/>
                    </a:pPr>
                    <a:r>
                      <a:rPr lang="en-US" baseline="0"/>
                      <a:t>y = 0.2002x </a:t>
                    </a:r>
                    <a:endParaRPr lang="en-US"/>
                  </a:p>
                </c:rich>
              </c:tx>
              <c:numFmt formatCode="General" sourceLinked="0"/>
            </c:trendlineLbl>
          </c:trendline>
          <c:xVal>
            <c:numRef>
              <c:f>OscBC!$B$115:$B$131</c:f>
              <c:numCache>
                <c:formatCode>General</c:formatCode>
                <c:ptCount val="17"/>
                <c:pt idx="0">
                  <c:v>0.12598425196850394</c:v>
                </c:pt>
                <c:pt idx="1">
                  <c:v>0.11811023622047244</c:v>
                </c:pt>
                <c:pt idx="2">
                  <c:v>0.11023622047244094</c:v>
                </c:pt>
                <c:pt idx="3">
                  <c:v>0.10236220472440945</c:v>
                </c:pt>
                <c:pt idx="4">
                  <c:v>9.4488188976377951E-2</c:v>
                </c:pt>
                <c:pt idx="5">
                  <c:v>8.6614173228346455E-2</c:v>
                </c:pt>
                <c:pt idx="6">
                  <c:v>7.874015748031496E-2</c:v>
                </c:pt>
                <c:pt idx="7">
                  <c:v>7.0866141732283464E-2</c:v>
                </c:pt>
                <c:pt idx="8">
                  <c:v>6.2992125984251968E-2</c:v>
                </c:pt>
                <c:pt idx="9">
                  <c:v>5.5118110236220472E-2</c:v>
                </c:pt>
                <c:pt idx="10">
                  <c:v>4.7244094488188976E-2</c:v>
                </c:pt>
                <c:pt idx="11">
                  <c:v>3.937007874015748E-2</c:v>
                </c:pt>
                <c:pt idx="12">
                  <c:v>3.1496062992125984E-2</c:v>
                </c:pt>
                <c:pt idx="13">
                  <c:v>2.3622047244094488E-2</c:v>
                </c:pt>
                <c:pt idx="14">
                  <c:v>1.5748031496062992E-2</c:v>
                </c:pt>
                <c:pt idx="15">
                  <c:v>7.874015748031496E-3</c:v>
                </c:pt>
                <c:pt idx="16">
                  <c:v>0</c:v>
                </c:pt>
              </c:numCache>
            </c:numRef>
          </c:xVal>
          <c:yVal>
            <c:numRef>
              <c:f>OscBC!$AE$115:$AE$131</c:f>
              <c:numCache>
                <c:formatCode>0.000</c:formatCode>
                <c:ptCount val="17"/>
                <c:pt idx="0">
                  <c:v>2.5216138328530251E-2</c:v>
                </c:pt>
                <c:pt idx="16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4118016"/>
        <c:axId val="304123904"/>
      </c:scatterChart>
      <c:valAx>
        <c:axId val="304118016"/>
        <c:scaling>
          <c:orientation val="minMax"/>
          <c:max val="1"/>
        </c:scaling>
        <c:delete val="0"/>
        <c:axPos val="b"/>
        <c:numFmt formatCode="General" sourceLinked="1"/>
        <c:majorTickMark val="out"/>
        <c:minorTickMark val="none"/>
        <c:tickLblPos val="nextTo"/>
        <c:crossAx val="304123904"/>
        <c:crosses val="autoZero"/>
        <c:crossBetween val="midCat"/>
      </c:valAx>
      <c:valAx>
        <c:axId val="304123904"/>
        <c:scaling>
          <c:orientation val="minMax"/>
          <c:max val="1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crossAx val="30411801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BC 0.02</c:v>
          </c:tx>
          <c:spPr>
            <a:ln w="28575">
              <a:noFill/>
            </a:ln>
          </c:spPr>
          <c:trendline>
            <c:trendlineType val="poly"/>
            <c:order val="2"/>
            <c:intercept val="0"/>
            <c:dispRSqr val="0"/>
            <c:dispEq val="1"/>
            <c:trendlineLbl>
              <c:layout>
                <c:manualLayout>
                  <c:x val="0.19187696266973822"/>
                  <c:y val="0.27914187809857099"/>
                </c:manualLayout>
              </c:layout>
              <c:numFmt formatCode="General" sourceLinked="0"/>
            </c:trendlineLbl>
          </c:trendline>
          <c:xVal>
            <c:numRef>
              <c:f>OscBC!$B$35:$B$99</c:f>
              <c:numCache>
                <c:formatCode>General</c:formatCode>
                <c:ptCount val="58"/>
                <c:pt idx="0">
                  <c:v>0.75590551181102361</c:v>
                </c:pt>
                <c:pt idx="1">
                  <c:v>0.69291338582677164</c:v>
                </c:pt>
                <c:pt idx="2">
                  <c:v>0.68503937007874016</c:v>
                </c:pt>
                <c:pt idx="3">
                  <c:v>0.67716535433070868</c:v>
                </c:pt>
                <c:pt idx="4">
                  <c:v>0.6692913385826772</c:v>
                </c:pt>
                <c:pt idx="5">
                  <c:v>0.66141732283464572</c:v>
                </c:pt>
                <c:pt idx="6">
                  <c:v>0.65354330708661412</c:v>
                </c:pt>
                <c:pt idx="7">
                  <c:v>0.64566929133858264</c:v>
                </c:pt>
                <c:pt idx="8">
                  <c:v>0.63779527559055116</c:v>
                </c:pt>
                <c:pt idx="9">
                  <c:v>0.62992125984251968</c:v>
                </c:pt>
                <c:pt idx="10">
                  <c:v>0.62204724409448819</c:v>
                </c:pt>
                <c:pt idx="11">
                  <c:v>0.61417322834645671</c:v>
                </c:pt>
                <c:pt idx="12">
                  <c:v>0.60629921259842523</c:v>
                </c:pt>
                <c:pt idx="13">
                  <c:v>0.59842519685039375</c:v>
                </c:pt>
                <c:pt idx="14">
                  <c:v>0.59055118110236215</c:v>
                </c:pt>
                <c:pt idx="15">
                  <c:v>0.58267716535433067</c:v>
                </c:pt>
                <c:pt idx="16">
                  <c:v>0.57480314960629919</c:v>
                </c:pt>
                <c:pt idx="17">
                  <c:v>0.56692913385826771</c:v>
                </c:pt>
                <c:pt idx="18">
                  <c:v>0.55905511811023623</c:v>
                </c:pt>
                <c:pt idx="19">
                  <c:v>0.55118110236220474</c:v>
                </c:pt>
                <c:pt idx="20">
                  <c:v>0.54330708661417326</c:v>
                </c:pt>
                <c:pt idx="21">
                  <c:v>0.53543307086614178</c:v>
                </c:pt>
                <c:pt idx="22">
                  <c:v>0.52755905511811019</c:v>
                </c:pt>
                <c:pt idx="23">
                  <c:v>0.51968503937007871</c:v>
                </c:pt>
                <c:pt idx="24">
                  <c:v>0.51181102362204722</c:v>
                </c:pt>
                <c:pt idx="25">
                  <c:v>0.50393700787401574</c:v>
                </c:pt>
                <c:pt idx="26">
                  <c:v>0.49606299212598426</c:v>
                </c:pt>
                <c:pt idx="27">
                  <c:v>0.48818897637795278</c:v>
                </c:pt>
                <c:pt idx="28">
                  <c:v>0.48031496062992124</c:v>
                </c:pt>
                <c:pt idx="29">
                  <c:v>0.47244094488188976</c:v>
                </c:pt>
                <c:pt idx="30">
                  <c:v>0.46456692913385828</c:v>
                </c:pt>
                <c:pt idx="31">
                  <c:v>0.45669291338582679</c:v>
                </c:pt>
                <c:pt idx="32">
                  <c:v>0.44881889763779526</c:v>
                </c:pt>
                <c:pt idx="33">
                  <c:v>0.44094488188976377</c:v>
                </c:pt>
                <c:pt idx="34">
                  <c:v>0.43307086614173229</c:v>
                </c:pt>
                <c:pt idx="35">
                  <c:v>0.42519685039370081</c:v>
                </c:pt>
                <c:pt idx="36">
                  <c:v>0.41732283464566927</c:v>
                </c:pt>
                <c:pt idx="37">
                  <c:v>0.40944881889763779</c:v>
                </c:pt>
                <c:pt idx="38">
                  <c:v>0.40157480314960631</c:v>
                </c:pt>
                <c:pt idx="39">
                  <c:v>0.39370078740157483</c:v>
                </c:pt>
                <c:pt idx="40">
                  <c:v>0.38582677165354329</c:v>
                </c:pt>
                <c:pt idx="41">
                  <c:v>0.37795275590551181</c:v>
                </c:pt>
                <c:pt idx="42">
                  <c:v>0.37007874015748032</c:v>
                </c:pt>
                <c:pt idx="43">
                  <c:v>0.36220472440944884</c:v>
                </c:pt>
                <c:pt idx="44">
                  <c:v>0.3543307086614173</c:v>
                </c:pt>
                <c:pt idx="45">
                  <c:v>0.34645669291338582</c:v>
                </c:pt>
                <c:pt idx="46">
                  <c:v>0.33858267716535434</c:v>
                </c:pt>
                <c:pt idx="47">
                  <c:v>0.33070866141732286</c:v>
                </c:pt>
                <c:pt idx="48">
                  <c:v>0.32283464566929132</c:v>
                </c:pt>
                <c:pt idx="49">
                  <c:v>0.31496062992125984</c:v>
                </c:pt>
                <c:pt idx="50">
                  <c:v>0.30708661417322836</c:v>
                </c:pt>
                <c:pt idx="51">
                  <c:v>0.29921259842519687</c:v>
                </c:pt>
                <c:pt idx="52">
                  <c:v>0.29133858267716534</c:v>
                </c:pt>
                <c:pt idx="53">
                  <c:v>0.28346456692913385</c:v>
                </c:pt>
                <c:pt idx="54">
                  <c:v>0.27559055118110237</c:v>
                </c:pt>
                <c:pt idx="55">
                  <c:v>0.26771653543307089</c:v>
                </c:pt>
                <c:pt idx="56">
                  <c:v>0.25984251968503935</c:v>
                </c:pt>
                <c:pt idx="57">
                  <c:v>0.25196850393700787</c:v>
                </c:pt>
              </c:numCache>
            </c:numRef>
          </c:xVal>
          <c:yVal>
            <c:numRef>
              <c:f>OscBC!$AG$35:$AG$99</c:f>
              <c:numCache>
                <c:formatCode>0.000</c:formatCode>
                <c:ptCount val="58"/>
                <c:pt idx="0">
                  <c:v>0.61222707423580791</c:v>
                </c:pt>
                <c:pt idx="9">
                  <c:v>0.43406113537117902</c:v>
                </c:pt>
                <c:pt idx="25">
                  <c:v>0.27510917030567683</c:v>
                </c:pt>
                <c:pt idx="41">
                  <c:v>0.1559825327510917</c:v>
                </c:pt>
                <c:pt idx="57">
                  <c:v>6.8995633187772923E-2</c:v>
                </c:pt>
              </c:numCache>
            </c:numRef>
          </c:yVal>
          <c:smooth val="0"/>
        </c:ser>
        <c:ser>
          <c:idx val="1"/>
          <c:order val="1"/>
          <c:tx>
            <c:v>BC 0.02 Hi</c:v>
          </c:tx>
          <c:spPr>
            <a:ln w="28575">
              <a:noFill/>
            </a:ln>
          </c:spPr>
          <c:trendline>
            <c:trendlineType val="linear"/>
            <c:dispRSqr val="0"/>
            <c:dispEq val="1"/>
            <c:trendlineLbl>
              <c:numFmt formatCode="General" sourceLinked="0"/>
            </c:trendlineLbl>
          </c:trendline>
          <c:xVal>
            <c:numRef>
              <c:f>OscBC!$B$4:$B$35</c:f>
              <c:numCache>
                <c:formatCode>General</c:formatCode>
                <c:ptCount val="32"/>
                <c:pt idx="0">
                  <c:v>1</c:v>
                </c:pt>
                <c:pt idx="1">
                  <c:v>0.99212598425196852</c:v>
                </c:pt>
                <c:pt idx="2">
                  <c:v>0.98425196850393704</c:v>
                </c:pt>
                <c:pt idx="3">
                  <c:v>0.97637795275590555</c:v>
                </c:pt>
                <c:pt idx="4">
                  <c:v>0.96850393700787396</c:v>
                </c:pt>
                <c:pt idx="5">
                  <c:v>0.96062992125984248</c:v>
                </c:pt>
                <c:pt idx="6">
                  <c:v>0.952755905511811</c:v>
                </c:pt>
                <c:pt idx="7">
                  <c:v>0.94488188976377951</c:v>
                </c:pt>
                <c:pt idx="8">
                  <c:v>0.93700787401574803</c:v>
                </c:pt>
                <c:pt idx="9">
                  <c:v>0.92913385826771655</c:v>
                </c:pt>
                <c:pt idx="10">
                  <c:v>0.92125984251968507</c:v>
                </c:pt>
                <c:pt idx="11">
                  <c:v>0.91338582677165359</c:v>
                </c:pt>
                <c:pt idx="12">
                  <c:v>0.90551181102362199</c:v>
                </c:pt>
                <c:pt idx="13">
                  <c:v>0.89763779527559051</c:v>
                </c:pt>
                <c:pt idx="14">
                  <c:v>0.88976377952755903</c:v>
                </c:pt>
                <c:pt idx="15">
                  <c:v>0.88188976377952755</c:v>
                </c:pt>
                <c:pt idx="16">
                  <c:v>0.87401574803149606</c:v>
                </c:pt>
                <c:pt idx="17">
                  <c:v>0.86614173228346458</c:v>
                </c:pt>
                <c:pt idx="18">
                  <c:v>0.8582677165354331</c:v>
                </c:pt>
                <c:pt idx="19">
                  <c:v>0.85039370078740162</c:v>
                </c:pt>
                <c:pt idx="20">
                  <c:v>0.84251968503937003</c:v>
                </c:pt>
                <c:pt idx="21">
                  <c:v>0.83464566929133854</c:v>
                </c:pt>
                <c:pt idx="22">
                  <c:v>0.82677165354330706</c:v>
                </c:pt>
                <c:pt idx="23">
                  <c:v>0.81889763779527558</c:v>
                </c:pt>
                <c:pt idx="24">
                  <c:v>0.8110236220472441</c:v>
                </c:pt>
                <c:pt idx="25">
                  <c:v>0.80314960629921262</c:v>
                </c:pt>
                <c:pt idx="26">
                  <c:v>0.79527559055118113</c:v>
                </c:pt>
                <c:pt idx="27">
                  <c:v>0.78740157480314965</c:v>
                </c:pt>
                <c:pt idx="28">
                  <c:v>0.77952755905511806</c:v>
                </c:pt>
                <c:pt idx="29">
                  <c:v>0.77165354330708658</c:v>
                </c:pt>
                <c:pt idx="30">
                  <c:v>0.76377952755905509</c:v>
                </c:pt>
                <c:pt idx="31">
                  <c:v>0.75590551181102361</c:v>
                </c:pt>
              </c:numCache>
            </c:numRef>
          </c:xVal>
          <c:yVal>
            <c:numRef>
              <c:f>OscBC!$AG$4:$AG$35</c:f>
              <c:numCache>
                <c:formatCode>0.000</c:formatCode>
                <c:ptCount val="32"/>
                <c:pt idx="0">
                  <c:v>1</c:v>
                </c:pt>
                <c:pt idx="15">
                  <c:v>0.80436681222707429</c:v>
                </c:pt>
                <c:pt idx="31">
                  <c:v>0.61222707423580791</c:v>
                </c:pt>
              </c:numCache>
            </c:numRef>
          </c:yVal>
          <c:smooth val="0"/>
        </c:ser>
        <c:ser>
          <c:idx val="2"/>
          <c:order val="2"/>
          <c:tx>
            <c:v>BC 0.02 Lo</c:v>
          </c:tx>
          <c:spPr>
            <a:ln w="28575">
              <a:noFill/>
            </a:ln>
          </c:spPr>
          <c:trendline>
            <c:trendlineType val="linear"/>
            <c:dispRSqr val="0"/>
            <c:dispEq val="1"/>
            <c:trendlineLbl>
              <c:layout>
                <c:manualLayout>
                  <c:x val="0.26111111111111113"/>
                  <c:y val="4.6726086322543013E-2"/>
                </c:manualLayout>
              </c:layout>
              <c:tx>
                <c:rich>
                  <a:bodyPr/>
                  <a:lstStyle/>
                  <a:p>
                    <a:pPr>
                      <a:defRPr/>
                    </a:pPr>
                    <a:r>
                      <a:rPr lang="en-US" baseline="0"/>
                      <a:t>y = 0.2738x </a:t>
                    </a:r>
                  </a:p>
                </c:rich>
              </c:tx>
              <c:numFmt formatCode="General" sourceLinked="0"/>
            </c:trendlineLbl>
          </c:trendline>
          <c:xVal>
            <c:numRef>
              <c:f>OscBC!$B$99:$B$131</c:f>
              <c:numCache>
                <c:formatCode>General</c:formatCode>
                <c:ptCount val="33"/>
                <c:pt idx="0">
                  <c:v>0.25196850393700787</c:v>
                </c:pt>
                <c:pt idx="1">
                  <c:v>0.24409448818897639</c:v>
                </c:pt>
                <c:pt idx="2">
                  <c:v>0.23622047244094488</c:v>
                </c:pt>
                <c:pt idx="3">
                  <c:v>0.2283464566929134</c:v>
                </c:pt>
                <c:pt idx="4">
                  <c:v>0.22047244094488189</c:v>
                </c:pt>
                <c:pt idx="5">
                  <c:v>0.2125984251968504</c:v>
                </c:pt>
                <c:pt idx="6">
                  <c:v>0.20472440944881889</c:v>
                </c:pt>
                <c:pt idx="7">
                  <c:v>0.19685039370078741</c:v>
                </c:pt>
                <c:pt idx="8">
                  <c:v>0.1889763779527559</c:v>
                </c:pt>
                <c:pt idx="9">
                  <c:v>0.18110236220472442</c:v>
                </c:pt>
                <c:pt idx="10">
                  <c:v>0.17322834645669291</c:v>
                </c:pt>
                <c:pt idx="11">
                  <c:v>0.16535433070866143</c:v>
                </c:pt>
                <c:pt idx="12">
                  <c:v>0.15748031496062992</c:v>
                </c:pt>
                <c:pt idx="13">
                  <c:v>0.14960629921259844</c:v>
                </c:pt>
                <c:pt idx="14">
                  <c:v>0.14173228346456693</c:v>
                </c:pt>
                <c:pt idx="15">
                  <c:v>0.13385826771653545</c:v>
                </c:pt>
                <c:pt idx="16">
                  <c:v>0.12598425196850394</c:v>
                </c:pt>
                <c:pt idx="17">
                  <c:v>0.11811023622047244</c:v>
                </c:pt>
                <c:pt idx="18">
                  <c:v>0.11023622047244094</c:v>
                </c:pt>
                <c:pt idx="19">
                  <c:v>0.10236220472440945</c:v>
                </c:pt>
                <c:pt idx="20">
                  <c:v>9.4488188976377951E-2</c:v>
                </c:pt>
                <c:pt idx="21">
                  <c:v>8.6614173228346455E-2</c:v>
                </c:pt>
                <c:pt idx="22">
                  <c:v>7.874015748031496E-2</c:v>
                </c:pt>
                <c:pt idx="23">
                  <c:v>7.0866141732283464E-2</c:v>
                </c:pt>
                <c:pt idx="24">
                  <c:v>6.2992125984251968E-2</c:v>
                </c:pt>
                <c:pt idx="25">
                  <c:v>5.5118110236220472E-2</c:v>
                </c:pt>
                <c:pt idx="26">
                  <c:v>4.7244094488188976E-2</c:v>
                </c:pt>
                <c:pt idx="27">
                  <c:v>3.937007874015748E-2</c:v>
                </c:pt>
                <c:pt idx="28">
                  <c:v>3.1496062992125984E-2</c:v>
                </c:pt>
                <c:pt idx="29">
                  <c:v>2.3622047244094488E-2</c:v>
                </c:pt>
                <c:pt idx="30">
                  <c:v>1.5748031496062992E-2</c:v>
                </c:pt>
                <c:pt idx="31">
                  <c:v>7.874015748031496E-3</c:v>
                </c:pt>
                <c:pt idx="32">
                  <c:v>0</c:v>
                </c:pt>
              </c:numCache>
            </c:numRef>
          </c:xVal>
          <c:yVal>
            <c:numRef>
              <c:f>OscBC!$AG$99:$AG$131</c:f>
              <c:numCache>
                <c:formatCode>0.000</c:formatCode>
                <c:ptCount val="33"/>
                <c:pt idx="0">
                  <c:v>6.8995633187772923E-2</c:v>
                </c:pt>
                <c:pt idx="16">
                  <c:v>3.5000000000000003E-2</c:v>
                </c:pt>
                <c:pt idx="32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4156032"/>
        <c:axId val="304178304"/>
      </c:scatterChart>
      <c:valAx>
        <c:axId val="304156032"/>
        <c:scaling>
          <c:orientation val="minMax"/>
          <c:max val="1"/>
        </c:scaling>
        <c:delete val="0"/>
        <c:axPos val="b"/>
        <c:numFmt formatCode="General" sourceLinked="1"/>
        <c:majorTickMark val="out"/>
        <c:minorTickMark val="none"/>
        <c:tickLblPos val="nextTo"/>
        <c:crossAx val="304178304"/>
        <c:crosses val="autoZero"/>
        <c:crossBetween val="midCat"/>
      </c:valAx>
      <c:valAx>
        <c:axId val="304178304"/>
        <c:scaling>
          <c:orientation val="minMax"/>
          <c:max val="1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crossAx val="30415603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BC 0</c:v>
          </c:tx>
          <c:spPr>
            <a:ln w="28575">
              <a:noFill/>
            </a:ln>
          </c:spPr>
          <c:trendline>
            <c:trendlineType val="poly"/>
            <c:order val="2"/>
            <c:intercept val="0"/>
            <c:dispRSqr val="0"/>
            <c:dispEq val="1"/>
            <c:trendlineLbl>
              <c:layout>
                <c:manualLayout>
                  <c:x val="-0.18724956255468067"/>
                  <c:y val="0.28667796733741613"/>
                </c:manualLayout>
              </c:layout>
              <c:numFmt formatCode="General" sourceLinked="0"/>
            </c:trendlineLbl>
          </c:trendline>
          <c:xVal>
            <c:numRef>
              <c:f>OscBC!$B$4:$B$115</c:f>
              <c:numCache>
                <c:formatCode>General</c:formatCode>
                <c:ptCount val="105"/>
                <c:pt idx="0">
                  <c:v>1</c:v>
                </c:pt>
                <c:pt idx="1">
                  <c:v>0.99212598425196852</c:v>
                </c:pt>
                <c:pt idx="2">
                  <c:v>0.98425196850393704</c:v>
                </c:pt>
                <c:pt idx="3">
                  <c:v>0.97637795275590555</c:v>
                </c:pt>
                <c:pt idx="4">
                  <c:v>0.96850393700787396</c:v>
                </c:pt>
                <c:pt idx="5">
                  <c:v>0.96062992125984248</c:v>
                </c:pt>
                <c:pt idx="6">
                  <c:v>0.952755905511811</c:v>
                </c:pt>
                <c:pt idx="7">
                  <c:v>0.94488188976377951</c:v>
                </c:pt>
                <c:pt idx="8">
                  <c:v>0.93700787401574803</c:v>
                </c:pt>
                <c:pt idx="9">
                  <c:v>0.92913385826771655</c:v>
                </c:pt>
                <c:pt idx="10">
                  <c:v>0.92125984251968507</c:v>
                </c:pt>
                <c:pt idx="11">
                  <c:v>0.91338582677165359</c:v>
                </c:pt>
                <c:pt idx="12">
                  <c:v>0.90551181102362199</c:v>
                </c:pt>
                <c:pt idx="13">
                  <c:v>0.89763779527559051</c:v>
                </c:pt>
                <c:pt idx="14">
                  <c:v>0.88976377952755903</c:v>
                </c:pt>
                <c:pt idx="15">
                  <c:v>0.88188976377952755</c:v>
                </c:pt>
                <c:pt idx="16">
                  <c:v>0.87401574803149606</c:v>
                </c:pt>
                <c:pt idx="17">
                  <c:v>0.86614173228346458</c:v>
                </c:pt>
                <c:pt idx="18">
                  <c:v>0.8582677165354331</c:v>
                </c:pt>
                <c:pt idx="19">
                  <c:v>0.85039370078740162</c:v>
                </c:pt>
                <c:pt idx="20">
                  <c:v>0.84251968503937003</c:v>
                </c:pt>
                <c:pt idx="21">
                  <c:v>0.83464566929133854</c:v>
                </c:pt>
                <c:pt idx="22">
                  <c:v>0.82677165354330706</c:v>
                </c:pt>
                <c:pt idx="23">
                  <c:v>0.81889763779527558</c:v>
                </c:pt>
                <c:pt idx="24">
                  <c:v>0.8110236220472441</c:v>
                </c:pt>
                <c:pt idx="25">
                  <c:v>0.80314960629921262</c:v>
                </c:pt>
                <c:pt idx="26">
                  <c:v>0.79527559055118113</c:v>
                </c:pt>
                <c:pt idx="27">
                  <c:v>0.78740157480314965</c:v>
                </c:pt>
                <c:pt idx="28">
                  <c:v>0.77952755905511806</c:v>
                </c:pt>
                <c:pt idx="29">
                  <c:v>0.77165354330708658</c:v>
                </c:pt>
                <c:pt idx="30">
                  <c:v>0.76377952755905509</c:v>
                </c:pt>
                <c:pt idx="31">
                  <c:v>0.75590551181102361</c:v>
                </c:pt>
                <c:pt idx="32">
                  <c:v>0.69291338582677164</c:v>
                </c:pt>
                <c:pt idx="33">
                  <c:v>0.68503937007874016</c:v>
                </c:pt>
                <c:pt idx="34">
                  <c:v>0.67716535433070868</c:v>
                </c:pt>
                <c:pt idx="35">
                  <c:v>0.6692913385826772</c:v>
                </c:pt>
                <c:pt idx="36">
                  <c:v>0.66141732283464572</c:v>
                </c:pt>
                <c:pt idx="37">
                  <c:v>0.65354330708661412</c:v>
                </c:pt>
                <c:pt idx="38">
                  <c:v>0.64566929133858264</c:v>
                </c:pt>
                <c:pt idx="39">
                  <c:v>0.63779527559055116</c:v>
                </c:pt>
                <c:pt idx="40">
                  <c:v>0.62992125984251968</c:v>
                </c:pt>
                <c:pt idx="41">
                  <c:v>0.62204724409448819</c:v>
                </c:pt>
                <c:pt idx="42">
                  <c:v>0.61417322834645671</c:v>
                </c:pt>
                <c:pt idx="43">
                  <c:v>0.60629921259842523</c:v>
                </c:pt>
                <c:pt idx="44">
                  <c:v>0.59842519685039375</c:v>
                </c:pt>
                <c:pt idx="45">
                  <c:v>0.59055118110236215</c:v>
                </c:pt>
                <c:pt idx="46">
                  <c:v>0.58267716535433067</c:v>
                </c:pt>
                <c:pt idx="47">
                  <c:v>0.57480314960629919</c:v>
                </c:pt>
                <c:pt idx="48">
                  <c:v>0.56692913385826771</c:v>
                </c:pt>
                <c:pt idx="49">
                  <c:v>0.55905511811023623</c:v>
                </c:pt>
                <c:pt idx="50">
                  <c:v>0.55118110236220474</c:v>
                </c:pt>
                <c:pt idx="51">
                  <c:v>0.54330708661417326</c:v>
                </c:pt>
                <c:pt idx="52">
                  <c:v>0.53543307086614178</c:v>
                </c:pt>
                <c:pt idx="53">
                  <c:v>0.52755905511811019</c:v>
                </c:pt>
                <c:pt idx="54">
                  <c:v>0.51968503937007871</c:v>
                </c:pt>
                <c:pt idx="55">
                  <c:v>0.51181102362204722</c:v>
                </c:pt>
                <c:pt idx="56">
                  <c:v>0.50393700787401574</c:v>
                </c:pt>
                <c:pt idx="57">
                  <c:v>0.49606299212598426</c:v>
                </c:pt>
                <c:pt idx="58">
                  <c:v>0.48818897637795278</c:v>
                </c:pt>
                <c:pt idx="59">
                  <c:v>0.48031496062992124</c:v>
                </c:pt>
                <c:pt idx="60">
                  <c:v>0.47244094488188976</c:v>
                </c:pt>
                <c:pt idx="61">
                  <c:v>0.46456692913385828</c:v>
                </c:pt>
                <c:pt idx="62">
                  <c:v>0.45669291338582679</c:v>
                </c:pt>
                <c:pt idx="63">
                  <c:v>0.44881889763779526</c:v>
                </c:pt>
                <c:pt idx="64">
                  <c:v>0.44094488188976377</c:v>
                </c:pt>
                <c:pt idx="65">
                  <c:v>0.43307086614173229</c:v>
                </c:pt>
                <c:pt idx="66">
                  <c:v>0.42519685039370081</c:v>
                </c:pt>
                <c:pt idx="67">
                  <c:v>0.41732283464566927</c:v>
                </c:pt>
                <c:pt idx="68">
                  <c:v>0.40944881889763779</c:v>
                </c:pt>
                <c:pt idx="69">
                  <c:v>0.40157480314960631</c:v>
                </c:pt>
                <c:pt idx="70">
                  <c:v>0.39370078740157483</c:v>
                </c:pt>
                <c:pt idx="71">
                  <c:v>0.38582677165354329</c:v>
                </c:pt>
                <c:pt idx="72">
                  <c:v>0.37795275590551181</c:v>
                </c:pt>
                <c:pt idx="73">
                  <c:v>0.37007874015748032</c:v>
                </c:pt>
                <c:pt idx="74">
                  <c:v>0.36220472440944884</c:v>
                </c:pt>
                <c:pt idx="75">
                  <c:v>0.3543307086614173</c:v>
                </c:pt>
                <c:pt idx="76">
                  <c:v>0.34645669291338582</c:v>
                </c:pt>
                <c:pt idx="77">
                  <c:v>0.33858267716535434</c:v>
                </c:pt>
                <c:pt idx="78">
                  <c:v>0.33070866141732286</c:v>
                </c:pt>
                <c:pt idx="79">
                  <c:v>0.32283464566929132</c:v>
                </c:pt>
                <c:pt idx="80">
                  <c:v>0.31496062992125984</c:v>
                </c:pt>
                <c:pt idx="81">
                  <c:v>0.30708661417322836</c:v>
                </c:pt>
                <c:pt idx="82">
                  <c:v>0.29921259842519687</c:v>
                </c:pt>
                <c:pt idx="83">
                  <c:v>0.29133858267716534</c:v>
                </c:pt>
                <c:pt idx="84">
                  <c:v>0.28346456692913385</c:v>
                </c:pt>
                <c:pt idx="85">
                  <c:v>0.27559055118110237</c:v>
                </c:pt>
                <c:pt idx="86">
                  <c:v>0.26771653543307089</c:v>
                </c:pt>
                <c:pt idx="87">
                  <c:v>0.25984251968503935</c:v>
                </c:pt>
                <c:pt idx="88">
                  <c:v>0.25196850393700787</c:v>
                </c:pt>
                <c:pt idx="89">
                  <c:v>0.24409448818897639</c:v>
                </c:pt>
                <c:pt idx="90">
                  <c:v>0.23622047244094488</c:v>
                </c:pt>
                <c:pt idx="91">
                  <c:v>0.2283464566929134</c:v>
                </c:pt>
                <c:pt idx="92">
                  <c:v>0.22047244094488189</c:v>
                </c:pt>
                <c:pt idx="93">
                  <c:v>0.2125984251968504</c:v>
                </c:pt>
                <c:pt idx="94">
                  <c:v>0.20472440944881889</c:v>
                </c:pt>
                <c:pt idx="95">
                  <c:v>0.19685039370078741</c:v>
                </c:pt>
                <c:pt idx="96">
                  <c:v>0.1889763779527559</c:v>
                </c:pt>
                <c:pt idx="97">
                  <c:v>0.18110236220472442</c:v>
                </c:pt>
                <c:pt idx="98">
                  <c:v>0.17322834645669291</c:v>
                </c:pt>
                <c:pt idx="99">
                  <c:v>0.16535433070866143</c:v>
                </c:pt>
                <c:pt idx="100">
                  <c:v>0.15748031496062992</c:v>
                </c:pt>
                <c:pt idx="101">
                  <c:v>0.14960629921259844</c:v>
                </c:pt>
                <c:pt idx="102">
                  <c:v>0.14173228346456693</c:v>
                </c:pt>
                <c:pt idx="103">
                  <c:v>0.13385826771653545</c:v>
                </c:pt>
                <c:pt idx="104">
                  <c:v>0.12598425196850394</c:v>
                </c:pt>
              </c:numCache>
            </c:numRef>
          </c:xVal>
          <c:yVal>
            <c:numRef>
              <c:f>OscBC!$AJ$4:$AJ$115</c:f>
              <c:numCache>
                <c:formatCode>0.000</c:formatCode>
                <c:ptCount val="105"/>
                <c:pt idx="0">
                  <c:v>1</c:v>
                </c:pt>
                <c:pt idx="4">
                  <c:v>0.94596541786743515</c:v>
                </c:pt>
                <c:pt idx="7">
                  <c:v>0.89913544668587886</c:v>
                </c:pt>
                <c:pt idx="11">
                  <c:v>0.83789625360230535</c:v>
                </c:pt>
                <c:pt idx="15">
                  <c:v>0.77118341079728281</c:v>
                </c:pt>
                <c:pt idx="17">
                  <c:v>0.74258133714694319</c:v>
                </c:pt>
                <c:pt idx="19">
                  <c:v>0.71755452270289599</c:v>
                </c:pt>
                <c:pt idx="23">
                  <c:v>0.66035037540221664</c:v>
                </c:pt>
                <c:pt idx="27">
                  <c:v>0.61029674651412225</c:v>
                </c:pt>
                <c:pt idx="31">
                  <c:v>0.55666785841973543</c:v>
                </c:pt>
                <c:pt idx="40">
                  <c:v>0.37432963889882021</c:v>
                </c:pt>
                <c:pt idx="56">
                  <c:v>0.22524132999642474</c:v>
                </c:pt>
                <c:pt idx="72">
                  <c:v>0.11476582052198783</c:v>
                </c:pt>
                <c:pt idx="88">
                  <c:v>3.897032534858777E-2</c:v>
                </c:pt>
                <c:pt idx="104">
                  <c:v>3.2177332856632057E-3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4215552"/>
        <c:axId val="304217088"/>
      </c:scatterChart>
      <c:valAx>
        <c:axId val="304215552"/>
        <c:scaling>
          <c:orientation val="minMax"/>
          <c:max val="1"/>
        </c:scaling>
        <c:delete val="0"/>
        <c:axPos val="b"/>
        <c:numFmt formatCode="General" sourceLinked="1"/>
        <c:majorTickMark val="out"/>
        <c:minorTickMark val="none"/>
        <c:tickLblPos val="nextTo"/>
        <c:crossAx val="304217088"/>
        <c:crosses val="autoZero"/>
        <c:crossBetween val="midCat"/>
      </c:valAx>
      <c:valAx>
        <c:axId val="304217088"/>
        <c:scaling>
          <c:orientation val="minMax"/>
          <c:max val="1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crossAx val="30421555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1"/>
          <c:order val="0"/>
          <c:tx>
            <c:v>BC-0.1</c:v>
          </c:tx>
          <c:spPr>
            <a:ln w="28575">
              <a:noFill/>
            </a:ln>
          </c:spPr>
          <c:marker>
            <c:symbol val="square"/>
            <c:size val="3"/>
          </c:marker>
          <c:trendline>
            <c:trendlineType val="poly"/>
            <c:order val="2"/>
            <c:dispRSqr val="0"/>
            <c:dispEq val="1"/>
            <c:trendlineLbl>
              <c:layout>
                <c:manualLayout>
                  <c:x val="0.21332345746735634"/>
                  <c:y val="0.41948591166322369"/>
                </c:manualLayout>
              </c:layout>
              <c:numFmt formatCode="General" sourceLinked="0"/>
            </c:trendlineLbl>
          </c:trendline>
          <c:xVal>
            <c:numRef>
              <c:f>OscBC!$B$17:$B$99</c:f>
              <c:numCache>
                <c:formatCode>General</c:formatCode>
                <c:ptCount val="76"/>
                <c:pt idx="0">
                  <c:v>0.89763779527559051</c:v>
                </c:pt>
                <c:pt idx="1">
                  <c:v>0.88976377952755903</c:v>
                </c:pt>
                <c:pt idx="2">
                  <c:v>0.88188976377952755</c:v>
                </c:pt>
                <c:pt idx="3">
                  <c:v>0.87401574803149606</c:v>
                </c:pt>
                <c:pt idx="4">
                  <c:v>0.86614173228346458</c:v>
                </c:pt>
                <c:pt idx="5">
                  <c:v>0.8582677165354331</c:v>
                </c:pt>
                <c:pt idx="6">
                  <c:v>0.85039370078740162</c:v>
                </c:pt>
                <c:pt idx="7">
                  <c:v>0.84251968503937003</c:v>
                </c:pt>
                <c:pt idx="8">
                  <c:v>0.83464566929133854</c:v>
                </c:pt>
                <c:pt idx="9">
                  <c:v>0.82677165354330706</c:v>
                </c:pt>
                <c:pt idx="10">
                  <c:v>0.81889763779527558</c:v>
                </c:pt>
                <c:pt idx="11">
                  <c:v>0.8110236220472441</c:v>
                </c:pt>
                <c:pt idx="12">
                  <c:v>0.80314960629921262</c:v>
                </c:pt>
                <c:pt idx="13">
                  <c:v>0.79527559055118113</c:v>
                </c:pt>
                <c:pt idx="14">
                  <c:v>0.78740157480314965</c:v>
                </c:pt>
                <c:pt idx="15">
                  <c:v>0.77952755905511806</c:v>
                </c:pt>
                <c:pt idx="16">
                  <c:v>0.77165354330708658</c:v>
                </c:pt>
                <c:pt idx="17">
                  <c:v>0.76377952755905509</c:v>
                </c:pt>
                <c:pt idx="18">
                  <c:v>0.75590551181102361</c:v>
                </c:pt>
                <c:pt idx="19">
                  <c:v>0.69291338582677164</c:v>
                </c:pt>
                <c:pt idx="20">
                  <c:v>0.68503937007874016</c:v>
                </c:pt>
                <c:pt idx="21">
                  <c:v>0.67716535433070868</c:v>
                </c:pt>
                <c:pt idx="22">
                  <c:v>0.6692913385826772</c:v>
                </c:pt>
                <c:pt idx="23">
                  <c:v>0.66141732283464572</c:v>
                </c:pt>
                <c:pt idx="24">
                  <c:v>0.65354330708661412</c:v>
                </c:pt>
                <c:pt idx="25">
                  <c:v>0.64566929133858264</c:v>
                </c:pt>
                <c:pt idx="26">
                  <c:v>0.63779527559055116</c:v>
                </c:pt>
                <c:pt idx="27">
                  <c:v>0.62992125984251968</c:v>
                </c:pt>
                <c:pt idx="28">
                  <c:v>0.62204724409448819</c:v>
                </c:pt>
                <c:pt idx="29">
                  <c:v>0.61417322834645671</c:v>
                </c:pt>
                <c:pt idx="30">
                  <c:v>0.60629921259842523</c:v>
                </c:pt>
                <c:pt idx="31">
                  <c:v>0.59842519685039375</c:v>
                </c:pt>
                <c:pt idx="32">
                  <c:v>0.59055118110236215</c:v>
                </c:pt>
                <c:pt idx="33">
                  <c:v>0.58267716535433067</c:v>
                </c:pt>
                <c:pt idx="34">
                  <c:v>0.57480314960629919</c:v>
                </c:pt>
                <c:pt idx="35">
                  <c:v>0.56692913385826771</c:v>
                </c:pt>
                <c:pt idx="36">
                  <c:v>0.55905511811023623</c:v>
                </c:pt>
                <c:pt idx="37">
                  <c:v>0.55118110236220474</c:v>
                </c:pt>
                <c:pt idx="38">
                  <c:v>0.54330708661417326</c:v>
                </c:pt>
                <c:pt idx="39">
                  <c:v>0.53543307086614178</c:v>
                </c:pt>
                <c:pt idx="40">
                  <c:v>0.52755905511811019</c:v>
                </c:pt>
                <c:pt idx="41">
                  <c:v>0.51968503937007871</c:v>
                </c:pt>
                <c:pt idx="42">
                  <c:v>0.51181102362204722</c:v>
                </c:pt>
                <c:pt idx="43">
                  <c:v>0.50393700787401574</c:v>
                </c:pt>
                <c:pt idx="44">
                  <c:v>0.49606299212598426</c:v>
                </c:pt>
                <c:pt idx="45">
                  <c:v>0.48818897637795278</c:v>
                </c:pt>
                <c:pt idx="46">
                  <c:v>0.48031496062992124</c:v>
                </c:pt>
                <c:pt idx="47">
                  <c:v>0.47244094488188976</c:v>
                </c:pt>
                <c:pt idx="48">
                  <c:v>0.46456692913385828</c:v>
                </c:pt>
                <c:pt idx="49">
                  <c:v>0.45669291338582679</c:v>
                </c:pt>
                <c:pt idx="50">
                  <c:v>0.44881889763779526</c:v>
                </c:pt>
                <c:pt idx="51">
                  <c:v>0.44094488188976377</c:v>
                </c:pt>
                <c:pt idx="52">
                  <c:v>0.43307086614173229</c:v>
                </c:pt>
                <c:pt idx="53">
                  <c:v>0.42519685039370081</c:v>
                </c:pt>
                <c:pt idx="54">
                  <c:v>0.41732283464566927</c:v>
                </c:pt>
                <c:pt idx="55">
                  <c:v>0.40944881889763779</c:v>
                </c:pt>
                <c:pt idx="56">
                  <c:v>0.40157480314960631</c:v>
                </c:pt>
                <c:pt idx="57">
                  <c:v>0.39370078740157483</c:v>
                </c:pt>
                <c:pt idx="58">
                  <c:v>0.38582677165354329</c:v>
                </c:pt>
                <c:pt idx="59">
                  <c:v>0.37795275590551181</c:v>
                </c:pt>
                <c:pt idx="60">
                  <c:v>0.37007874015748032</c:v>
                </c:pt>
                <c:pt idx="61">
                  <c:v>0.36220472440944884</c:v>
                </c:pt>
                <c:pt idx="62">
                  <c:v>0.3543307086614173</c:v>
                </c:pt>
                <c:pt idx="63">
                  <c:v>0.34645669291338582</c:v>
                </c:pt>
                <c:pt idx="64">
                  <c:v>0.33858267716535434</c:v>
                </c:pt>
                <c:pt idx="65">
                  <c:v>0.33070866141732286</c:v>
                </c:pt>
                <c:pt idx="66">
                  <c:v>0.32283464566929132</c:v>
                </c:pt>
                <c:pt idx="67">
                  <c:v>0.31496062992125984</c:v>
                </c:pt>
                <c:pt idx="68">
                  <c:v>0.30708661417322836</c:v>
                </c:pt>
                <c:pt idx="69">
                  <c:v>0.29921259842519687</c:v>
                </c:pt>
                <c:pt idx="70">
                  <c:v>0.29133858267716534</c:v>
                </c:pt>
                <c:pt idx="71">
                  <c:v>0.28346456692913385</c:v>
                </c:pt>
                <c:pt idx="72">
                  <c:v>0.27559055118110237</c:v>
                </c:pt>
                <c:pt idx="73">
                  <c:v>0.26771653543307089</c:v>
                </c:pt>
                <c:pt idx="74">
                  <c:v>0.25984251968503935</c:v>
                </c:pt>
                <c:pt idx="75">
                  <c:v>0.25196850393700787</c:v>
                </c:pt>
              </c:numCache>
            </c:numRef>
          </c:xVal>
          <c:yVal>
            <c:numRef>
              <c:f>OscBC!$AO$17:$AO$99</c:f>
              <c:numCache>
                <c:formatCode>0.000</c:formatCode>
                <c:ptCount val="76"/>
                <c:pt idx="0">
                  <c:v>0.63520453338055594</c:v>
                </c:pt>
                <c:pt idx="1">
                  <c:v>0.61749601558349554</c:v>
                </c:pt>
                <c:pt idx="2">
                  <c:v>0.60687090490525941</c:v>
                </c:pt>
                <c:pt idx="6">
                  <c:v>0.55374535151407822</c:v>
                </c:pt>
                <c:pt idx="10">
                  <c:v>0.51398601398601396</c:v>
                </c:pt>
                <c:pt idx="18">
                  <c:v>0.42270231981583134</c:v>
                </c:pt>
                <c:pt idx="19">
                  <c:v>0.34088896759341242</c:v>
                </c:pt>
                <c:pt idx="27">
                  <c:v>0.26651319284575881</c:v>
                </c:pt>
                <c:pt idx="43">
                  <c:v>0.14928280502921903</c:v>
                </c:pt>
                <c:pt idx="59">
                  <c:v>6.3927749247387991E-2</c:v>
                </c:pt>
                <c:pt idx="75">
                  <c:v>1.9302284398795815E-2</c:v>
                </c:pt>
              </c:numCache>
            </c:numRef>
          </c:yVal>
          <c:smooth val="0"/>
        </c:ser>
        <c:ser>
          <c:idx val="0"/>
          <c:order val="1"/>
          <c:tx>
            <c:v>BC -0.1 Hi</c:v>
          </c:tx>
          <c:spPr>
            <a:ln w="28575">
              <a:noFill/>
            </a:ln>
          </c:spPr>
          <c:trendline>
            <c:trendlineType val="linear"/>
            <c:dispRSqr val="0"/>
            <c:dispEq val="1"/>
            <c:trendlineLbl>
              <c:numFmt formatCode="General" sourceLinked="0"/>
            </c:trendlineLbl>
          </c:trendline>
          <c:xVal>
            <c:numRef>
              <c:f>OscBC!$B$4:$B$17</c:f>
              <c:numCache>
                <c:formatCode>General</c:formatCode>
                <c:ptCount val="14"/>
                <c:pt idx="0">
                  <c:v>1</c:v>
                </c:pt>
                <c:pt idx="1">
                  <c:v>0.99212598425196852</c:v>
                </c:pt>
                <c:pt idx="2">
                  <c:v>0.98425196850393704</c:v>
                </c:pt>
                <c:pt idx="3">
                  <c:v>0.97637795275590555</c:v>
                </c:pt>
                <c:pt idx="4">
                  <c:v>0.96850393700787396</c:v>
                </c:pt>
                <c:pt idx="5">
                  <c:v>0.96062992125984248</c:v>
                </c:pt>
                <c:pt idx="6">
                  <c:v>0.952755905511811</c:v>
                </c:pt>
                <c:pt idx="7">
                  <c:v>0.94488188976377951</c:v>
                </c:pt>
                <c:pt idx="8">
                  <c:v>0.93700787401574803</c:v>
                </c:pt>
                <c:pt idx="9">
                  <c:v>0.92913385826771655</c:v>
                </c:pt>
                <c:pt idx="10">
                  <c:v>0.92125984251968507</c:v>
                </c:pt>
                <c:pt idx="11">
                  <c:v>0.91338582677165359</c:v>
                </c:pt>
                <c:pt idx="12">
                  <c:v>0.90551181102362199</c:v>
                </c:pt>
                <c:pt idx="13">
                  <c:v>0.89763779527559051</c:v>
                </c:pt>
              </c:numCache>
            </c:numRef>
          </c:xVal>
          <c:yVal>
            <c:numRef>
              <c:f>OscBC!$AO$4:$AO$17</c:f>
              <c:numCache>
                <c:formatCode>0.000</c:formatCode>
                <c:ptCount val="14"/>
                <c:pt idx="0">
                  <c:v>1</c:v>
                </c:pt>
                <c:pt idx="7">
                  <c:v>0.78749778643527524</c:v>
                </c:pt>
                <c:pt idx="11">
                  <c:v>0.68478838321232505</c:v>
                </c:pt>
                <c:pt idx="12">
                  <c:v>0.65999645829644049</c:v>
                </c:pt>
                <c:pt idx="13">
                  <c:v>0.63520453338055594</c:v>
                </c:pt>
              </c:numCache>
            </c:numRef>
          </c:yVal>
          <c:smooth val="0"/>
        </c:ser>
        <c:ser>
          <c:idx val="2"/>
          <c:order val="2"/>
          <c:tx>
            <c:v>BC -0.1 Lo</c:v>
          </c:tx>
          <c:spPr>
            <a:ln w="28575">
              <a:noFill/>
            </a:ln>
          </c:spPr>
          <c:trendline>
            <c:trendlineType val="linear"/>
            <c:intercept val="0"/>
            <c:dispRSqr val="0"/>
            <c:dispEq val="1"/>
            <c:trendlineLbl>
              <c:layout>
                <c:manualLayout>
                  <c:x val="0.23217065605033704"/>
                  <c:y val="1.4798275359655815E-2"/>
                </c:manualLayout>
              </c:layout>
              <c:numFmt formatCode="General" sourceLinked="0"/>
            </c:trendlineLbl>
          </c:trendline>
          <c:xVal>
            <c:numRef>
              <c:f>OscBC!$B$99:$B$131</c:f>
              <c:numCache>
                <c:formatCode>General</c:formatCode>
                <c:ptCount val="33"/>
                <c:pt idx="0">
                  <c:v>0.25196850393700787</c:v>
                </c:pt>
                <c:pt idx="1">
                  <c:v>0.24409448818897639</c:v>
                </c:pt>
                <c:pt idx="2">
                  <c:v>0.23622047244094488</c:v>
                </c:pt>
                <c:pt idx="3">
                  <c:v>0.2283464566929134</c:v>
                </c:pt>
                <c:pt idx="4">
                  <c:v>0.22047244094488189</c:v>
                </c:pt>
                <c:pt idx="5">
                  <c:v>0.2125984251968504</c:v>
                </c:pt>
                <c:pt idx="6">
                  <c:v>0.20472440944881889</c:v>
                </c:pt>
                <c:pt idx="7">
                  <c:v>0.19685039370078741</c:v>
                </c:pt>
                <c:pt idx="8">
                  <c:v>0.1889763779527559</c:v>
                </c:pt>
                <c:pt idx="9">
                  <c:v>0.18110236220472442</c:v>
                </c:pt>
                <c:pt idx="10">
                  <c:v>0.17322834645669291</c:v>
                </c:pt>
                <c:pt idx="11">
                  <c:v>0.16535433070866143</c:v>
                </c:pt>
                <c:pt idx="12">
                  <c:v>0.15748031496062992</c:v>
                </c:pt>
                <c:pt idx="13">
                  <c:v>0.14960629921259844</c:v>
                </c:pt>
                <c:pt idx="14">
                  <c:v>0.14173228346456693</c:v>
                </c:pt>
                <c:pt idx="15">
                  <c:v>0.13385826771653545</c:v>
                </c:pt>
                <c:pt idx="16">
                  <c:v>0.12598425196850394</c:v>
                </c:pt>
                <c:pt idx="17">
                  <c:v>0.11811023622047244</c:v>
                </c:pt>
                <c:pt idx="18">
                  <c:v>0.11023622047244094</c:v>
                </c:pt>
                <c:pt idx="19">
                  <c:v>0.10236220472440945</c:v>
                </c:pt>
                <c:pt idx="20">
                  <c:v>9.4488188976377951E-2</c:v>
                </c:pt>
                <c:pt idx="21">
                  <c:v>8.6614173228346455E-2</c:v>
                </c:pt>
                <c:pt idx="22">
                  <c:v>7.874015748031496E-2</c:v>
                </c:pt>
                <c:pt idx="23">
                  <c:v>7.0866141732283464E-2</c:v>
                </c:pt>
                <c:pt idx="24">
                  <c:v>6.2992125984251968E-2</c:v>
                </c:pt>
                <c:pt idx="25">
                  <c:v>5.5118110236220472E-2</c:v>
                </c:pt>
                <c:pt idx="26">
                  <c:v>4.7244094488188976E-2</c:v>
                </c:pt>
                <c:pt idx="27">
                  <c:v>3.937007874015748E-2</c:v>
                </c:pt>
                <c:pt idx="28">
                  <c:v>3.1496062992125984E-2</c:v>
                </c:pt>
                <c:pt idx="29">
                  <c:v>2.3622047244094488E-2</c:v>
                </c:pt>
                <c:pt idx="30">
                  <c:v>1.5748031496062992E-2</c:v>
                </c:pt>
                <c:pt idx="31">
                  <c:v>7.874015748031496E-3</c:v>
                </c:pt>
                <c:pt idx="32">
                  <c:v>0</c:v>
                </c:pt>
              </c:numCache>
            </c:numRef>
          </c:xVal>
          <c:yVal>
            <c:numRef>
              <c:f>OscBC!$AO$99:$AO$131</c:f>
              <c:numCache>
                <c:formatCode>0.000</c:formatCode>
                <c:ptCount val="33"/>
                <c:pt idx="0">
                  <c:v>1.9302284398795815E-2</c:v>
                </c:pt>
                <c:pt idx="16">
                  <c:v>1.5229325305471937E-3</c:v>
                </c:pt>
                <c:pt idx="32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4253952"/>
        <c:axId val="304268032"/>
      </c:scatterChart>
      <c:valAx>
        <c:axId val="304253952"/>
        <c:scaling>
          <c:orientation val="minMax"/>
          <c:max val="1"/>
        </c:scaling>
        <c:delete val="0"/>
        <c:axPos val="b"/>
        <c:numFmt formatCode="General" sourceLinked="1"/>
        <c:majorTickMark val="out"/>
        <c:minorTickMark val="none"/>
        <c:tickLblPos val="nextTo"/>
        <c:crossAx val="304268032"/>
        <c:crosses val="autoZero"/>
        <c:crossBetween val="midCat"/>
      </c:valAx>
      <c:valAx>
        <c:axId val="304268032"/>
        <c:scaling>
          <c:orientation val="minMax"/>
          <c:max val="1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crossAx val="30425395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BC -0.5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OscBC!$B$11:$B$35</c:f>
              <c:numCache>
                <c:formatCode>General</c:formatCode>
                <c:ptCount val="25"/>
                <c:pt idx="0">
                  <c:v>0.94488188976377951</c:v>
                </c:pt>
                <c:pt idx="1">
                  <c:v>0.93700787401574803</c:v>
                </c:pt>
                <c:pt idx="2">
                  <c:v>0.92913385826771655</c:v>
                </c:pt>
                <c:pt idx="3">
                  <c:v>0.92125984251968507</c:v>
                </c:pt>
                <c:pt idx="4">
                  <c:v>0.91338582677165359</c:v>
                </c:pt>
                <c:pt idx="5">
                  <c:v>0.90551181102362199</c:v>
                </c:pt>
                <c:pt idx="6">
                  <c:v>0.89763779527559051</c:v>
                </c:pt>
                <c:pt idx="7">
                  <c:v>0.88976377952755903</c:v>
                </c:pt>
                <c:pt idx="8">
                  <c:v>0.88188976377952755</c:v>
                </c:pt>
                <c:pt idx="9">
                  <c:v>0.87401574803149606</c:v>
                </c:pt>
                <c:pt idx="10">
                  <c:v>0.86614173228346458</c:v>
                </c:pt>
                <c:pt idx="11">
                  <c:v>0.8582677165354331</c:v>
                </c:pt>
                <c:pt idx="12">
                  <c:v>0.85039370078740162</c:v>
                </c:pt>
                <c:pt idx="13">
                  <c:v>0.84251968503937003</c:v>
                </c:pt>
                <c:pt idx="14">
                  <c:v>0.83464566929133854</c:v>
                </c:pt>
                <c:pt idx="15">
                  <c:v>0.82677165354330706</c:v>
                </c:pt>
                <c:pt idx="16">
                  <c:v>0.81889763779527558</c:v>
                </c:pt>
                <c:pt idx="17">
                  <c:v>0.8110236220472441</c:v>
                </c:pt>
                <c:pt idx="18">
                  <c:v>0.80314960629921262</c:v>
                </c:pt>
                <c:pt idx="19">
                  <c:v>0.79527559055118113</c:v>
                </c:pt>
                <c:pt idx="20">
                  <c:v>0.78740157480314965</c:v>
                </c:pt>
                <c:pt idx="21">
                  <c:v>0.77952755905511806</c:v>
                </c:pt>
                <c:pt idx="22">
                  <c:v>0.77165354330708658</c:v>
                </c:pt>
                <c:pt idx="23">
                  <c:v>0.76377952755905509</c:v>
                </c:pt>
                <c:pt idx="24">
                  <c:v>0.75590551181102361</c:v>
                </c:pt>
              </c:numCache>
            </c:numRef>
          </c:xVal>
          <c:yVal>
            <c:numRef>
              <c:f>OscBC!$BB$11:$BB$35</c:f>
              <c:numCache>
                <c:formatCode>0.000</c:formatCode>
                <c:ptCount val="25"/>
                <c:pt idx="0">
                  <c:v>0.2115064585149378</c:v>
                </c:pt>
                <c:pt idx="1">
                  <c:v>0.19882716538552975</c:v>
                </c:pt>
                <c:pt idx="2">
                  <c:v>0.19090260717964974</c:v>
                </c:pt>
                <c:pt idx="8">
                  <c:v>0.14850622077819164</c:v>
                </c:pt>
                <c:pt idx="12">
                  <c:v>0.12235517869878754</c:v>
                </c:pt>
                <c:pt idx="16">
                  <c:v>9.8185276170853472E-2</c:v>
                </c:pt>
                <c:pt idx="20">
                  <c:v>7.6788969014977407E-2</c:v>
                </c:pt>
                <c:pt idx="24">
                  <c:v>5.7770029320865356E-2</c:v>
                </c:pt>
              </c:numCache>
            </c:numRef>
          </c:yVal>
          <c:smooth val="0"/>
        </c:ser>
        <c:ser>
          <c:idx val="1"/>
          <c:order val="1"/>
          <c:tx>
            <c:v>BC -0.5 Hi</c:v>
          </c:tx>
          <c:spPr>
            <a:ln w="28575">
              <a:noFill/>
            </a:ln>
          </c:spPr>
          <c:trendline>
            <c:trendlineType val="linear"/>
            <c:dispRSqr val="0"/>
            <c:dispEq val="1"/>
            <c:trendlineLbl>
              <c:layout>
                <c:manualLayout>
                  <c:x val="-3.8112204724409446E-2"/>
                  <c:y val="0.15693277923592885"/>
                </c:manualLayout>
              </c:layout>
              <c:numFmt formatCode="General" sourceLinked="0"/>
            </c:trendlineLbl>
          </c:trendline>
          <c:xVal>
            <c:numRef>
              <c:f>OscBC!$B$4:$B$11</c:f>
              <c:numCache>
                <c:formatCode>General</c:formatCode>
                <c:ptCount val="8"/>
                <c:pt idx="0">
                  <c:v>1</c:v>
                </c:pt>
                <c:pt idx="1">
                  <c:v>0.99212598425196852</c:v>
                </c:pt>
                <c:pt idx="2">
                  <c:v>0.98425196850393704</c:v>
                </c:pt>
                <c:pt idx="3">
                  <c:v>0.97637795275590555</c:v>
                </c:pt>
                <c:pt idx="4">
                  <c:v>0.96850393700787396</c:v>
                </c:pt>
                <c:pt idx="5">
                  <c:v>0.96062992125984248</c:v>
                </c:pt>
                <c:pt idx="6">
                  <c:v>0.952755905511811</c:v>
                </c:pt>
                <c:pt idx="7">
                  <c:v>0.94488188976377951</c:v>
                </c:pt>
              </c:numCache>
            </c:numRef>
          </c:xVal>
          <c:yVal>
            <c:numRef>
              <c:f>OscBC!$BB$4:$BB$10</c:f>
              <c:numCache>
                <c:formatCode>0.000</c:formatCode>
                <c:ptCount val="7"/>
                <c:pt idx="0">
                  <c:v>1</c:v>
                </c:pt>
                <c:pt idx="1">
                  <c:v>0.84943339408827956</c:v>
                </c:pt>
                <c:pt idx="2">
                  <c:v>0.71471590458831924</c:v>
                </c:pt>
                <c:pt idx="3">
                  <c:v>0.59188525239717882</c:v>
                </c:pt>
                <c:pt idx="4">
                  <c:v>0.48094143751485852</c:v>
                </c:pt>
                <c:pt idx="5">
                  <c:v>0.37395990173547822</c:v>
                </c:pt>
                <c:pt idx="6">
                  <c:v>0.28520484982962196</c:v>
                </c:pt>
              </c:numCache>
            </c:numRef>
          </c:yVal>
          <c:smooth val="0"/>
        </c:ser>
        <c:ser>
          <c:idx val="2"/>
          <c:order val="2"/>
          <c:tx>
            <c:v>BC -0.5 Lo</c:v>
          </c:tx>
          <c:spPr>
            <a:ln w="28575">
              <a:noFill/>
            </a:ln>
          </c:spPr>
          <c:trendline>
            <c:trendlineType val="linear"/>
            <c:intercept val="0"/>
            <c:dispRSqr val="0"/>
            <c:dispEq val="1"/>
            <c:trendlineLbl>
              <c:numFmt formatCode="General" sourceLinked="0"/>
            </c:trendlineLbl>
          </c:trendline>
          <c:xVal>
            <c:numRef>
              <c:f>OscBC!$B$35:$B$131</c:f>
              <c:numCache>
                <c:formatCode>General</c:formatCode>
                <c:ptCount val="90"/>
                <c:pt idx="0">
                  <c:v>0.75590551181102361</c:v>
                </c:pt>
                <c:pt idx="1">
                  <c:v>0.69291338582677164</c:v>
                </c:pt>
                <c:pt idx="2">
                  <c:v>0.68503937007874016</c:v>
                </c:pt>
                <c:pt idx="3">
                  <c:v>0.67716535433070868</c:v>
                </c:pt>
                <c:pt idx="4">
                  <c:v>0.6692913385826772</c:v>
                </c:pt>
                <c:pt idx="5">
                  <c:v>0.66141732283464572</c:v>
                </c:pt>
                <c:pt idx="6">
                  <c:v>0.65354330708661412</c:v>
                </c:pt>
                <c:pt idx="7">
                  <c:v>0.64566929133858264</c:v>
                </c:pt>
                <c:pt idx="8">
                  <c:v>0.63779527559055116</c:v>
                </c:pt>
                <c:pt idx="9">
                  <c:v>0.62992125984251968</c:v>
                </c:pt>
                <c:pt idx="10">
                  <c:v>0.62204724409448819</c:v>
                </c:pt>
                <c:pt idx="11">
                  <c:v>0.61417322834645671</c:v>
                </c:pt>
                <c:pt idx="12">
                  <c:v>0.60629921259842523</c:v>
                </c:pt>
                <c:pt idx="13">
                  <c:v>0.59842519685039375</c:v>
                </c:pt>
                <c:pt idx="14">
                  <c:v>0.59055118110236215</c:v>
                </c:pt>
                <c:pt idx="15">
                  <c:v>0.58267716535433067</c:v>
                </c:pt>
                <c:pt idx="16">
                  <c:v>0.57480314960629919</c:v>
                </c:pt>
                <c:pt idx="17">
                  <c:v>0.56692913385826771</c:v>
                </c:pt>
                <c:pt idx="18">
                  <c:v>0.55905511811023623</c:v>
                </c:pt>
                <c:pt idx="19">
                  <c:v>0.55118110236220474</c:v>
                </c:pt>
                <c:pt idx="20">
                  <c:v>0.54330708661417326</c:v>
                </c:pt>
                <c:pt idx="21">
                  <c:v>0.53543307086614178</c:v>
                </c:pt>
                <c:pt idx="22">
                  <c:v>0.52755905511811019</c:v>
                </c:pt>
                <c:pt idx="23">
                  <c:v>0.51968503937007871</c:v>
                </c:pt>
                <c:pt idx="24">
                  <c:v>0.51181102362204722</c:v>
                </c:pt>
                <c:pt idx="25">
                  <c:v>0.50393700787401574</c:v>
                </c:pt>
                <c:pt idx="26">
                  <c:v>0.49606299212598426</c:v>
                </c:pt>
                <c:pt idx="27">
                  <c:v>0.48818897637795278</c:v>
                </c:pt>
                <c:pt idx="28">
                  <c:v>0.48031496062992124</c:v>
                </c:pt>
                <c:pt idx="29">
                  <c:v>0.47244094488188976</c:v>
                </c:pt>
                <c:pt idx="30">
                  <c:v>0.46456692913385828</c:v>
                </c:pt>
                <c:pt idx="31">
                  <c:v>0.45669291338582679</c:v>
                </c:pt>
                <c:pt idx="32">
                  <c:v>0.44881889763779526</c:v>
                </c:pt>
                <c:pt idx="33">
                  <c:v>0.44094488188976377</c:v>
                </c:pt>
                <c:pt idx="34">
                  <c:v>0.43307086614173229</c:v>
                </c:pt>
                <c:pt idx="35">
                  <c:v>0.42519685039370081</c:v>
                </c:pt>
                <c:pt idx="36">
                  <c:v>0.41732283464566927</c:v>
                </c:pt>
                <c:pt idx="37">
                  <c:v>0.40944881889763779</c:v>
                </c:pt>
                <c:pt idx="38">
                  <c:v>0.40157480314960631</c:v>
                </c:pt>
                <c:pt idx="39">
                  <c:v>0.39370078740157483</c:v>
                </c:pt>
                <c:pt idx="40">
                  <c:v>0.38582677165354329</c:v>
                </c:pt>
                <c:pt idx="41">
                  <c:v>0.37795275590551181</c:v>
                </c:pt>
                <c:pt idx="42">
                  <c:v>0.37007874015748032</c:v>
                </c:pt>
                <c:pt idx="43">
                  <c:v>0.36220472440944884</c:v>
                </c:pt>
                <c:pt idx="44">
                  <c:v>0.3543307086614173</c:v>
                </c:pt>
                <c:pt idx="45">
                  <c:v>0.34645669291338582</c:v>
                </c:pt>
                <c:pt idx="46">
                  <c:v>0.33858267716535434</c:v>
                </c:pt>
                <c:pt idx="47">
                  <c:v>0.33070866141732286</c:v>
                </c:pt>
                <c:pt idx="48">
                  <c:v>0.32283464566929132</c:v>
                </c:pt>
                <c:pt idx="49">
                  <c:v>0.31496062992125984</c:v>
                </c:pt>
                <c:pt idx="50">
                  <c:v>0.30708661417322836</c:v>
                </c:pt>
                <c:pt idx="51">
                  <c:v>0.29921259842519687</c:v>
                </c:pt>
                <c:pt idx="52">
                  <c:v>0.29133858267716534</c:v>
                </c:pt>
                <c:pt idx="53">
                  <c:v>0.28346456692913385</c:v>
                </c:pt>
                <c:pt idx="54">
                  <c:v>0.27559055118110237</c:v>
                </c:pt>
                <c:pt idx="55">
                  <c:v>0.26771653543307089</c:v>
                </c:pt>
                <c:pt idx="56">
                  <c:v>0.25984251968503935</c:v>
                </c:pt>
                <c:pt idx="57">
                  <c:v>0.25196850393700787</c:v>
                </c:pt>
                <c:pt idx="58">
                  <c:v>0.24409448818897639</c:v>
                </c:pt>
                <c:pt idx="59">
                  <c:v>0.23622047244094488</c:v>
                </c:pt>
                <c:pt idx="60">
                  <c:v>0.2283464566929134</c:v>
                </c:pt>
                <c:pt idx="61">
                  <c:v>0.22047244094488189</c:v>
                </c:pt>
                <c:pt idx="62">
                  <c:v>0.2125984251968504</c:v>
                </c:pt>
                <c:pt idx="63">
                  <c:v>0.20472440944881889</c:v>
                </c:pt>
                <c:pt idx="64">
                  <c:v>0.19685039370078741</c:v>
                </c:pt>
                <c:pt idx="65">
                  <c:v>0.1889763779527559</c:v>
                </c:pt>
                <c:pt idx="66">
                  <c:v>0.18110236220472442</c:v>
                </c:pt>
                <c:pt idx="67">
                  <c:v>0.17322834645669291</c:v>
                </c:pt>
                <c:pt idx="68">
                  <c:v>0.16535433070866143</c:v>
                </c:pt>
                <c:pt idx="69">
                  <c:v>0.15748031496062992</c:v>
                </c:pt>
                <c:pt idx="70">
                  <c:v>0.14960629921259844</c:v>
                </c:pt>
                <c:pt idx="71">
                  <c:v>0.14173228346456693</c:v>
                </c:pt>
                <c:pt idx="72">
                  <c:v>0.13385826771653545</c:v>
                </c:pt>
                <c:pt idx="73">
                  <c:v>0.12598425196850394</c:v>
                </c:pt>
                <c:pt idx="74">
                  <c:v>0.11811023622047244</c:v>
                </c:pt>
                <c:pt idx="75">
                  <c:v>0.11023622047244094</c:v>
                </c:pt>
                <c:pt idx="76">
                  <c:v>0.10236220472440945</c:v>
                </c:pt>
                <c:pt idx="77">
                  <c:v>9.4488188976377951E-2</c:v>
                </c:pt>
                <c:pt idx="78">
                  <c:v>8.6614173228346455E-2</c:v>
                </c:pt>
                <c:pt idx="79">
                  <c:v>7.874015748031496E-2</c:v>
                </c:pt>
                <c:pt idx="80">
                  <c:v>7.0866141732283464E-2</c:v>
                </c:pt>
                <c:pt idx="81">
                  <c:v>6.2992125984251968E-2</c:v>
                </c:pt>
                <c:pt idx="82">
                  <c:v>5.5118110236220472E-2</c:v>
                </c:pt>
                <c:pt idx="83">
                  <c:v>4.7244094488188976E-2</c:v>
                </c:pt>
                <c:pt idx="84">
                  <c:v>3.937007874015748E-2</c:v>
                </c:pt>
                <c:pt idx="85">
                  <c:v>3.1496062992125984E-2</c:v>
                </c:pt>
                <c:pt idx="86">
                  <c:v>2.3622047244094488E-2</c:v>
                </c:pt>
                <c:pt idx="87">
                  <c:v>1.5748031496062992E-2</c:v>
                </c:pt>
                <c:pt idx="88">
                  <c:v>7.874015748031496E-3</c:v>
                </c:pt>
                <c:pt idx="89">
                  <c:v>0</c:v>
                </c:pt>
              </c:numCache>
            </c:numRef>
          </c:xVal>
          <c:yVal>
            <c:numRef>
              <c:f>OscBC!$BB$35:$BB$131</c:f>
              <c:numCache>
                <c:formatCode>General</c:formatCode>
                <c:ptCount val="90"/>
                <c:pt idx="0" formatCode="0.000">
                  <c:v>5.7770029320865356E-2</c:v>
                </c:pt>
                <c:pt idx="25" formatCode="0.000">
                  <c:v>3.922656311910612E-3</c:v>
                </c:pt>
                <c:pt idx="89" formatCode="0.000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4301184"/>
        <c:axId val="304302720"/>
      </c:scatterChart>
      <c:valAx>
        <c:axId val="3043011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04302720"/>
        <c:crosses val="autoZero"/>
        <c:crossBetween val="midCat"/>
      </c:valAx>
      <c:valAx>
        <c:axId val="304302720"/>
        <c:scaling>
          <c:orientation val="minMax"/>
          <c:max val="1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crossAx val="30430118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BC -0.3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layout>
                <c:manualLayout>
                  <c:x val="-2.6318241469816272E-2"/>
                  <c:y val="6.2362204724409447E-2"/>
                </c:manualLayout>
              </c:layout>
              <c:numFmt formatCode="General" sourceLinked="0"/>
            </c:trendlineLbl>
          </c:trendline>
          <c:xVal>
            <c:numRef>
              <c:f>OscBC!$B$15:$B$67</c:f>
              <c:numCache>
                <c:formatCode>General</c:formatCode>
                <c:ptCount val="46"/>
                <c:pt idx="0">
                  <c:v>0.91338582677165359</c:v>
                </c:pt>
                <c:pt idx="1">
                  <c:v>0.90551181102362199</c:v>
                </c:pt>
                <c:pt idx="2">
                  <c:v>0.89763779527559051</c:v>
                </c:pt>
                <c:pt idx="3">
                  <c:v>0.88976377952755903</c:v>
                </c:pt>
                <c:pt idx="4">
                  <c:v>0.88188976377952755</c:v>
                </c:pt>
                <c:pt idx="5">
                  <c:v>0.87401574803149606</c:v>
                </c:pt>
                <c:pt idx="6">
                  <c:v>0.86614173228346458</c:v>
                </c:pt>
                <c:pt idx="7">
                  <c:v>0.8582677165354331</c:v>
                </c:pt>
                <c:pt idx="8">
                  <c:v>0.85039370078740162</c:v>
                </c:pt>
                <c:pt idx="9">
                  <c:v>0.84251968503937003</c:v>
                </c:pt>
                <c:pt idx="10">
                  <c:v>0.83464566929133854</c:v>
                </c:pt>
                <c:pt idx="11">
                  <c:v>0.82677165354330706</c:v>
                </c:pt>
                <c:pt idx="12">
                  <c:v>0.81889763779527558</c:v>
                </c:pt>
                <c:pt idx="13">
                  <c:v>0.8110236220472441</c:v>
                </c:pt>
                <c:pt idx="14">
                  <c:v>0.80314960629921262</c:v>
                </c:pt>
                <c:pt idx="15">
                  <c:v>0.79527559055118113</c:v>
                </c:pt>
                <c:pt idx="16">
                  <c:v>0.78740157480314965</c:v>
                </c:pt>
                <c:pt idx="17">
                  <c:v>0.77952755905511806</c:v>
                </c:pt>
                <c:pt idx="18">
                  <c:v>0.77165354330708658</c:v>
                </c:pt>
                <c:pt idx="19">
                  <c:v>0.76377952755905509</c:v>
                </c:pt>
                <c:pt idx="20">
                  <c:v>0.75590551181102361</c:v>
                </c:pt>
                <c:pt idx="21">
                  <c:v>0.69291338582677164</c:v>
                </c:pt>
                <c:pt idx="22">
                  <c:v>0.68503937007874016</c:v>
                </c:pt>
                <c:pt idx="23">
                  <c:v>0.67716535433070868</c:v>
                </c:pt>
                <c:pt idx="24">
                  <c:v>0.6692913385826772</c:v>
                </c:pt>
                <c:pt idx="25">
                  <c:v>0.66141732283464572</c:v>
                </c:pt>
                <c:pt idx="26">
                  <c:v>0.65354330708661412</c:v>
                </c:pt>
                <c:pt idx="27">
                  <c:v>0.64566929133858264</c:v>
                </c:pt>
                <c:pt idx="28">
                  <c:v>0.63779527559055116</c:v>
                </c:pt>
                <c:pt idx="29">
                  <c:v>0.62992125984251968</c:v>
                </c:pt>
                <c:pt idx="30">
                  <c:v>0.62204724409448819</c:v>
                </c:pt>
                <c:pt idx="31">
                  <c:v>0.61417322834645671</c:v>
                </c:pt>
                <c:pt idx="32">
                  <c:v>0.60629921259842523</c:v>
                </c:pt>
                <c:pt idx="33">
                  <c:v>0.59842519685039375</c:v>
                </c:pt>
                <c:pt idx="34">
                  <c:v>0.59055118110236215</c:v>
                </c:pt>
                <c:pt idx="35">
                  <c:v>0.58267716535433067</c:v>
                </c:pt>
                <c:pt idx="36">
                  <c:v>0.57480314960629919</c:v>
                </c:pt>
                <c:pt idx="37">
                  <c:v>0.56692913385826771</c:v>
                </c:pt>
                <c:pt idx="38">
                  <c:v>0.55905511811023623</c:v>
                </c:pt>
                <c:pt idx="39">
                  <c:v>0.55118110236220474</c:v>
                </c:pt>
                <c:pt idx="40">
                  <c:v>0.54330708661417326</c:v>
                </c:pt>
                <c:pt idx="41">
                  <c:v>0.53543307086614178</c:v>
                </c:pt>
                <c:pt idx="42">
                  <c:v>0.52755905511811019</c:v>
                </c:pt>
                <c:pt idx="43">
                  <c:v>0.51968503937007871</c:v>
                </c:pt>
                <c:pt idx="44">
                  <c:v>0.51181102362204722</c:v>
                </c:pt>
                <c:pt idx="45">
                  <c:v>0.50393700787401574</c:v>
                </c:pt>
              </c:numCache>
            </c:numRef>
          </c:xVal>
          <c:yVal>
            <c:numRef>
              <c:f>OscBC!$AS$15:$AS$67</c:f>
              <c:numCache>
                <c:formatCode>0.000</c:formatCode>
                <c:ptCount val="46"/>
                <c:pt idx="0">
                  <c:v>0.37718813340703883</c:v>
                </c:pt>
                <c:pt idx="4">
                  <c:v>0.33738713838216322</c:v>
                </c:pt>
                <c:pt idx="20">
                  <c:v>0.20140040538050485</c:v>
                </c:pt>
                <c:pt idx="29">
                  <c:v>9.8581168232909522E-2</c:v>
                </c:pt>
                <c:pt idx="45">
                  <c:v>3.077206559793624E-2</c:v>
                </c:pt>
              </c:numCache>
            </c:numRef>
          </c:yVal>
          <c:smooth val="0"/>
        </c:ser>
        <c:ser>
          <c:idx val="1"/>
          <c:order val="1"/>
          <c:tx>
            <c:v>BC -0.3 Hi</c:v>
          </c:tx>
          <c:spPr>
            <a:ln w="28575">
              <a:noFill/>
            </a:ln>
          </c:spPr>
          <c:trendline>
            <c:trendlineType val="linear"/>
            <c:dispRSqr val="0"/>
            <c:dispEq val="1"/>
            <c:trendlineLbl>
              <c:numFmt formatCode="General" sourceLinked="0"/>
            </c:trendlineLbl>
          </c:trendline>
          <c:xVal>
            <c:numRef>
              <c:f>OscBC!$B$4:$B$14</c:f>
              <c:numCache>
                <c:formatCode>General</c:formatCode>
                <c:ptCount val="11"/>
                <c:pt idx="0">
                  <c:v>1</c:v>
                </c:pt>
                <c:pt idx="1">
                  <c:v>0.99212598425196852</c:v>
                </c:pt>
                <c:pt idx="2">
                  <c:v>0.98425196850393704</c:v>
                </c:pt>
                <c:pt idx="3">
                  <c:v>0.97637795275590555</c:v>
                </c:pt>
                <c:pt idx="4">
                  <c:v>0.96850393700787396</c:v>
                </c:pt>
                <c:pt idx="5">
                  <c:v>0.96062992125984248</c:v>
                </c:pt>
                <c:pt idx="6">
                  <c:v>0.952755905511811</c:v>
                </c:pt>
                <c:pt idx="7">
                  <c:v>0.94488188976377951</c:v>
                </c:pt>
                <c:pt idx="8">
                  <c:v>0.93700787401574803</c:v>
                </c:pt>
                <c:pt idx="9">
                  <c:v>0.92913385826771655</c:v>
                </c:pt>
                <c:pt idx="10">
                  <c:v>0.92125984251968507</c:v>
                </c:pt>
              </c:numCache>
            </c:numRef>
          </c:xVal>
          <c:yVal>
            <c:numRef>
              <c:f>OscBC!$AS$4:$AS$15</c:f>
              <c:numCache>
                <c:formatCode>0.000</c:formatCode>
                <c:ptCount val="12"/>
                <c:pt idx="0">
                  <c:v>1</c:v>
                </c:pt>
                <c:pt idx="7">
                  <c:v>0.55039616731159013</c:v>
                </c:pt>
                <c:pt idx="9">
                  <c:v>0.44720840243228299</c:v>
                </c:pt>
                <c:pt idx="10">
                  <c:v>0.39929979730974752</c:v>
                </c:pt>
                <c:pt idx="11">
                  <c:v>0.37718813340703883</c:v>
                </c:pt>
              </c:numCache>
            </c:numRef>
          </c:yVal>
          <c:smooth val="0"/>
        </c:ser>
        <c:ser>
          <c:idx val="2"/>
          <c:order val="2"/>
          <c:tx>
            <c:v>BC -0.3 Lo</c:v>
          </c:tx>
          <c:spPr>
            <a:ln w="28575">
              <a:noFill/>
            </a:ln>
          </c:spPr>
          <c:trendline>
            <c:trendlineType val="linear"/>
            <c:dispRSqr val="0"/>
            <c:dispEq val="1"/>
            <c:trendlineLbl>
              <c:numFmt formatCode="General" sourceLinked="0"/>
            </c:trendlineLbl>
          </c:trendline>
          <c:xVal>
            <c:numRef>
              <c:f>OscBC!$B$67:$B$131</c:f>
              <c:numCache>
                <c:formatCode>General</c:formatCode>
                <c:ptCount val="65"/>
                <c:pt idx="0">
                  <c:v>0.50393700787401574</c:v>
                </c:pt>
                <c:pt idx="1">
                  <c:v>0.49606299212598426</c:v>
                </c:pt>
                <c:pt idx="2">
                  <c:v>0.48818897637795278</c:v>
                </c:pt>
                <c:pt idx="3">
                  <c:v>0.48031496062992124</c:v>
                </c:pt>
                <c:pt idx="4">
                  <c:v>0.47244094488188976</c:v>
                </c:pt>
                <c:pt idx="5">
                  <c:v>0.46456692913385828</c:v>
                </c:pt>
                <c:pt idx="6">
                  <c:v>0.45669291338582679</c:v>
                </c:pt>
                <c:pt idx="7">
                  <c:v>0.44881889763779526</c:v>
                </c:pt>
                <c:pt idx="8">
                  <c:v>0.44094488188976377</c:v>
                </c:pt>
                <c:pt idx="9">
                  <c:v>0.43307086614173229</c:v>
                </c:pt>
                <c:pt idx="10">
                  <c:v>0.42519685039370081</c:v>
                </c:pt>
                <c:pt idx="11">
                  <c:v>0.41732283464566927</c:v>
                </c:pt>
                <c:pt idx="12">
                  <c:v>0.40944881889763779</c:v>
                </c:pt>
                <c:pt idx="13">
                  <c:v>0.40157480314960631</c:v>
                </c:pt>
                <c:pt idx="14">
                  <c:v>0.39370078740157483</c:v>
                </c:pt>
                <c:pt idx="15">
                  <c:v>0.38582677165354329</c:v>
                </c:pt>
                <c:pt idx="16">
                  <c:v>0.37795275590551181</c:v>
                </c:pt>
                <c:pt idx="17">
                  <c:v>0.37007874015748032</c:v>
                </c:pt>
                <c:pt idx="18">
                  <c:v>0.36220472440944884</c:v>
                </c:pt>
                <c:pt idx="19">
                  <c:v>0.3543307086614173</c:v>
                </c:pt>
                <c:pt idx="20">
                  <c:v>0.34645669291338582</c:v>
                </c:pt>
                <c:pt idx="21">
                  <c:v>0.33858267716535434</c:v>
                </c:pt>
                <c:pt idx="22">
                  <c:v>0.33070866141732286</c:v>
                </c:pt>
                <c:pt idx="23">
                  <c:v>0.32283464566929132</c:v>
                </c:pt>
                <c:pt idx="24">
                  <c:v>0.31496062992125984</c:v>
                </c:pt>
                <c:pt idx="25">
                  <c:v>0.30708661417322836</c:v>
                </c:pt>
                <c:pt idx="26">
                  <c:v>0.29921259842519687</c:v>
                </c:pt>
                <c:pt idx="27">
                  <c:v>0.29133858267716534</c:v>
                </c:pt>
                <c:pt idx="28">
                  <c:v>0.28346456692913385</c:v>
                </c:pt>
                <c:pt idx="29">
                  <c:v>0.27559055118110237</c:v>
                </c:pt>
                <c:pt idx="30">
                  <c:v>0.26771653543307089</c:v>
                </c:pt>
                <c:pt idx="31">
                  <c:v>0.25984251968503935</c:v>
                </c:pt>
                <c:pt idx="32">
                  <c:v>0.25196850393700787</c:v>
                </c:pt>
                <c:pt idx="33">
                  <c:v>0.24409448818897639</c:v>
                </c:pt>
                <c:pt idx="34">
                  <c:v>0.23622047244094488</c:v>
                </c:pt>
                <c:pt idx="35">
                  <c:v>0.2283464566929134</c:v>
                </c:pt>
                <c:pt idx="36">
                  <c:v>0.22047244094488189</c:v>
                </c:pt>
                <c:pt idx="37">
                  <c:v>0.2125984251968504</c:v>
                </c:pt>
                <c:pt idx="38">
                  <c:v>0.20472440944881889</c:v>
                </c:pt>
                <c:pt idx="39">
                  <c:v>0.19685039370078741</c:v>
                </c:pt>
                <c:pt idx="40">
                  <c:v>0.1889763779527559</c:v>
                </c:pt>
                <c:pt idx="41">
                  <c:v>0.18110236220472442</c:v>
                </c:pt>
                <c:pt idx="42">
                  <c:v>0.17322834645669291</c:v>
                </c:pt>
                <c:pt idx="43">
                  <c:v>0.16535433070866143</c:v>
                </c:pt>
                <c:pt idx="44">
                  <c:v>0.15748031496062992</c:v>
                </c:pt>
                <c:pt idx="45">
                  <c:v>0.14960629921259844</c:v>
                </c:pt>
                <c:pt idx="46">
                  <c:v>0.14173228346456693</c:v>
                </c:pt>
                <c:pt idx="47">
                  <c:v>0.13385826771653545</c:v>
                </c:pt>
                <c:pt idx="48">
                  <c:v>0.12598425196850394</c:v>
                </c:pt>
                <c:pt idx="49">
                  <c:v>0.11811023622047244</c:v>
                </c:pt>
                <c:pt idx="50">
                  <c:v>0.11023622047244094</c:v>
                </c:pt>
                <c:pt idx="51">
                  <c:v>0.10236220472440945</c:v>
                </c:pt>
                <c:pt idx="52">
                  <c:v>9.4488188976377951E-2</c:v>
                </c:pt>
                <c:pt idx="53">
                  <c:v>8.6614173228346455E-2</c:v>
                </c:pt>
                <c:pt idx="54">
                  <c:v>7.874015748031496E-2</c:v>
                </c:pt>
                <c:pt idx="55">
                  <c:v>7.0866141732283464E-2</c:v>
                </c:pt>
                <c:pt idx="56">
                  <c:v>6.2992125984251968E-2</c:v>
                </c:pt>
                <c:pt idx="57">
                  <c:v>5.5118110236220472E-2</c:v>
                </c:pt>
                <c:pt idx="58">
                  <c:v>4.7244094488188976E-2</c:v>
                </c:pt>
                <c:pt idx="59">
                  <c:v>3.937007874015748E-2</c:v>
                </c:pt>
                <c:pt idx="60">
                  <c:v>3.1496062992125984E-2</c:v>
                </c:pt>
                <c:pt idx="61">
                  <c:v>2.3622047244094488E-2</c:v>
                </c:pt>
                <c:pt idx="62">
                  <c:v>1.5748031496062992E-2</c:v>
                </c:pt>
                <c:pt idx="63">
                  <c:v>7.874015748031496E-3</c:v>
                </c:pt>
                <c:pt idx="64">
                  <c:v>0</c:v>
                </c:pt>
              </c:numCache>
            </c:numRef>
          </c:xVal>
          <c:yVal>
            <c:numRef>
              <c:f>OscBC!$AS$67:$AS$131</c:f>
              <c:numCache>
                <c:formatCode>0.000</c:formatCode>
                <c:ptCount val="65"/>
                <c:pt idx="0">
                  <c:v>3.077206559793624E-2</c:v>
                </c:pt>
                <c:pt idx="64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3569920"/>
        <c:axId val="303579904"/>
      </c:scatterChart>
      <c:valAx>
        <c:axId val="3035699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03579904"/>
        <c:crosses val="autoZero"/>
        <c:crossBetween val="midCat"/>
      </c:valAx>
      <c:valAx>
        <c:axId val="303579904"/>
        <c:scaling>
          <c:orientation val="minMax"/>
          <c:max val="1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crossAx val="30356992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OscBC!$C$189</c:f>
              <c:strCache>
                <c:ptCount val="1"/>
                <c:pt idx="0">
                  <c:v>hi x</c:v>
                </c:pt>
              </c:strCache>
            </c:strRef>
          </c:tx>
          <c:spPr>
            <a:ln w="28575">
              <a:noFill/>
            </a:ln>
          </c:spPr>
          <c:trendline>
            <c:trendlineType val="exp"/>
            <c:dispRSqr val="0"/>
            <c:dispEq val="1"/>
            <c:trendlineLbl>
              <c:layout>
                <c:manualLayout>
                  <c:x val="-0.1546360454943132"/>
                  <c:y val="-0.34902194517351998"/>
                </c:manualLayout>
              </c:layout>
              <c:numFmt formatCode="General" sourceLinked="0"/>
            </c:trendlineLbl>
          </c:trendline>
          <c:xVal>
            <c:numRef>
              <c:f>OscBC!$B$191:$B$199</c:f>
              <c:numCache>
                <c:formatCode>General</c:formatCode>
                <c:ptCount val="9"/>
                <c:pt idx="0">
                  <c:v>0.4</c:v>
                </c:pt>
                <c:pt idx="1">
                  <c:v>0.35</c:v>
                </c:pt>
                <c:pt idx="2">
                  <c:v>0.3</c:v>
                </c:pt>
                <c:pt idx="3">
                  <c:v>0.2</c:v>
                </c:pt>
                <c:pt idx="4">
                  <c:v>0.15</c:v>
                </c:pt>
                <c:pt idx="5">
                  <c:v>0.1</c:v>
                </c:pt>
                <c:pt idx="6">
                  <c:v>0.05</c:v>
                </c:pt>
                <c:pt idx="7">
                  <c:v>0.02</c:v>
                </c:pt>
                <c:pt idx="8">
                  <c:v>0</c:v>
                </c:pt>
              </c:numCache>
            </c:numRef>
          </c:xVal>
          <c:yVal>
            <c:numRef>
              <c:f>OscBC!$C$191:$C$199</c:f>
              <c:numCache>
                <c:formatCode>0.000</c:formatCode>
                <c:ptCount val="9"/>
                <c:pt idx="0">
                  <c:v>0.1149</c:v>
                </c:pt>
                <c:pt idx="1">
                  <c:v>0.18340000000000001</c:v>
                </c:pt>
                <c:pt idx="2">
                  <c:v>0.27600000000000002</c:v>
                </c:pt>
                <c:pt idx="3">
                  <c:v>0.52580000000000005</c:v>
                </c:pt>
                <c:pt idx="4">
                  <c:v>0.69010000000000005</c:v>
                </c:pt>
                <c:pt idx="5">
                  <c:v>0.94630000000000003</c:v>
                </c:pt>
                <c:pt idx="6">
                  <c:v>1.3259000000000001</c:v>
                </c:pt>
                <c:pt idx="7">
                  <c:v>1.5879000000000001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OscBC!$D$189</c:f>
              <c:strCache>
                <c:ptCount val="1"/>
                <c:pt idx="0">
                  <c:v>hi c</c:v>
                </c:pt>
              </c:strCache>
            </c:strRef>
          </c:tx>
          <c:spPr>
            <a:ln w="28575">
              <a:noFill/>
            </a:ln>
          </c:spPr>
          <c:trendline>
            <c:trendlineType val="poly"/>
            <c:order val="3"/>
            <c:dispRSqr val="0"/>
            <c:dispEq val="1"/>
            <c:trendlineLbl>
              <c:layout>
                <c:manualLayout>
                  <c:x val="7.8503062117235345E-2"/>
                  <c:y val="0.45795056867891515"/>
                </c:manualLayout>
              </c:layout>
              <c:numFmt formatCode="General" sourceLinked="0"/>
            </c:trendlineLbl>
          </c:trendline>
          <c:xVal>
            <c:numRef>
              <c:f>OscBC!$B$191:$B$199</c:f>
              <c:numCache>
                <c:formatCode>General</c:formatCode>
                <c:ptCount val="9"/>
                <c:pt idx="0">
                  <c:v>0.4</c:v>
                </c:pt>
                <c:pt idx="1">
                  <c:v>0.35</c:v>
                </c:pt>
                <c:pt idx="2">
                  <c:v>0.3</c:v>
                </c:pt>
                <c:pt idx="3">
                  <c:v>0.2</c:v>
                </c:pt>
                <c:pt idx="4">
                  <c:v>0.15</c:v>
                </c:pt>
                <c:pt idx="5">
                  <c:v>0.1</c:v>
                </c:pt>
                <c:pt idx="6">
                  <c:v>0.05</c:v>
                </c:pt>
                <c:pt idx="7">
                  <c:v>0.02</c:v>
                </c:pt>
                <c:pt idx="8">
                  <c:v>0</c:v>
                </c:pt>
              </c:numCache>
            </c:numRef>
          </c:xVal>
          <c:yVal>
            <c:numRef>
              <c:f>OscBC!$D$191:$D$199</c:f>
              <c:numCache>
                <c:formatCode>0.000</c:formatCode>
                <c:ptCount val="9"/>
                <c:pt idx="0">
                  <c:v>0.88549999999999995</c:v>
                </c:pt>
                <c:pt idx="1">
                  <c:v>0.81710000000000005</c:v>
                </c:pt>
                <c:pt idx="2">
                  <c:v>0.72370000000000001</c:v>
                </c:pt>
                <c:pt idx="3">
                  <c:v>0.47320000000000001</c:v>
                </c:pt>
                <c:pt idx="4">
                  <c:v>0.30740000000000001</c:v>
                </c:pt>
                <c:pt idx="5">
                  <c:v>5.04E-2</c:v>
                </c:pt>
                <c:pt idx="6">
                  <c:v>-0.3256</c:v>
                </c:pt>
                <c:pt idx="7">
                  <c:v>-0.5907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3614208"/>
        <c:axId val="303624192"/>
      </c:scatterChart>
      <c:valAx>
        <c:axId val="3036142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03624192"/>
        <c:crosses val="autoZero"/>
        <c:crossBetween val="midCat"/>
      </c:valAx>
      <c:valAx>
        <c:axId val="303624192"/>
        <c:scaling>
          <c:orientation val="minMax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crossAx val="30361420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OscBC!$C$189</c:f>
              <c:strCache>
                <c:ptCount val="1"/>
                <c:pt idx="0">
                  <c:v>hi x</c:v>
                </c:pt>
              </c:strCache>
            </c:strRef>
          </c:tx>
          <c:spPr>
            <a:ln w="28575">
              <a:noFill/>
            </a:ln>
          </c:spPr>
          <c:xVal>
            <c:numRef>
              <c:f>OscBC!$B$190:$B$202</c:f>
              <c:numCache>
                <c:formatCode>General</c:formatCode>
                <c:ptCount val="13"/>
                <c:pt idx="0">
                  <c:v>0.5</c:v>
                </c:pt>
                <c:pt idx="1">
                  <c:v>0.4</c:v>
                </c:pt>
                <c:pt idx="2">
                  <c:v>0.35</c:v>
                </c:pt>
                <c:pt idx="3">
                  <c:v>0.3</c:v>
                </c:pt>
                <c:pt idx="4">
                  <c:v>0.2</c:v>
                </c:pt>
                <c:pt idx="5">
                  <c:v>0.15</c:v>
                </c:pt>
                <c:pt idx="6">
                  <c:v>0.1</c:v>
                </c:pt>
                <c:pt idx="7">
                  <c:v>0.05</c:v>
                </c:pt>
                <c:pt idx="8">
                  <c:v>0.02</c:v>
                </c:pt>
                <c:pt idx="9">
                  <c:v>0</c:v>
                </c:pt>
                <c:pt idx="10">
                  <c:v>-0.1</c:v>
                </c:pt>
                <c:pt idx="11">
                  <c:v>-0.3</c:v>
                </c:pt>
                <c:pt idx="12">
                  <c:v>-0.5</c:v>
                </c:pt>
              </c:numCache>
            </c:numRef>
          </c:xVal>
          <c:yVal>
            <c:numRef>
              <c:f>OscBC!$C$190:$C$202</c:f>
              <c:numCache>
                <c:formatCode>0.000</c:formatCode>
                <c:ptCount val="13"/>
                <c:pt idx="0">
                  <c:v>0</c:v>
                </c:pt>
                <c:pt idx="1">
                  <c:v>0.1149</c:v>
                </c:pt>
                <c:pt idx="2">
                  <c:v>0.18340000000000001</c:v>
                </c:pt>
                <c:pt idx="3">
                  <c:v>0.27600000000000002</c:v>
                </c:pt>
                <c:pt idx="4">
                  <c:v>0.52580000000000005</c:v>
                </c:pt>
                <c:pt idx="5">
                  <c:v>0.69010000000000005</c:v>
                </c:pt>
                <c:pt idx="6">
                  <c:v>0.94630000000000003</c:v>
                </c:pt>
                <c:pt idx="7">
                  <c:v>1.3259000000000001</c:v>
                </c:pt>
                <c:pt idx="8">
                  <c:v>1.5879000000000001</c:v>
                </c:pt>
                <c:pt idx="10">
                  <c:v>3.5649999999999999</c:v>
                </c:pt>
                <c:pt idx="11">
                  <c:v>7.7225000000000001</c:v>
                </c:pt>
                <c:pt idx="12">
                  <c:v>15.1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OscBC!$D$189</c:f>
              <c:strCache>
                <c:ptCount val="1"/>
                <c:pt idx="0">
                  <c:v>hi c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4"/>
          </c:marker>
          <c:trendline>
            <c:trendlineType val="log"/>
            <c:dispRSqr val="0"/>
            <c:dispEq val="0"/>
          </c:trendline>
          <c:xVal>
            <c:numRef>
              <c:f>OscBC!$B$190:$B$202</c:f>
              <c:numCache>
                <c:formatCode>General</c:formatCode>
                <c:ptCount val="13"/>
                <c:pt idx="0">
                  <c:v>0.5</c:v>
                </c:pt>
                <c:pt idx="1">
                  <c:v>0.4</c:v>
                </c:pt>
                <c:pt idx="2">
                  <c:v>0.35</c:v>
                </c:pt>
                <c:pt idx="3">
                  <c:v>0.3</c:v>
                </c:pt>
                <c:pt idx="4">
                  <c:v>0.2</c:v>
                </c:pt>
                <c:pt idx="5">
                  <c:v>0.15</c:v>
                </c:pt>
                <c:pt idx="6">
                  <c:v>0.1</c:v>
                </c:pt>
                <c:pt idx="7">
                  <c:v>0.05</c:v>
                </c:pt>
                <c:pt idx="8">
                  <c:v>0.02</c:v>
                </c:pt>
                <c:pt idx="9">
                  <c:v>0</c:v>
                </c:pt>
                <c:pt idx="10">
                  <c:v>-0.1</c:v>
                </c:pt>
                <c:pt idx="11">
                  <c:v>-0.3</c:v>
                </c:pt>
                <c:pt idx="12">
                  <c:v>-0.5</c:v>
                </c:pt>
              </c:numCache>
            </c:numRef>
          </c:xVal>
          <c:yVal>
            <c:numRef>
              <c:f>OscBC!$D$190:$D$202</c:f>
              <c:numCache>
                <c:formatCode>0.000</c:formatCode>
                <c:ptCount val="13"/>
                <c:pt idx="0">
                  <c:v>1</c:v>
                </c:pt>
                <c:pt idx="1">
                  <c:v>0.88549999999999995</c:v>
                </c:pt>
                <c:pt idx="2">
                  <c:v>0.81710000000000005</c:v>
                </c:pt>
                <c:pt idx="3">
                  <c:v>0.72370000000000001</c:v>
                </c:pt>
                <c:pt idx="4">
                  <c:v>0.47320000000000001</c:v>
                </c:pt>
                <c:pt idx="5">
                  <c:v>0.30740000000000001</c:v>
                </c:pt>
                <c:pt idx="6">
                  <c:v>5.04E-2</c:v>
                </c:pt>
                <c:pt idx="7">
                  <c:v>-0.3256</c:v>
                </c:pt>
                <c:pt idx="8">
                  <c:v>-0.5907</c:v>
                </c:pt>
                <c:pt idx="10">
                  <c:v>-2.5701000000000001</c:v>
                </c:pt>
                <c:pt idx="11">
                  <c:v>-6.28</c:v>
                </c:pt>
                <c:pt idx="12">
                  <c:v>-14.129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3649920"/>
        <c:axId val="303651456"/>
      </c:scatterChart>
      <c:valAx>
        <c:axId val="3036499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03651456"/>
        <c:crosses val="autoZero"/>
        <c:crossBetween val="midCat"/>
      </c:valAx>
      <c:valAx>
        <c:axId val="303651456"/>
        <c:scaling>
          <c:orientation val="minMax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crossAx val="303649920"/>
        <c:crossesAt val="-0.5"/>
        <c:crossBetween val="midCat"/>
      </c:valAx>
    </c:plotArea>
    <c:legend>
      <c:legendPos val="r"/>
      <c:legendEntry>
        <c:idx val="2"/>
        <c:delete val="1"/>
      </c:legendEntry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OscBC!$C$189</c:f>
              <c:strCache>
                <c:ptCount val="1"/>
                <c:pt idx="0">
                  <c:v>hi x</c:v>
                </c:pt>
              </c:strCache>
            </c:strRef>
          </c:tx>
          <c:spPr>
            <a:ln w="28575">
              <a:noFill/>
            </a:ln>
          </c:spPr>
          <c:trendline>
            <c:trendlineType val="power"/>
            <c:dispRSqr val="0"/>
            <c:dispEq val="1"/>
            <c:trendlineLbl>
              <c:layout>
                <c:manualLayout>
                  <c:x val="0.23862379702537184"/>
                  <c:y val="-0.16261811023622047"/>
                </c:manualLayout>
              </c:layout>
              <c:numFmt formatCode="General" sourceLinked="0"/>
            </c:trendlineLbl>
          </c:trendline>
          <c:trendline>
            <c:trendlineType val="exp"/>
            <c:dispRSqr val="0"/>
            <c:dispEq val="1"/>
            <c:trendlineLbl>
              <c:layout>
                <c:manualLayout>
                  <c:x val="0.17195713035870516"/>
                  <c:y val="-0.2084401428988043"/>
                </c:manualLayout>
              </c:layout>
              <c:numFmt formatCode="General" sourceLinked="0"/>
            </c:trendlineLbl>
          </c:trendline>
          <c:xVal>
            <c:numRef>
              <c:f>(OscBC!$B$200,OscBC!$B$200:$B$202)</c:f>
              <c:numCache>
                <c:formatCode>General</c:formatCode>
                <c:ptCount val="4"/>
                <c:pt idx="0">
                  <c:v>-0.1</c:v>
                </c:pt>
                <c:pt idx="1">
                  <c:v>-0.1</c:v>
                </c:pt>
                <c:pt idx="2">
                  <c:v>-0.3</c:v>
                </c:pt>
                <c:pt idx="3">
                  <c:v>-0.5</c:v>
                </c:pt>
              </c:numCache>
            </c:numRef>
          </c:xVal>
          <c:yVal>
            <c:numRef>
              <c:f>(OscBC!$C$200,OscBC!$C$200:$C$202)</c:f>
              <c:numCache>
                <c:formatCode>0.000</c:formatCode>
                <c:ptCount val="4"/>
                <c:pt idx="0">
                  <c:v>3.5649999999999999</c:v>
                </c:pt>
                <c:pt idx="1">
                  <c:v>3.5649999999999999</c:v>
                </c:pt>
                <c:pt idx="2">
                  <c:v>7.7225000000000001</c:v>
                </c:pt>
                <c:pt idx="3">
                  <c:v>15.1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OscBC!$D$189</c:f>
              <c:strCache>
                <c:ptCount val="1"/>
                <c:pt idx="0">
                  <c:v>hi c</c:v>
                </c:pt>
              </c:strCache>
            </c:strRef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layout>
                <c:manualLayout>
                  <c:x val="0.2"/>
                  <c:y val="0.16273476232137649"/>
                </c:manualLayout>
              </c:layout>
              <c:numFmt formatCode="General" sourceLinked="0"/>
            </c:trendlineLbl>
          </c:trendline>
          <c:xVal>
            <c:numRef>
              <c:f>(OscBC!$B$200,OscBC!$B$200:$B$202)</c:f>
              <c:numCache>
                <c:formatCode>General</c:formatCode>
                <c:ptCount val="4"/>
                <c:pt idx="0">
                  <c:v>-0.1</c:v>
                </c:pt>
                <c:pt idx="1">
                  <c:v>-0.1</c:v>
                </c:pt>
                <c:pt idx="2">
                  <c:v>-0.3</c:v>
                </c:pt>
                <c:pt idx="3">
                  <c:v>-0.5</c:v>
                </c:pt>
              </c:numCache>
            </c:numRef>
          </c:xVal>
          <c:yVal>
            <c:numRef>
              <c:f>(OscBC!$D$200,OscBC!$D$200:$D$202)</c:f>
              <c:numCache>
                <c:formatCode>0.000</c:formatCode>
                <c:ptCount val="4"/>
                <c:pt idx="0">
                  <c:v>-2.5701000000000001</c:v>
                </c:pt>
                <c:pt idx="1">
                  <c:v>-2.5701000000000001</c:v>
                </c:pt>
                <c:pt idx="2">
                  <c:v>-6.28</c:v>
                </c:pt>
                <c:pt idx="3">
                  <c:v>-14.129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3687552"/>
        <c:axId val="303689088"/>
      </c:scatterChart>
      <c:valAx>
        <c:axId val="303687552"/>
        <c:scaling>
          <c:orientation val="minMax"/>
          <c:max val="0.5"/>
          <c:min val="-0.5"/>
        </c:scaling>
        <c:delete val="0"/>
        <c:axPos val="b"/>
        <c:numFmt formatCode="General" sourceLinked="1"/>
        <c:majorTickMark val="out"/>
        <c:minorTickMark val="none"/>
        <c:tickLblPos val="nextTo"/>
        <c:crossAx val="303689088"/>
        <c:crosses val="autoZero"/>
        <c:crossBetween val="midCat"/>
      </c:valAx>
      <c:valAx>
        <c:axId val="303689088"/>
        <c:scaling>
          <c:orientation val="minMax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crossAx val="303687552"/>
        <c:crossesAt val="-0.5"/>
        <c:crossBetween val="midCat"/>
      </c:valAx>
    </c:plotArea>
    <c:legend>
      <c:legendPos val="r"/>
      <c:legendEntry>
        <c:idx val="2"/>
        <c:delete val="1"/>
      </c:legendEntry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2105796150481189"/>
          <c:y val="0.12535906969962088"/>
          <c:w val="0.68440857392825893"/>
          <c:h val="0.68921660834062404"/>
        </c:manualLayout>
      </c:layout>
      <c:scatterChart>
        <c:scatterStyle val="lineMarker"/>
        <c:varyColors val="0"/>
        <c:ser>
          <c:idx val="0"/>
          <c:order val="0"/>
          <c:tx>
            <c:strRef>
              <c:f>OscBC!$H$189</c:f>
              <c:strCache>
                <c:ptCount val="1"/>
                <c:pt idx="0">
                  <c:v>mid x^2</c:v>
                </c:pt>
              </c:strCache>
            </c:strRef>
          </c:tx>
          <c:spPr>
            <a:ln w="28575">
              <a:noFill/>
            </a:ln>
          </c:spPr>
          <c:trendline>
            <c:trendlineType val="linear"/>
            <c:dispRSqr val="0"/>
            <c:dispEq val="1"/>
            <c:trendlineLbl>
              <c:numFmt formatCode="General" sourceLinked="0"/>
            </c:trendlineLbl>
          </c:trendline>
          <c:xVal>
            <c:numRef>
              <c:f>OscBC!$B$194:$B$198</c:f>
              <c:numCache>
                <c:formatCode>General</c:formatCode>
                <c:ptCount val="5"/>
                <c:pt idx="0">
                  <c:v>0.2</c:v>
                </c:pt>
                <c:pt idx="1">
                  <c:v>0.15</c:v>
                </c:pt>
                <c:pt idx="2">
                  <c:v>0.1</c:v>
                </c:pt>
                <c:pt idx="3">
                  <c:v>0.05</c:v>
                </c:pt>
                <c:pt idx="4">
                  <c:v>0.02</c:v>
                </c:pt>
              </c:numCache>
            </c:numRef>
          </c:xVal>
          <c:yVal>
            <c:numRef>
              <c:f>OscBC!$H$194:$H$198</c:f>
              <c:numCache>
                <c:formatCode>0.000</c:formatCode>
                <c:ptCount val="5"/>
                <c:pt idx="0">
                  <c:v>0.91590000000000005</c:v>
                </c:pt>
                <c:pt idx="1">
                  <c:v>1.0013000000000001</c:v>
                </c:pt>
                <c:pt idx="2">
                  <c:v>0.77559999999999996</c:v>
                </c:pt>
                <c:pt idx="3">
                  <c:v>1.1932</c:v>
                </c:pt>
                <c:pt idx="4">
                  <c:v>1.0569999999999999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3718784"/>
        <c:axId val="303720320"/>
      </c:scatterChart>
      <c:valAx>
        <c:axId val="3037187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03720320"/>
        <c:crosses val="autoZero"/>
        <c:crossBetween val="midCat"/>
      </c:valAx>
      <c:valAx>
        <c:axId val="303720320"/>
        <c:scaling>
          <c:orientation val="minMax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crossAx val="30371878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OscBC!$I$189</c:f>
              <c:strCache>
                <c:ptCount val="1"/>
                <c:pt idx="0">
                  <c:v>mid x</c:v>
                </c:pt>
              </c:strCache>
            </c:strRef>
          </c:tx>
          <c:spPr>
            <a:ln w="28575">
              <a:noFill/>
            </a:ln>
          </c:spPr>
          <c:trendline>
            <c:trendlineType val="linear"/>
            <c:dispRSqr val="0"/>
            <c:dispEq val="1"/>
            <c:trendlineLbl>
              <c:numFmt formatCode="General" sourceLinked="0"/>
            </c:trendlineLbl>
          </c:trendline>
          <c:xVal>
            <c:numRef>
              <c:f>OscBC!$B$191:$B$198</c:f>
              <c:numCache>
                <c:formatCode>General</c:formatCode>
                <c:ptCount val="8"/>
                <c:pt idx="0">
                  <c:v>0.4</c:v>
                </c:pt>
                <c:pt idx="1">
                  <c:v>0.35</c:v>
                </c:pt>
                <c:pt idx="2">
                  <c:v>0.3</c:v>
                </c:pt>
                <c:pt idx="3">
                  <c:v>0.2</c:v>
                </c:pt>
                <c:pt idx="4">
                  <c:v>0.15</c:v>
                </c:pt>
                <c:pt idx="5">
                  <c:v>0.1</c:v>
                </c:pt>
                <c:pt idx="6">
                  <c:v>0.05</c:v>
                </c:pt>
                <c:pt idx="7">
                  <c:v>0.02</c:v>
                </c:pt>
              </c:numCache>
            </c:numRef>
          </c:xVal>
          <c:yVal>
            <c:numRef>
              <c:f>OscBC!$I$191:$I$198</c:f>
              <c:numCache>
                <c:formatCode>0.000</c:formatCode>
                <c:ptCount val="8"/>
                <c:pt idx="0">
                  <c:v>1.7885</c:v>
                </c:pt>
                <c:pt idx="1">
                  <c:v>1.6966000000000001</c:v>
                </c:pt>
                <c:pt idx="2">
                  <c:v>1.5585</c:v>
                </c:pt>
                <c:pt idx="3">
                  <c:v>0.85319999999999996</c:v>
                </c:pt>
                <c:pt idx="4">
                  <c:v>0.64570000000000005</c:v>
                </c:pt>
                <c:pt idx="5">
                  <c:v>0.55989999999999995</c:v>
                </c:pt>
                <c:pt idx="6">
                  <c:v>6.3399999999999998E-2</c:v>
                </c:pt>
                <c:pt idx="7">
                  <c:v>1.84E-2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4679552"/>
        <c:axId val="304685440"/>
      </c:scatterChart>
      <c:valAx>
        <c:axId val="3046795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04685440"/>
        <c:crosses val="autoZero"/>
        <c:crossBetween val="midCat"/>
      </c:valAx>
      <c:valAx>
        <c:axId val="304685440"/>
        <c:scaling>
          <c:orientation val="minMax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crossAx val="30467955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OscBC!$H$189</c:f>
              <c:strCache>
                <c:ptCount val="1"/>
                <c:pt idx="0">
                  <c:v>mid x^2</c:v>
                </c:pt>
              </c:strCache>
            </c:strRef>
          </c:tx>
          <c:spPr>
            <a:ln w="28575">
              <a:noFill/>
            </a:ln>
          </c:spPr>
          <c:trendline>
            <c:trendlineType val="linear"/>
            <c:dispRSqr val="0"/>
            <c:dispEq val="1"/>
            <c:trendlineLbl>
              <c:numFmt formatCode="General" sourceLinked="0"/>
            </c:trendlineLbl>
          </c:trendline>
          <c:xVal>
            <c:numRef>
              <c:f>OscBC!$B$200:$B$202</c:f>
              <c:numCache>
                <c:formatCode>General</c:formatCode>
                <c:ptCount val="3"/>
                <c:pt idx="0">
                  <c:v>-0.1</c:v>
                </c:pt>
                <c:pt idx="1">
                  <c:v>-0.3</c:v>
                </c:pt>
                <c:pt idx="2">
                  <c:v>-0.5</c:v>
                </c:pt>
              </c:numCache>
            </c:numRef>
          </c:xVal>
          <c:yVal>
            <c:numRef>
              <c:f>OscBC!$H$200:$H$202</c:f>
              <c:numCache>
                <c:formatCode>0.000</c:formatCode>
                <c:ptCount val="3"/>
                <c:pt idx="0">
                  <c:v>1.0894999999999999</c:v>
                </c:pt>
                <c:pt idx="1">
                  <c:v>1.077</c:v>
                </c:pt>
                <c:pt idx="2">
                  <c:v>1.2814000000000001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4714880"/>
        <c:axId val="304716416"/>
      </c:scatterChart>
      <c:valAx>
        <c:axId val="3047148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04716416"/>
        <c:crosses val="autoZero"/>
        <c:crossBetween val="midCat"/>
      </c:valAx>
      <c:valAx>
        <c:axId val="304716416"/>
        <c:scaling>
          <c:orientation val="minMax"/>
          <c:max val="2"/>
          <c:min val="1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crossAx val="30471488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OscBC!$I$189</c:f>
              <c:strCache>
                <c:ptCount val="1"/>
                <c:pt idx="0">
                  <c:v>mid x</c:v>
                </c:pt>
              </c:strCache>
            </c:strRef>
          </c:tx>
          <c:spPr>
            <a:ln w="28575">
              <a:noFill/>
            </a:ln>
          </c:spPr>
          <c:trendline>
            <c:trendlineType val="linear"/>
            <c:dispRSqr val="0"/>
            <c:dispEq val="1"/>
            <c:trendlineLbl>
              <c:numFmt formatCode="General" sourceLinked="0"/>
            </c:trendlineLbl>
          </c:trendline>
          <c:xVal>
            <c:numRef>
              <c:f>OscBC!$B$200:$B$202</c:f>
              <c:numCache>
                <c:formatCode>General</c:formatCode>
                <c:ptCount val="3"/>
                <c:pt idx="0">
                  <c:v>-0.1</c:v>
                </c:pt>
                <c:pt idx="1">
                  <c:v>-0.3</c:v>
                </c:pt>
                <c:pt idx="2">
                  <c:v>-0.5</c:v>
                </c:pt>
              </c:numCache>
            </c:numRef>
          </c:xVal>
          <c:yVal>
            <c:numRef>
              <c:f>OscBC!$I$200:$I$202</c:f>
              <c:numCache>
                <c:formatCode>0.000</c:formatCode>
                <c:ptCount val="3"/>
                <c:pt idx="0">
                  <c:v>-0.29880000000000001</c:v>
                </c:pt>
                <c:pt idx="1">
                  <c:v>-0.68049999999999999</c:v>
                </c:pt>
                <c:pt idx="2">
                  <c:v>-1.3818999999999999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4725376"/>
        <c:axId val="304481408"/>
      </c:scatterChart>
      <c:valAx>
        <c:axId val="3047253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04481408"/>
        <c:crosses val="autoZero"/>
        <c:crossBetween val="midCat"/>
      </c:valAx>
      <c:valAx>
        <c:axId val="304481408"/>
        <c:scaling>
          <c:orientation val="minMax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crossAx val="30472537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OscBC!$J$189</c:f>
              <c:strCache>
                <c:ptCount val="1"/>
                <c:pt idx="0">
                  <c:v>mid c</c:v>
                </c:pt>
              </c:strCache>
            </c:strRef>
          </c:tx>
          <c:spPr>
            <a:ln w="28575">
              <a:noFill/>
            </a:ln>
          </c:spPr>
          <c:trendline>
            <c:trendlineType val="poly"/>
            <c:order val="2"/>
            <c:intercept val="0"/>
            <c:dispRSqr val="0"/>
            <c:dispEq val="1"/>
            <c:trendlineLbl>
              <c:numFmt formatCode="General" sourceLinked="0"/>
            </c:trendlineLbl>
          </c:trendline>
          <c:xVal>
            <c:numRef>
              <c:f>OscBC!$B$191:$B$196</c:f>
              <c:numCache>
                <c:formatCode>General</c:formatCode>
                <c:ptCount val="6"/>
                <c:pt idx="0">
                  <c:v>0.4</c:v>
                </c:pt>
                <c:pt idx="1">
                  <c:v>0.35</c:v>
                </c:pt>
                <c:pt idx="2">
                  <c:v>0.3</c:v>
                </c:pt>
                <c:pt idx="3">
                  <c:v>0.2</c:v>
                </c:pt>
                <c:pt idx="4">
                  <c:v>0.15</c:v>
                </c:pt>
                <c:pt idx="5">
                  <c:v>0.1</c:v>
                </c:pt>
              </c:numCache>
            </c:numRef>
          </c:xVal>
          <c:yVal>
            <c:numRef>
              <c:f>OscBC!$J$191:$J$196</c:f>
              <c:numCache>
                <c:formatCode>0.000</c:formatCode>
                <c:ptCount val="6"/>
                <c:pt idx="0">
                  <c:v>0.62370000000000003</c:v>
                </c:pt>
                <c:pt idx="1">
                  <c:v>0.46989999999999998</c:v>
                </c:pt>
                <c:pt idx="2">
                  <c:v>0.30180000000000001</c:v>
                </c:pt>
                <c:pt idx="3">
                  <c:v>0.12559999999999999</c:v>
                </c:pt>
                <c:pt idx="4">
                  <c:v>5.4100000000000002E-2</c:v>
                </c:pt>
                <c:pt idx="5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4511232"/>
        <c:axId val="304529408"/>
      </c:scatterChart>
      <c:valAx>
        <c:axId val="3045112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04529408"/>
        <c:crosses val="autoZero"/>
        <c:crossBetween val="midCat"/>
      </c:valAx>
      <c:valAx>
        <c:axId val="304529408"/>
        <c:scaling>
          <c:orientation val="minMax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crossAx val="30451123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OscBC!$J$189</c:f>
              <c:strCache>
                <c:ptCount val="1"/>
                <c:pt idx="0">
                  <c:v>mid c</c:v>
                </c:pt>
              </c:strCache>
            </c:strRef>
          </c:tx>
          <c:spPr>
            <a:ln w="28575">
              <a:noFill/>
            </a:ln>
          </c:spPr>
          <c:trendline>
            <c:trendlineType val="poly"/>
            <c:order val="2"/>
            <c:intercept val="0"/>
            <c:dispRSqr val="0"/>
            <c:dispEq val="1"/>
            <c:trendlineLbl>
              <c:numFmt formatCode="General" sourceLinked="0"/>
            </c:trendlineLbl>
          </c:trendline>
          <c:xVal>
            <c:numRef>
              <c:f>OscBC!$B$200:$B$202</c:f>
              <c:numCache>
                <c:formatCode>General</c:formatCode>
                <c:ptCount val="3"/>
                <c:pt idx="0">
                  <c:v>-0.1</c:v>
                </c:pt>
                <c:pt idx="1">
                  <c:v>-0.3</c:v>
                </c:pt>
                <c:pt idx="2">
                  <c:v>-0.5</c:v>
                </c:pt>
              </c:numCache>
            </c:numRef>
          </c:xVal>
          <c:yVal>
            <c:numRef>
              <c:f>OscBC!$J$200:$J$202</c:f>
              <c:numCache>
                <c:formatCode>0.000</c:formatCode>
                <c:ptCount val="3"/>
                <c:pt idx="0">
                  <c:v>2.3699999999999999E-2</c:v>
                </c:pt>
                <c:pt idx="1">
                  <c:v>0.10009999999999999</c:v>
                </c:pt>
                <c:pt idx="2">
                  <c:v>0.37040000000000001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4628480"/>
        <c:axId val="304630016"/>
      </c:scatterChart>
      <c:valAx>
        <c:axId val="3046284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04630016"/>
        <c:crosses val="autoZero"/>
        <c:crossBetween val="midCat"/>
      </c:valAx>
      <c:valAx>
        <c:axId val="304630016"/>
        <c:scaling>
          <c:orientation val="minMax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crossAx val="30462848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OscBC!$K$189</c:f>
              <c:strCache>
                <c:ptCount val="1"/>
                <c:pt idx="0">
                  <c:v>lo x^2</c:v>
                </c:pt>
              </c:strCache>
            </c:strRef>
          </c:tx>
          <c:spPr>
            <a:ln w="28575">
              <a:noFill/>
            </a:ln>
          </c:spPr>
          <c:xVal>
            <c:numRef>
              <c:f>OscBC!$B$193:$B$196</c:f>
              <c:numCache>
                <c:formatCode>General</c:formatCode>
                <c:ptCount val="4"/>
                <c:pt idx="0">
                  <c:v>0.3</c:v>
                </c:pt>
                <c:pt idx="1">
                  <c:v>0.2</c:v>
                </c:pt>
                <c:pt idx="2">
                  <c:v>0.15</c:v>
                </c:pt>
                <c:pt idx="3">
                  <c:v>0.1</c:v>
                </c:pt>
              </c:numCache>
            </c:numRef>
          </c:xVal>
          <c:yVal>
            <c:numRef>
              <c:f>OscBC!$K$193:$K$196</c:f>
              <c:numCache>
                <c:formatCode>0.000</c:formatCode>
                <c:ptCount val="4"/>
                <c:pt idx="0">
                  <c:v>145.44999999999999</c:v>
                </c:pt>
                <c:pt idx="1">
                  <c:v>42.420999999999999</c:v>
                </c:pt>
                <c:pt idx="2">
                  <c:v>22.355</c:v>
                </c:pt>
                <c:pt idx="3">
                  <c:v>9.3186999999999998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4646400"/>
        <c:axId val="304668672"/>
      </c:scatterChart>
      <c:valAx>
        <c:axId val="3046464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04668672"/>
        <c:crosses val="autoZero"/>
        <c:crossBetween val="midCat"/>
      </c:valAx>
      <c:valAx>
        <c:axId val="304668672"/>
        <c:scaling>
          <c:orientation val="minMax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crossAx val="30464640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OscBC!$L$189</c:f>
              <c:strCache>
                <c:ptCount val="1"/>
                <c:pt idx="0">
                  <c:v>lo x </c:v>
                </c:pt>
              </c:strCache>
            </c:strRef>
          </c:tx>
          <c:spPr>
            <a:ln w="28575">
              <a:noFill/>
            </a:ln>
          </c:spPr>
          <c:xVal>
            <c:numRef>
              <c:f>OscBC!$B$191:$B$198</c:f>
              <c:numCache>
                <c:formatCode>General</c:formatCode>
                <c:ptCount val="8"/>
                <c:pt idx="0">
                  <c:v>0.4</c:v>
                </c:pt>
                <c:pt idx="1">
                  <c:v>0.35</c:v>
                </c:pt>
                <c:pt idx="2">
                  <c:v>0.3</c:v>
                </c:pt>
                <c:pt idx="3">
                  <c:v>0.2</c:v>
                </c:pt>
                <c:pt idx="4">
                  <c:v>0.15</c:v>
                </c:pt>
                <c:pt idx="5">
                  <c:v>0.1</c:v>
                </c:pt>
                <c:pt idx="6">
                  <c:v>0.05</c:v>
                </c:pt>
                <c:pt idx="7">
                  <c:v>0.02</c:v>
                </c:pt>
              </c:numCache>
            </c:numRef>
          </c:xVal>
          <c:yVal>
            <c:numRef>
              <c:f>OscBC!$L$191:$L$198</c:f>
              <c:numCache>
                <c:formatCode>0.000</c:formatCode>
                <c:ptCount val="8"/>
                <c:pt idx="0">
                  <c:v>20.754999999999999</c:v>
                </c:pt>
                <c:pt idx="1">
                  <c:v>11.337</c:v>
                </c:pt>
                <c:pt idx="2">
                  <c:v>0.68410000000000004</c:v>
                </c:pt>
                <c:pt idx="3">
                  <c:v>0.74019999999999997</c:v>
                </c:pt>
                <c:pt idx="4">
                  <c:v>0.6169</c:v>
                </c:pt>
                <c:pt idx="5">
                  <c:v>0.22559999999999999</c:v>
                </c:pt>
                <c:pt idx="6">
                  <c:v>0.20019999999999999</c:v>
                </c:pt>
                <c:pt idx="7">
                  <c:v>0.27379999999999999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5090560"/>
        <c:axId val="305092096"/>
      </c:scatterChart>
      <c:valAx>
        <c:axId val="3050905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05092096"/>
        <c:crosses val="autoZero"/>
        <c:crossBetween val="midCat"/>
      </c:valAx>
      <c:valAx>
        <c:axId val="305092096"/>
        <c:scaling>
          <c:orientation val="minMax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crossAx val="30509056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OscBC!$L$189</c:f>
              <c:strCache>
                <c:ptCount val="1"/>
                <c:pt idx="0">
                  <c:v>lo x </c:v>
                </c:pt>
              </c:strCache>
            </c:strRef>
          </c:tx>
          <c:spPr>
            <a:ln w="28575">
              <a:noFill/>
            </a:ln>
          </c:spPr>
          <c:xVal>
            <c:numRef>
              <c:f>OscBC!$B$200:$B$202</c:f>
              <c:numCache>
                <c:formatCode>General</c:formatCode>
                <c:ptCount val="3"/>
                <c:pt idx="0">
                  <c:v>-0.1</c:v>
                </c:pt>
                <c:pt idx="1">
                  <c:v>-0.3</c:v>
                </c:pt>
                <c:pt idx="2">
                  <c:v>-0.5</c:v>
                </c:pt>
              </c:numCache>
            </c:numRef>
          </c:xVal>
          <c:yVal>
            <c:numRef>
              <c:f>OscBC!$L$200:$L$202</c:f>
              <c:numCache>
                <c:formatCode>0.000</c:formatCode>
                <c:ptCount val="3"/>
                <c:pt idx="0">
                  <c:v>6.7369999999999999E-2</c:v>
                </c:pt>
                <c:pt idx="1">
                  <c:v>6.1100000000000002E-2</c:v>
                </c:pt>
                <c:pt idx="2">
                  <c:v>5.5300000000000002E-2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5108096"/>
        <c:axId val="305109632"/>
      </c:scatterChart>
      <c:valAx>
        <c:axId val="3051080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05109632"/>
        <c:crosses val="autoZero"/>
        <c:crossBetween val="midCat"/>
      </c:valAx>
      <c:valAx>
        <c:axId val="305109632"/>
        <c:scaling>
          <c:orientation val="minMax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crossAx val="30510809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OscBC!$B$309:$B$344</c:f>
              <c:numCache>
                <c:formatCode>General</c:formatCode>
                <c:ptCount val="36"/>
                <c:pt idx="0">
                  <c:v>0.33070866141732286</c:v>
                </c:pt>
                <c:pt idx="1">
                  <c:v>0.32283464566929132</c:v>
                </c:pt>
                <c:pt idx="2">
                  <c:v>0.31496062992125984</c:v>
                </c:pt>
                <c:pt idx="3">
                  <c:v>0.30708661417322836</c:v>
                </c:pt>
                <c:pt idx="4">
                  <c:v>0.29921259842519687</c:v>
                </c:pt>
                <c:pt idx="5">
                  <c:v>0.29133858267716534</c:v>
                </c:pt>
                <c:pt idx="6">
                  <c:v>0.28346456692913385</c:v>
                </c:pt>
                <c:pt idx="7">
                  <c:v>0.27559055118110237</c:v>
                </c:pt>
                <c:pt idx="8">
                  <c:v>0.26771653543307089</c:v>
                </c:pt>
                <c:pt idx="9">
                  <c:v>0.25984251968503935</c:v>
                </c:pt>
                <c:pt idx="10">
                  <c:v>0.25196850393700787</c:v>
                </c:pt>
                <c:pt idx="11">
                  <c:v>0.24409448818897639</c:v>
                </c:pt>
                <c:pt idx="12">
                  <c:v>0.23622047244094488</c:v>
                </c:pt>
                <c:pt idx="13">
                  <c:v>0.2283464566929134</c:v>
                </c:pt>
                <c:pt idx="14">
                  <c:v>0.22047244094488189</c:v>
                </c:pt>
                <c:pt idx="15">
                  <c:v>0.2125984251968504</c:v>
                </c:pt>
                <c:pt idx="16">
                  <c:v>0.20472440944881889</c:v>
                </c:pt>
                <c:pt idx="17">
                  <c:v>0.19685039370078741</c:v>
                </c:pt>
                <c:pt idx="18">
                  <c:v>0.1889763779527559</c:v>
                </c:pt>
                <c:pt idx="19">
                  <c:v>0.18110236220472442</c:v>
                </c:pt>
                <c:pt idx="20">
                  <c:v>0.17322834645669291</c:v>
                </c:pt>
                <c:pt idx="21">
                  <c:v>0.16535433070866143</c:v>
                </c:pt>
                <c:pt idx="22">
                  <c:v>0.15748031496062992</c:v>
                </c:pt>
                <c:pt idx="23">
                  <c:v>0.14960629921259844</c:v>
                </c:pt>
                <c:pt idx="24">
                  <c:v>0.14173228346456693</c:v>
                </c:pt>
                <c:pt idx="25">
                  <c:v>0.13385826771653545</c:v>
                </c:pt>
                <c:pt idx="26">
                  <c:v>0.12598425196850394</c:v>
                </c:pt>
                <c:pt idx="27">
                  <c:v>0.11811023622047244</c:v>
                </c:pt>
                <c:pt idx="28">
                  <c:v>0.11023622047244094</c:v>
                </c:pt>
                <c:pt idx="29">
                  <c:v>0.10236220472440945</c:v>
                </c:pt>
                <c:pt idx="30">
                  <c:v>9.4488188976377951E-2</c:v>
                </c:pt>
                <c:pt idx="31">
                  <c:v>8.6614173228346455E-2</c:v>
                </c:pt>
                <c:pt idx="32">
                  <c:v>7.874015748031496E-2</c:v>
                </c:pt>
                <c:pt idx="33">
                  <c:v>7.0866141732283464E-2</c:v>
                </c:pt>
                <c:pt idx="34">
                  <c:v>6.2992125984251968E-2</c:v>
                </c:pt>
                <c:pt idx="35">
                  <c:v>5.5118110236220472E-2</c:v>
                </c:pt>
              </c:numCache>
            </c:numRef>
          </c:xVal>
          <c:yVal>
            <c:numRef>
              <c:f>OscBC!$J$309:$J$344</c:f>
              <c:numCache>
                <c:formatCode>0.000</c:formatCode>
                <c:ptCount val="36"/>
                <c:pt idx="0">
                  <c:v>5.5920801417322821</c:v>
                </c:pt>
                <c:pt idx="1">
                  <c:v>5.5555485669291329</c:v>
                </c:pt>
                <c:pt idx="2">
                  <c:v>5.5190169921259837</c:v>
                </c:pt>
                <c:pt idx="3">
                  <c:v>5.4824854173228337</c:v>
                </c:pt>
                <c:pt idx="4">
                  <c:v>5.4459538425196845</c:v>
                </c:pt>
                <c:pt idx="5">
                  <c:v>5.4094222677165344</c:v>
                </c:pt>
                <c:pt idx="6">
                  <c:v>5.3728906929133853</c:v>
                </c:pt>
                <c:pt idx="7">
                  <c:v>5.3363591181102352</c:v>
                </c:pt>
                <c:pt idx="8">
                  <c:v>5.2998275433070861</c:v>
                </c:pt>
                <c:pt idx="9">
                  <c:v>5.263295968503936</c:v>
                </c:pt>
                <c:pt idx="10">
                  <c:v>5.2267643937007868</c:v>
                </c:pt>
                <c:pt idx="11">
                  <c:v>5.1902328188976368</c:v>
                </c:pt>
                <c:pt idx="12">
                  <c:v>5.1537012440944876</c:v>
                </c:pt>
                <c:pt idx="13">
                  <c:v>5.1171696692913375</c:v>
                </c:pt>
                <c:pt idx="14">
                  <c:v>5.0806380944881884</c:v>
                </c:pt>
                <c:pt idx="15">
                  <c:v>5.0441065196850383</c:v>
                </c:pt>
                <c:pt idx="16">
                  <c:v>5.0075749448818891</c:v>
                </c:pt>
                <c:pt idx="17">
                  <c:v>4.9710433700787391</c:v>
                </c:pt>
                <c:pt idx="18">
                  <c:v>4.9345117952755899</c:v>
                </c:pt>
                <c:pt idx="19">
                  <c:v>4.8979802204724399</c:v>
                </c:pt>
                <c:pt idx="20">
                  <c:v>4.8614486456692907</c:v>
                </c:pt>
                <c:pt idx="21">
                  <c:v>4.8249170708661406</c:v>
                </c:pt>
                <c:pt idx="22">
                  <c:v>4.7883854960629915</c:v>
                </c:pt>
                <c:pt idx="23">
                  <c:v>4.7518539212598414</c:v>
                </c:pt>
                <c:pt idx="24">
                  <c:v>4.7153223464566922</c:v>
                </c:pt>
                <c:pt idx="25">
                  <c:v>4.6787907716535422</c:v>
                </c:pt>
                <c:pt idx="26">
                  <c:v>4.642259196850393</c:v>
                </c:pt>
                <c:pt idx="27">
                  <c:v>4.605727622047243</c:v>
                </c:pt>
                <c:pt idx="28">
                  <c:v>4.5691960472440938</c:v>
                </c:pt>
                <c:pt idx="29">
                  <c:v>4.5326644724409437</c:v>
                </c:pt>
                <c:pt idx="30">
                  <c:v>4.4961328976377946</c:v>
                </c:pt>
                <c:pt idx="31">
                  <c:v>4.4596013228346445</c:v>
                </c:pt>
                <c:pt idx="32">
                  <c:v>4.4230697480314953</c:v>
                </c:pt>
                <c:pt idx="33">
                  <c:v>4.3865381732283453</c:v>
                </c:pt>
                <c:pt idx="34">
                  <c:v>4.3500065984251961</c:v>
                </c:pt>
                <c:pt idx="35">
                  <c:v>4.313475023622046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5130112"/>
        <c:axId val="305140096"/>
      </c:scatterChart>
      <c:valAx>
        <c:axId val="3051301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05140096"/>
        <c:crosses val="autoZero"/>
        <c:crossBetween val="midCat"/>
      </c:valAx>
      <c:valAx>
        <c:axId val="305140096"/>
        <c:scaling>
          <c:orientation val="minMax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crossAx val="30513011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OscBC!$B$4:$B$131</c:f>
              <c:numCache>
                <c:formatCode>General</c:formatCode>
                <c:ptCount val="121"/>
                <c:pt idx="0">
                  <c:v>1</c:v>
                </c:pt>
                <c:pt idx="1">
                  <c:v>0.99212598425196852</c:v>
                </c:pt>
                <c:pt idx="2">
                  <c:v>0.98425196850393704</c:v>
                </c:pt>
                <c:pt idx="3">
                  <c:v>0.97637795275590555</c:v>
                </c:pt>
                <c:pt idx="4">
                  <c:v>0.96850393700787396</c:v>
                </c:pt>
                <c:pt idx="5">
                  <c:v>0.96062992125984248</c:v>
                </c:pt>
                <c:pt idx="6">
                  <c:v>0.952755905511811</c:v>
                </c:pt>
                <c:pt idx="7">
                  <c:v>0.94488188976377951</c:v>
                </c:pt>
                <c:pt idx="8">
                  <c:v>0.93700787401574803</c:v>
                </c:pt>
                <c:pt idx="9">
                  <c:v>0.92913385826771655</c:v>
                </c:pt>
                <c:pt idx="10">
                  <c:v>0.92125984251968507</c:v>
                </c:pt>
                <c:pt idx="11">
                  <c:v>0.91338582677165359</c:v>
                </c:pt>
                <c:pt idx="12">
                  <c:v>0.90551181102362199</c:v>
                </c:pt>
                <c:pt idx="13">
                  <c:v>0.89763779527559051</c:v>
                </c:pt>
                <c:pt idx="14">
                  <c:v>0.88976377952755903</c:v>
                </c:pt>
                <c:pt idx="15">
                  <c:v>0.88188976377952755</c:v>
                </c:pt>
                <c:pt idx="16">
                  <c:v>0.87401574803149606</c:v>
                </c:pt>
                <c:pt idx="17">
                  <c:v>0.86614173228346458</c:v>
                </c:pt>
                <c:pt idx="18">
                  <c:v>0.8582677165354331</c:v>
                </c:pt>
                <c:pt idx="19">
                  <c:v>0.85039370078740162</c:v>
                </c:pt>
                <c:pt idx="20">
                  <c:v>0.84251968503937003</c:v>
                </c:pt>
                <c:pt idx="21">
                  <c:v>0.83464566929133854</c:v>
                </c:pt>
                <c:pt idx="22">
                  <c:v>0.82677165354330706</c:v>
                </c:pt>
                <c:pt idx="23">
                  <c:v>0.81889763779527558</c:v>
                </c:pt>
                <c:pt idx="24">
                  <c:v>0.8110236220472441</c:v>
                </c:pt>
                <c:pt idx="25">
                  <c:v>0.80314960629921262</c:v>
                </c:pt>
                <c:pt idx="26">
                  <c:v>0.79527559055118113</c:v>
                </c:pt>
                <c:pt idx="27">
                  <c:v>0.78740157480314965</c:v>
                </c:pt>
                <c:pt idx="28">
                  <c:v>0.77952755905511806</c:v>
                </c:pt>
                <c:pt idx="29">
                  <c:v>0.77165354330708658</c:v>
                </c:pt>
                <c:pt idx="30">
                  <c:v>0.76377952755905509</c:v>
                </c:pt>
                <c:pt idx="31">
                  <c:v>0.75590551181102361</c:v>
                </c:pt>
                <c:pt idx="32">
                  <c:v>0.69291338582677164</c:v>
                </c:pt>
                <c:pt idx="33">
                  <c:v>0.68503937007874016</c:v>
                </c:pt>
                <c:pt idx="34">
                  <c:v>0.67716535433070868</c:v>
                </c:pt>
                <c:pt idx="35">
                  <c:v>0.6692913385826772</c:v>
                </c:pt>
                <c:pt idx="36">
                  <c:v>0.66141732283464572</c:v>
                </c:pt>
                <c:pt idx="37">
                  <c:v>0.65354330708661412</c:v>
                </c:pt>
                <c:pt idx="38">
                  <c:v>0.64566929133858264</c:v>
                </c:pt>
                <c:pt idx="39">
                  <c:v>0.63779527559055116</c:v>
                </c:pt>
                <c:pt idx="40">
                  <c:v>0.62992125984251968</c:v>
                </c:pt>
                <c:pt idx="41">
                  <c:v>0.62204724409448819</c:v>
                </c:pt>
                <c:pt idx="42">
                  <c:v>0.61417322834645671</c:v>
                </c:pt>
                <c:pt idx="43">
                  <c:v>0.60629921259842523</c:v>
                </c:pt>
                <c:pt idx="44">
                  <c:v>0.59842519685039375</c:v>
                </c:pt>
                <c:pt idx="45">
                  <c:v>0.59055118110236215</c:v>
                </c:pt>
                <c:pt idx="46">
                  <c:v>0.58267716535433067</c:v>
                </c:pt>
                <c:pt idx="47">
                  <c:v>0.57480314960629919</c:v>
                </c:pt>
                <c:pt idx="48">
                  <c:v>0.56692913385826771</c:v>
                </c:pt>
                <c:pt idx="49">
                  <c:v>0.55905511811023623</c:v>
                </c:pt>
                <c:pt idx="50">
                  <c:v>0.55118110236220474</c:v>
                </c:pt>
                <c:pt idx="51">
                  <c:v>0.54330708661417326</c:v>
                </c:pt>
                <c:pt idx="52">
                  <c:v>0.53543307086614178</c:v>
                </c:pt>
                <c:pt idx="53">
                  <c:v>0.52755905511811019</c:v>
                </c:pt>
                <c:pt idx="54">
                  <c:v>0.51968503937007871</c:v>
                </c:pt>
                <c:pt idx="55">
                  <c:v>0.51181102362204722</c:v>
                </c:pt>
                <c:pt idx="56">
                  <c:v>0.50393700787401574</c:v>
                </c:pt>
                <c:pt idx="57">
                  <c:v>0.49606299212598426</c:v>
                </c:pt>
                <c:pt idx="58">
                  <c:v>0.48818897637795278</c:v>
                </c:pt>
                <c:pt idx="59">
                  <c:v>0.48031496062992124</c:v>
                </c:pt>
                <c:pt idx="60">
                  <c:v>0.47244094488188976</c:v>
                </c:pt>
                <c:pt idx="61">
                  <c:v>0.46456692913385828</c:v>
                </c:pt>
                <c:pt idx="62">
                  <c:v>0.45669291338582679</c:v>
                </c:pt>
                <c:pt idx="63">
                  <c:v>0.44881889763779526</c:v>
                </c:pt>
                <c:pt idx="64">
                  <c:v>0.44094488188976377</c:v>
                </c:pt>
                <c:pt idx="65">
                  <c:v>0.43307086614173229</c:v>
                </c:pt>
                <c:pt idx="66">
                  <c:v>0.42519685039370081</c:v>
                </c:pt>
                <c:pt idx="67">
                  <c:v>0.41732283464566927</c:v>
                </c:pt>
                <c:pt idx="68">
                  <c:v>0.40944881889763779</c:v>
                </c:pt>
                <c:pt idx="69">
                  <c:v>0.40157480314960631</c:v>
                </c:pt>
                <c:pt idx="70">
                  <c:v>0.39370078740157483</c:v>
                </c:pt>
                <c:pt idx="71">
                  <c:v>0.38582677165354329</c:v>
                </c:pt>
                <c:pt idx="72">
                  <c:v>0.37795275590551181</c:v>
                </c:pt>
                <c:pt idx="73">
                  <c:v>0.37007874015748032</c:v>
                </c:pt>
                <c:pt idx="74">
                  <c:v>0.36220472440944884</c:v>
                </c:pt>
                <c:pt idx="75">
                  <c:v>0.3543307086614173</c:v>
                </c:pt>
                <c:pt idx="76">
                  <c:v>0.34645669291338582</c:v>
                </c:pt>
                <c:pt idx="77">
                  <c:v>0.33858267716535434</c:v>
                </c:pt>
                <c:pt idx="78">
                  <c:v>0.33070866141732286</c:v>
                </c:pt>
                <c:pt idx="79">
                  <c:v>0.32283464566929132</c:v>
                </c:pt>
                <c:pt idx="80">
                  <c:v>0.31496062992125984</c:v>
                </c:pt>
                <c:pt idx="81">
                  <c:v>0.30708661417322836</c:v>
                </c:pt>
                <c:pt idx="82">
                  <c:v>0.29921259842519687</c:v>
                </c:pt>
                <c:pt idx="83">
                  <c:v>0.29133858267716534</c:v>
                </c:pt>
                <c:pt idx="84">
                  <c:v>0.28346456692913385</c:v>
                </c:pt>
                <c:pt idx="85">
                  <c:v>0.27559055118110237</c:v>
                </c:pt>
                <c:pt idx="86">
                  <c:v>0.26771653543307089</c:v>
                </c:pt>
                <c:pt idx="87">
                  <c:v>0.25984251968503935</c:v>
                </c:pt>
                <c:pt idx="88">
                  <c:v>0.25196850393700787</c:v>
                </c:pt>
                <c:pt idx="89">
                  <c:v>0.24409448818897639</c:v>
                </c:pt>
                <c:pt idx="90">
                  <c:v>0.23622047244094488</c:v>
                </c:pt>
                <c:pt idx="91">
                  <c:v>0.2283464566929134</c:v>
                </c:pt>
                <c:pt idx="92">
                  <c:v>0.22047244094488189</c:v>
                </c:pt>
                <c:pt idx="93">
                  <c:v>0.2125984251968504</c:v>
                </c:pt>
                <c:pt idx="94">
                  <c:v>0.20472440944881889</c:v>
                </c:pt>
                <c:pt idx="95">
                  <c:v>0.19685039370078741</c:v>
                </c:pt>
                <c:pt idx="96">
                  <c:v>0.1889763779527559</c:v>
                </c:pt>
                <c:pt idx="97">
                  <c:v>0.18110236220472442</c:v>
                </c:pt>
                <c:pt idx="98">
                  <c:v>0.17322834645669291</c:v>
                </c:pt>
                <c:pt idx="99">
                  <c:v>0.16535433070866143</c:v>
                </c:pt>
                <c:pt idx="100">
                  <c:v>0.15748031496062992</c:v>
                </c:pt>
                <c:pt idx="101">
                  <c:v>0.14960629921259844</c:v>
                </c:pt>
                <c:pt idx="102">
                  <c:v>0.14173228346456693</c:v>
                </c:pt>
                <c:pt idx="103">
                  <c:v>0.13385826771653545</c:v>
                </c:pt>
                <c:pt idx="104">
                  <c:v>0.12598425196850394</c:v>
                </c:pt>
                <c:pt idx="105">
                  <c:v>0.11811023622047244</c:v>
                </c:pt>
                <c:pt idx="106">
                  <c:v>0.11023622047244094</c:v>
                </c:pt>
                <c:pt idx="107">
                  <c:v>0.10236220472440945</c:v>
                </c:pt>
                <c:pt idx="108">
                  <c:v>9.4488188976377951E-2</c:v>
                </c:pt>
                <c:pt idx="109">
                  <c:v>8.6614173228346455E-2</c:v>
                </c:pt>
                <c:pt idx="110">
                  <c:v>7.874015748031496E-2</c:v>
                </c:pt>
                <c:pt idx="111">
                  <c:v>7.0866141732283464E-2</c:v>
                </c:pt>
                <c:pt idx="112">
                  <c:v>6.2992125984251968E-2</c:v>
                </c:pt>
                <c:pt idx="113">
                  <c:v>5.5118110236220472E-2</c:v>
                </c:pt>
                <c:pt idx="114">
                  <c:v>4.7244094488188976E-2</c:v>
                </c:pt>
                <c:pt idx="115">
                  <c:v>3.937007874015748E-2</c:v>
                </c:pt>
                <c:pt idx="116">
                  <c:v>3.1496062992125984E-2</c:v>
                </c:pt>
                <c:pt idx="117">
                  <c:v>2.3622047244094488E-2</c:v>
                </c:pt>
                <c:pt idx="118">
                  <c:v>1.5748031496062992E-2</c:v>
                </c:pt>
                <c:pt idx="119">
                  <c:v>7.874015748031496E-3</c:v>
                </c:pt>
                <c:pt idx="120">
                  <c:v>0</c:v>
                </c:pt>
              </c:numCache>
            </c:numRef>
          </c:xVal>
          <c:yVal>
            <c:numRef>
              <c:f>OscBC!$W$4:$W$131</c:f>
              <c:numCache>
                <c:formatCode>0.000</c:formatCode>
                <c:ptCount val="121"/>
                <c:pt idx="0">
                  <c:v>1</c:v>
                </c:pt>
                <c:pt idx="48">
                  <c:v>0.79926628365750674</c:v>
                </c:pt>
                <c:pt idx="56">
                  <c:v>0.77503980065065414</c:v>
                </c:pt>
                <c:pt idx="64">
                  <c:v>0.72658683463694884</c:v>
                </c:pt>
                <c:pt idx="72">
                  <c:v>0.64698553332871878</c:v>
                </c:pt>
                <c:pt idx="78">
                  <c:v>0.57430608430816088</c:v>
                </c:pt>
                <c:pt idx="84">
                  <c:v>0.50508756143143907</c:v>
                </c:pt>
                <c:pt idx="88">
                  <c:v>0.46009552156156985</c:v>
                </c:pt>
                <c:pt idx="92">
                  <c:v>0.40472070326019244</c:v>
                </c:pt>
                <c:pt idx="96">
                  <c:v>0.3770332941095037</c:v>
                </c:pt>
                <c:pt idx="102">
                  <c:v>0.31923582750744095</c:v>
                </c:pt>
                <c:pt idx="108">
                  <c:v>0.26732193534989962</c:v>
                </c:pt>
                <c:pt idx="110">
                  <c:v>0.25140167508825362</c:v>
                </c:pt>
                <c:pt idx="112">
                  <c:v>0.18564407835536789</c:v>
                </c:pt>
                <c:pt idx="116">
                  <c:v>3.9246902471101269E-2</c:v>
                </c:pt>
                <c:pt idx="120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5172480"/>
        <c:axId val="305174016"/>
      </c:scatterChart>
      <c:valAx>
        <c:axId val="3051724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05174016"/>
        <c:crosses val="autoZero"/>
        <c:crossBetween val="midCat"/>
      </c:valAx>
      <c:valAx>
        <c:axId val="305174016"/>
        <c:scaling>
          <c:orientation val="minMax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crossAx val="30517248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994685039370081"/>
          <c:y val="5.1400554097404488E-2"/>
          <c:w val="0.69590135608048997"/>
          <c:h val="0.8326195683872849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OscBC!$A$224:$A$351</c:f>
              <c:numCache>
                <c:formatCode>General</c:formatCode>
                <c:ptCount val="128"/>
                <c:pt idx="0">
                  <c:v>127</c:v>
                </c:pt>
                <c:pt idx="1">
                  <c:v>126</c:v>
                </c:pt>
                <c:pt idx="2">
                  <c:v>125</c:v>
                </c:pt>
                <c:pt idx="3">
                  <c:v>124</c:v>
                </c:pt>
                <c:pt idx="4">
                  <c:v>123</c:v>
                </c:pt>
                <c:pt idx="5">
                  <c:v>122</c:v>
                </c:pt>
                <c:pt idx="6">
                  <c:v>121</c:v>
                </c:pt>
                <c:pt idx="7">
                  <c:v>120</c:v>
                </c:pt>
                <c:pt idx="8">
                  <c:v>119</c:v>
                </c:pt>
                <c:pt idx="9">
                  <c:v>118</c:v>
                </c:pt>
                <c:pt idx="10">
                  <c:v>117</c:v>
                </c:pt>
                <c:pt idx="11">
                  <c:v>116</c:v>
                </c:pt>
                <c:pt idx="12">
                  <c:v>115</c:v>
                </c:pt>
                <c:pt idx="13">
                  <c:v>114</c:v>
                </c:pt>
                <c:pt idx="14">
                  <c:v>113</c:v>
                </c:pt>
                <c:pt idx="15">
                  <c:v>112</c:v>
                </c:pt>
                <c:pt idx="16">
                  <c:v>111</c:v>
                </c:pt>
                <c:pt idx="17">
                  <c:v>110</c:v>
                </c:pt>
                <c:pt idx="18">
                  <c:v>109</c:v>
                </c:pt>
                <c:pt idx="19">
                  <c:v>108</c:v>
                </c:pt>
                <c:pt idx="20">
                  <c:v>107</c:v>
                </c:pt>
                <c:pt idx="21">
                  <c:v>106</c:v>
                </c:pt>
                <c:pt idx="22">
                  <c:v>105</c:v>
                </c:pt>
                <c:pt idx="23">
                  <c:v>104</c:v>
                </c:pt>
                <c:pt idx="24">
                  <c:v>103</c:v>
                </c:pt>
                <c:pt idx="25">
                  <c:v>102</c:v>
                </c:pt>
                <c:pt idx="26">
                  <c:v>101</c:v>
                </c:pt>
                <c:pt idx="27">
                  <c:v>100</c:v>
                </c:pt>
                <c:pt idx="28">
                  <c:v>99</c:v>
                </c:pt>
                <c:pt idx="29">
                  <c:v>98</c:v>
                </c:pt>
                <c:pt idx="30">
                  <c:v>97</c:v>
                </c:pt>
                <c:pt idx="31">
                  <c:v>96</c:v>
                </c:pt>
                <c:pt idx="32">
                  <c:v>95</c:v>
                </c:pt>
                <c:pt idx="33">
                  <c:v>94</c:v>
                </c:pt>
                <c:pt idx="34">
                  <c:v>93</c:v>
                </c:pt>
                <c:pt idx="35">
                  <c:v>92</c:v>
                </c:pt>
                <c:pt idx="36">
                  <c:v>91</c:v>
                </c:pt>
                <c:pt idx="37">
                  <c:v>90</c:v>
                </c:pt>
                <c:pt idx="38">
                  <c:v>89</c:v>
                </c:pt>
                <c:pt idx="39">
                  <c:v>88</c:v>
                </c:pt>
                <c:pt idx="40">
                  <c:v>87</c:v>
                </c:pt>
                <c:pt idx="41">
                  <c:v>86</c:v>
                </c:pt>
                <c:pt idx="42">
                  <c:v>85</c:v>
                </c:pt>
                <c:pt idx="43">
                  <c:v>84</c:v>
                </c:pt>
                <c:pt idx="44">
                  <c:v>83</c:v>
                </c:pt>
                <c:pt idx="45">
                  <c:v>82</c:v>
                </c:pt>
                <c:pt idx="46">
                  <c:v>81</c:v>
                </c:pt>
                <c:pt idx="47">
                  <c:v>80</c:v>
                </c:pt>
                <c:pt idx="48">
                  <c:v>79</c:v>
                </c:pt>
                <c:pt idx="49">
                  <c:v>78</c:v>
                </c:pt>
                <c:pt idx="50">
                  <c:v>77</c:v>
                </c:pt>
                <c:pt idx="51">
                  <c:v>76</c:v>
                </c:pt>
                <c:pt idx="52">
                  <c:v>75</c:v>
                </c:pt>
                <c:pt idx="53">
                  <c:v>74</c:v>
                </c:pt>
                <c:pt idx="54">
                  <c:v>73</c:v>
                </c:pt>
                <c:pt idx="55">
                  <c:v>72</c:v>
                </c:pt>
                <c:pt idx="56">
                  <c:v>71</c:v>
                </c:pt>
                <c:pt idx="57">
                  <c:v>70</c:v>
                </c:pt>
                <c:pt idx="58">
                  <c:v>69</c:v>
                </c:pt>
                <c:pt idx="59">
                  <c:v>68</c:v>
                </c:pt>
                <c:pt idx="60">
                  <c:v>67</c:v>
                </c:pt>
                <c:pt idx="61">
                  <c:v>66</c:v>
                </c:pt>
                <c:pt idx="62">
                  <c:v>65</c:v>
                </c:pt>
                <c:pt idx="63">
                  <c:v>64</c:v>
                </c:pt>
                <c:pt idx="64">
                  <c:v>63</c:v>
                </c:pt>
                <c:pt idx="65">
                  <c:v>62</c:v>
                </c:pt>
                <c:pt idx="66">
                  <c:v>61</c:v>
                </c:pt>
                <c:pt idx="67">
                  <c:v>60</c:v>
                </c:pt>
                <c:pt idx="68">
                  <c:v>59</c:v>
                </c:pt>
                <c:pt idx="69">
                  <c:v>58</c:v>
                </c:pt>
                <c:pt idx="70">
                  <c:v>57</c:v>
                </c:pt>
                <c:pt idx="71">
                  <c:v>56</c:v>
                </c:pt>
                <c:pt idx="72">
                  <c:v>55</c:v>
                </c:pt>
                <c:pt idx="73">
                  <c:v>54</c:v>
                </c:pt>
                <c:pt idx="74">
                  <c:v>53</c:v>
                </c:pt>
                <c:pt idx="75">
                  <c:v>52</c:v>
                </c:pt>
                <c:pt idx="76">
                  <c:v>51</c:v>
                </c:pt>
                <c:pt idx="77">
                  <c:v>50</c:v>
                </c:pt>
                <c:pt idx="78">
                  <c:v>49</c:v>
                </c:pt>
                <c:pt idx="79">
                  <c:v>48</c:v>
                </c:pt>
                <c:pt idx="80">
                  <c:v>47</c:v>
                </c:pt>
                <c:pt idx="81">
                  <c:v>46</c:v>
                </c:pt>
                <c:pt idx="82">
                  <c:v>45</c:v>
                </c:pt>
                <c:pt idx="83">
                  <c:v>44</c:v>
                </c:pt>
                <c:pt idx="84">
                  <c:v>43</c:v>
                </c:pt>
                <c:pt idx="85">
                  <c:v>42</c:v>
                </c:pt>
                <c:pt idx="86">
                  <c:v>41</c:v>
                </c:pt>
                <c:pt idx="87">
                  <c:v>40</c:v>
                </c:pt>
                <c:pt idx="88">
                  <c:v>39</c:v>
                </c:pt>
                <c:pt idx="89">
                  <c:v>38</c:v>
                </c:pt>
                <c:pt idx="90">
                  <c:v>37</c:v>
                </c:pt>
                <c:pt idx="91">
                  <c:v>36</c:v>
                </c:pt>
                <c:pt idx="92">
                  <c:v>35</c:v>
                </c:pt>
                <c:pt idx="93">
                  <c:v>34</c:v>
                </c:pt>
                <c:pt idx="94">
                  <c:v>33</c:v>
                </c:pt>
                <c:pt idx="95">
                  <c:v>32</c:v>
                </c:pt>
                <c:pt idx="96">
                  <c:v>31</c:v>
                </c:pt>
                <c:pt idx="97">
                  <c:v>30</c:v>
                </c:pt>
                <c:pt idx="98">
                  <c:v>29</c:v>
                </c:pt>
                <c:pt idx="99">
                  <c:v>28</c:v>
                </c:pt>
                <c:pt idx="100">
                  <c:v>27</c:v>
                </c:pt>
                <c:pt idx="101">
                  <c:v>26</c:v>
                </c:pt>
                <c:pt idx="102">
                  <c:v>25</c:v>
                </c:pt>
                <c:pt idx="103">
                  <c:v>24</c:v>
                </c:pt>
                <c:pt idx="104">
                  <c:v>23</c:v>
                </c:pt>
                <c:pt idx="105">
                  <c:v>22</c:v>
                </c:pt>
                <c:pt idx="106">
                  <c:v>21</c:v>
                </c:pt>
                <c:pt idx="107">
                  <c:v>20</c:v>
                </c:pt>
                <c:pt idx="108">
                  <c:v>19</c:v>
                </c:pt>
                <c:pt idx="109">
                  <c:v>18</c:v>
                </c:pt>
                <c:pt idx="110">
                  <c:v>17</c:v>
                </c:pt>
                <c:pt idx="111">
                  <c:v>16</c:v>
                </c:pt>
                <c:pt idx="112">
                  <c:v>15</c:v>
                </c:pt>
                <c:pt idx="113">
                  <c:v>14</c:v>
                </c:pt>
                <c:pt idx="114">
                  <c:v>13</c:v>
                </c:pt>
                <c:pt idx="115">
                  <c:v>12</c:v>
                </c:pt>
                <c:pt idx="116">
                  <c:v>11</c:v>
                </c:pt>
                <c:pt idx="117">
                  <c:v>10</c:v>
                </c:pt>
                <c:pt idx="118">
                  <c:v>9</c:v>
                </c:pt>
                <c:pt idx="119">
                  <c:v>8</c:v>
                </c:pt>
                <c:pt idx="120">
                  <c:v>7</c:v>
                </c:pt>
                <c:pt idx="121">
                  <c:v>6</c:v>
                </c:pt>
                <c:pt idx="122">
                  <c:v>5</c:v>
                </c:pt>
                <c:pt idx="123">
                  <c:v>4</c:v>
                </c:pt>
                <c:pt idx="124">
                  <c:v>3</c:v>
                </c:pt>
                <c:pt idx="125">
                  <c:v>2</c:v>
                </c:pt>
                <c:pt idx="126">
                  <c:v>1</c:v>
                </c:pt>
                <c:pt idx="127">
                  <c:v>0</c:v>
                </c:pt>
              </c:numCache>
            </c:numRef>
          </c:xVal>
          <c:yVal>
            <c:numRef>
              <c:f>OscBC!$N$224:$N$351</c:f>
              <c:numCache>
                <c:formatCode>0.000</c:formatCode>
                <c:ptCount val="128"/>
                <c:pt idx="0">
                  <c:v>1</c:v>
                </c:pt>
                <c:pt idx="1">
                  <c:v>0.99988038703921645</c:v>
                </c:pt>
                <c:pt idx="2">
                  <c:v>0.99975983545578107</c:v>
                </c:pt>
                <c:pt idx="3">
                  <c:v>0.999638330286167</c:v>
                </c:pt>
                <c:pt idx="4">
                  <c:v>0.99951585620520877</c:v>
                </c:pt>
                <c:pt idx="5">
                  <c:v>0.99939239751433839</c:v>
                </c:pt>
                <c:pt idx="6">
                  <c:v>0.99926793812933934</c:v>
                </c:pt>
                <c:pt idx="7">
                  <c:v>0.99914246156759379</c:v>
                </c:pt>
                <c:pt idx="8">
                  <c:v>0.99901595093479822</c:v>
                </c:pt>
                <c:pt idx="9">
                  <c:v>0.99888838891111931</c:v>
                </c:pt>
                <c:pt idx="10">
                  <c:v>0.99875975773676351</c:v>
                </c:pt>
                <c:pt idx="11">
                  <c:v>0.99863003919692894</c:v>
                </c:pt>
                <c:pt idx="12">
                  <c:v>0.99849921460610702</c:v>
                </c:pt>
                <c:pt idx="13">
                  <c:v>0.99836726479170212</c:v>
                </c:pt>
                <c:pt idx="14">
                  <c:v>0.99823417007693038</c:v>
                </c:pt>
                <c:pt idx="15">
                  <c:v>0.99809991026296185</c:v>
                </c:pt>
                <c:pt idx="16">
                  <c:v>0.99796446461026389</c:v>
                </c:pt>
                <c:pt idx="17">
                  <c:v>0.99782781181910241</c:v>
                </c:pt>
                <c:pt idx="18">
                  <c:v>0.99768993000915673</c:v>
                </c:pt>
                <c:pt idx="19">
                  <c:v>0.9975507966981968</c:v>
                </c:pt>
                <c:pt idx="20">
                  <c:v>0.99741038877977184</c:v>
                </c:pt>
                <c:pt idx="21">
                  <c:v>0.99726868249985567</c:v>
                </c:pt>
                <c:pt idx="22">
                  <c:v>0.99712565343238679</c:v>
                </c:pt>
                <c:pt idx="23">
                  <c:v>0.99698127645364365</c:v>
                </c:pt>
                <c:pt idx="24">
                  <c:v>0.99683552571538447</c:v>
                </c:pt>
                <c:pt idx="25">
                  <c:v>0.99668837461668103</c:v>
                </c:pt>
                <c:pt idx="26">
                  <c:v>0.99653979577436991</c:v>
                </c:pt>
                <c:pt idx="27">
                  <c:v>0.99638976099203702</c:v>
                </c:pt>
                <c:pt idx="28">
                  <c:v>0.99623824122744931</c:v>
                </c:pt>
                <c:pt idx="29">
                  <c:v>0.99608520655833754</c:v>
                </c:pt>
                <c:pt idx="30">
                  <c:v>0.99593062614643046</c:v>
                </c:pt>
                <c:pt idx="31">
                  <c:v>0.99577446819963034</c:v>
                </c:pt>
                <c:pt idx="32">
                  <c:v>0.99561669993221513</c:v>
                </c:pt>
                <c:pt idx="33">
                  <c:v>0.99545728752293994</c:v>
                </c:pt>
                <c:pt idx="34">
                  <c:v>0.99529619607090669</c:v>
                </c:pt>
                <c:pt idx="35">
                  <c:v>0.99513338954905384</c:v>
                </c:pt>
                <c:pt idx="36">
                  <c:v>0.99496883075511322</c:v>
                </c:pt>
                <c:pt idx="37">
                  <c:v>0.99480248125986581</c:v>
                </c:pt>
                <c:pt idx="38">
                  <c:v>0.99463430135251474</c:v>
                </c:pt>
                <c:pt idx="39">
                  <c:v>0.994464249982982</c:v>
                </c:pt>
                <c:pt idx="40">
                  <c:v>0.99429228470091791</c:v>
                </c:pt>
                <c:pt idx="41">
                  <c:v>0.99411836159119571</c:v>
                </c:pt>
                <c:pt idx="42">
                  <c:v>0.99394243520564496</c:v>
                </c:pt>
                <c:pt idx="43">
                  <c:v>0.99376445849075901</c:v>
                </c:pt>
                <c:pt idx="44">
                  <c:v>0.9935843827110854</c:v>
                </c:pt>
                <c:pt idx="45">
                  <c:v>0.99340215736798831</c:v>
                </c:pt>
                <c:pt idx="46">
                  <c:v>0.99321773011344161</c:v>
                </c:pt>
                <c:pt idx="47">
                  <c:v>0.99303104665848474</c:v>
                </c:pt>
                <c:pt idx="48">
                  <c:v>0.99284205067593734</c:v>
                </c:pt>
                <c:pt idx="49">
                  <c:v>0.99265068369693732</c:v>
                </c:pt>
                <c:pt idx="50">
                  <c:v>0.99245688500082363</c:v>
                </c:pt>
                <c:pt idx="51">
                  <c:v>0.99226059149784396</c:v>
                </c:pt>
                <c:pt idx="52">
                  <c:v>0.99206173760411831</c:v>
                </c:pt>
                <c:pt idx="53">
                  <c:v>0.99186025510823617</c:v>
                </c:pt>
                <c:pt idx="54">
                  <c:v>0.99165607302880687</c:v>
                </c:pt>
                <c:pt idx="55">
                  <c:v>0.99144911746221465</c:v>
                </c:pt>
                <c:pt idx="56">
                  <c:v>0.99123931141976085</c:v>
                </c:pt>
                <c:pt idx="57">
                  <c:v>0.99102657465328958</c:v>
                </c:pt>
                <c:pt idx="58">
                  <c:v>0.9908108234683074</c:v>
                </c:pt>
                <c:pt idx="59">
                  <c:v>0.99059197052350356</c:v>
                </c:pt>
                <c:pt idx="60">
                  <c:v>0.99036992461546425</c:v>
                </c:pt>
                <c:pt idx="61">
                  <c:v>0.99014459044724956</c:v>
                </c:pt>
                <c:pt idx="62">
                  <c:v>0.98991586837935763</c:v>
                </c:pt>
                <c:pt idx="63">
                  <c:v>0.98968365416144255</c:v>
                </c:pt>
                <c:pt idx="64">
                  <c:v>0.98944783864297159</c:v>
                </c:pt>
                <c:pt idx="65">
                  <c:v>0.98920830746080401</c:v>
                </c:pt>
                <c:pt idx="66">
                  <c:v>0.98896494070144803</c:v>
                </c:pt>
                <c:pt idx="67">
                  <c:v>0.98871761253548818</c:v>
                </c:pt>
                <c:pt idx="68">
                  <c:v>0.98846619082138565</c:v>
                </c:pt>
                <c:pt idx="69">
                  <c:v>0.98821053667551662</c:v>
                </c:pt>
                <c:pt idx="70">
                  <c:v>0.98795050400493656</c:v>
                </c:pt>
                <c:pt idx="71">
                  <c:v>0.98768593899891954</c:v>
                </c:pt>
                <c:pt idx="72">
                  <c:v>0.9874166795748277</c:v>
                </c:pt>
                <c:pt idx="73">
                  <c:v>0.98714255477329704</c:v>
                </c:pt>
                <c:pt idx="74">
                  <c:v>0.98686338409706675</c:v>
                </c:pt>
                <c:pt idx="75">
                  <c:v>0.98657897678702899</c:v>
                </c:pt>
                <c:pt idx="76">
                  <c:v>0.98628913102820237</c:v>
                </c:pt>
                <c:pt idx="77">
                  <c:v>0.98599363307732424</c:v>
                </c:pt>
                <c:pt idx="78">
                  <c:v>0.98569225630258273</c:v>
                </c:pt>
                <c:pt idx="79">
                  <c:v>0.98538476012464826</c:v>
                </c:pt>
                <c:pt idx="80">
                  <c:v>0.98507088884656469</c:v>
                </c:pt>
                <c:pt idx="81">
                  <c:v>0.98475037035819679</c:v>
                </c:pt>
                <c:pt idx="82">
                  <c:v>0.98442291469872978</c:v>
                </c:pt>
                <c:pt idx="83">
                  <c:v>0.98408821245812961</c:v>
                </c:pt>
                <c:pt idx="84">
                  <c:v>0.98374593299540503</c:v>
                </c:pt>
                <c:pt idx="85">
                  <c:v>0.98339572244786844</c:v>
                </c:pt>
                <c:pt idx="86">
                  <c:v>0.98303720150125307</c:v>
                </c:pt>
                <c:pt idx="87">
                  <c:v>0.98266996288533937</c:v>
                </c:pt>
                <c:pt idx="88">
                  <c:v>0.98229356855349603</c:v>
                </c:pt>
                <c:pt idx="89">
                  <c:v>0.98190754649699052</c:v>
                </c:pt>
                <c:pt idx="90">
                  <c:v>0.9815113871357688</c:v>
                </c:pt>
                <c:pt idx="91">
                  <c:v>0.98110453921624385</c:v>
                </c:pt>
                <c:pt idx="92">
                  <c:v>0.98068640513296301</c:v>
                </c:pt>
                <c:pt idx="93">
                  <c:v>0.98025633557418779</c:v>
                </c:pt>
                <c:pt idx="94">
                  <c:v>0.97981362337056876</c:v>
                </c:pt>
                <c:pt idx="95">
                  <c:v>0.97935749640012759</c:v>
                </c:pt>
                <c:pt idx="96">
                  <c:v>0.9788871093701893</c:v>
                </c:pt>
                <c:pt idx="97">
                  <c:v>0.97840153425582543</c:v>
                </c:pt>
                <c:pt idx="98">
                  <c:v>0.97789974912214295</c:v>
                </c:pt>
                <c:pt idx="99">
                  <c:v>0.9773806249909025</c:v>
                </c:pt>
                <c:pt idx="100">
                  <c:v>0.9768429103256645</c:v>
                </c:pt>
                <c:pt idx="101">
                  <c:v>0.97628521259736822</c:v>
                </c:pt>
                <c:pt idx="102">
                  <c:v>0.97570597624476252</c:v>
                </c:pt>
                <c:pt idx="103">
                  <c:v>0.97510345614851646</c:v>
                </c:pt>
                <c:pt idx="104">
                  <c:v>0.97447568547573504</c:v>
                </c:pt>
                <c:pt idx="105">
                  <c:v>0.97382043639639071</c:v>
                </c:pt>
                <c:pt idx="106">
                  <c:v>0.97313517168591501</c:v>
                </c:pt>
                <c:pt idx="107">
                  <c:v>0.97241698455090653</c:v>
                </c:pt>
                <c:pt idx="108">
                  <c:v>0.97166252305993606</c:v>
                </c:pt>
                <c:pt idx="109">
                  <c:v>0.97086789419367525</c:v>
                </c:pt>
                <c:pt idx="110">
                  <c:v>0.97002854053573762</c:v>
                </c:pt>
                <c:pt idx="111">
                  <c:v>0.96913907966662804</c:v>
                </c:pt>
                <c:pt idx="112">
                  <c:v>0.96819309183671853</c:v>
                </c:pt>
                <c:pt idx="113">
                  <c:v>0.96718283453122245</c:v>
                </c:pt>
                <c:pt idx="114">
                  <c:v>0.96609885144759133</c:v>
                </c:pt>
                <c:pt idx="115">
                  <c:v>0.96492942520493719</c:v>
                </c:pt>
                <c:pt idx="116">
                  <c:v>0.96365979221969966</c:v>
                </c:pt>
                <c:pt idx="117">
                  <c:v>0.96227098370504738</c:v>
                </c:pt>
                <c:pt idx="118">
                  <c:v>0.96073805624122965</c:v>
                </c:pt>
                <c:pt idx="119">
                  <c:v>0.9590272798129944</c:v>
                </c:pt>
                <c:pt idx="120">
                  <c:v>0.95709144574106664</c:v>
                </c:pt>
                <c:pt idx="121">
                  <c:v>0.95486154802892809</c:v>
                </c:pt>
                <c:pt idx="122">
                  <c:v>0.95223084416642545</c:v>
                </c:pt>
                <c:pt idx="123">
                  <c:v>0.94902098442040794</c:v>
                </c:pt>
                <c:pt idx="124">
                  <c:v>0.94489871703368999</c:v>
                </c:pt>
                <c:pt idx="125">
                  <c:v>0.93911909267680127</c:v>
                </c:pt>
                <c:pt idx="126">
                  <c:v>0.92932051525575621</c:v>
                </c:pt>
                <c:pt idx="127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5239168"/>
        <c:axId val="305240704"/>
      </c:scatterChart>
      <c:valAx>
        <c:axId val="3052391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05240704"/>
        <c:crosses val="autoZero"/>
        <c:crossBetween val="midCat"/>
      </c:valAx>
      <c:valAx>
        <c:axId val="305240704"/>
        <c:scaling>
          <c:orientation val="minMax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crossAx val="30523916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0.47</c:v>
          </c:tx>
          <c:spPr>
            <a:ln w="28575">
              <a:noFill/>
            </a:ln>
          </c:spPr>
          <c:marker>
            <c:symbol val="circle"/>
            <c:size val="2"/>
          </c:marker>
          <c:xVal>
            <c:numRef>
              <c:f>OscBC2!$A$5:$A$31</c:f>
              <c:numCache>
                <c:formatCode>General</c:formatCode>
                <c:ptCount val="27"/>
                <c:pt idx="0">
                  <c:v>127</c:v>
                </c:pt>
                <c:pt idx="1">
                  <c:v>126</c:v>
                </c:pt>
                <c:pt idx="2">
                  <c:v>125</c:v>
                </c:pt>
                <c:pt idx="3">
                  <c:v>124</c:v>
                </c:pt>
                <c:pt idx="4">
                  <c:v>123</c:v>
                </c:pt>
                <c:pt idx="5">
                  <c:v>122</c:v>
                </c:pt>
                <c:pt idx="6">
                  <c:v>121</c:v>
                </c:pt>
                <c:pt idx="7">
                  <c:v>120</c:v>
                </c:pt>
                <c:pt idx="8">
                  <c:v>110</c:v>
                </c:pt>
                <c:pt idx="9">
                  <c:v>100</c:v>
                </c:pt>
                <c:pt idx="10">
                  <c:v>96</c:v>
                </c:pt>
                <c:pt idx="11">
                  <c:v>76</c:v>
                </c:pt>
                <c:pt idx="12">
                  <c:v>64</c:v>
                </c:pt>
                <c:pt idx="13">
                  <c:v>48</c:v>
                </c:pt>
                <c:pt idx="14">
                  <c:v>32</c:v>
                </c:pt>
                <c:pt idx="15">
                  <c:v>20</c:v>
                </c:pt>
                <c:pt idx="16">
                  <c:v>13</c:v>
                </c:pt>
                <c:pt idx="17">
                  <c:v>10</c:v>
                </c:pt>
                <c:pt idx="18">
                  <c:v>8</c:v>
                </c:pt>
                <c:pt idx="19">
                  <c:v>7</c:v>
                </c:pt>
                <c:pt idx="20">
                  <c:v>6</c:v>
                </c:pt>
                <c:pt idx="21">
                  <c:v>5</c:v>
                </c:pt>
                <c:pt idx="22">
                  <c:v>4</c:v>
                </c:pt>
                <c:pt idx="23">
                  <c:v>3</c:v>
                </c:pt>
                <c:pt idx="24">
                  <c:v>2</c:v>
                </c:pt>
                <c:pt idx="25">
                  <c:v>1</c:v>
                </c:pt>
                <c:pt idx="26">
                  <c:v>0</c:v>
                </c:pt>
              </c:numCache>
            </c:numRef>
          </c:xVal>
          <c:yVal>
            <c:numRef>
              <c:f>OscBC2!$F$5:$F$31</c:f>
              <c:numCache>
                <c:formatCode>0.000</c:formatCode>
                <c:ptCount val="2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0.99122807017543857</c:v>
                </c:pt>
                <c:pt idx="8">
                  <c:v>0.98684210526315785</c:v>
                </c:pt>
                <c:pt idx="9">
                  <c:v>0.98245614035087714</c:v>
                </c:pt>
                <c:pt idx="10">
                  <c:v>0.98245614035087714</c:v>
                </c:pt>
                <c:pt idx="12">
                  <c:v>0.98245614035087714</c:v>
                </c:pt>
                <c:pt idx="14">
                  <c:v>0.98245614035087714</c:v>
                </c:pt>
                <c:pt idx="15">
                  <c:v>0.98245614035087714</c:v>
                </c:pt>
                <c:pt idx="17">
                  <c:v>0.97368421052631582</c:v>
                </c:pt>
                <c:pt idx="18">
                  <c:v>0.9692982456140351</c:v>
                </c:pt>
                <c:pt idx="19">
                  <c:v>0.96491228070175439</c:v>
                </c:pt>
                <c:pt idx="20">
                  <c:v>0.96491228070175439</c:v>
                </c:pt>
                <c:pt idx="21">
                  <c:v>0.95614035087719296</c:v>
                </c:pt>
                <c:pt idx="22">
                  <c:v>0.92982456140350878</c:v>
                </c:pt>
                <c:pt idx="23">
                  <c:v>0.91228070175438591</c:v>
                </c:pt>
                <c:pt idx="24">
                  <c:v>0.90350877192982459</c:v>
                </c:pt>
                <c:pt idx="25">
                  <c:v>0.8771929824561403</c:v>
                </c:pt>
                <c:pt idx="26">
                  <c:v>0</c:v>
                </c:pt>
              </c:numCache>
            </c:numRef>
          </c:yVal>
          <c:smooth val="0"/>
        </c:ser>
        <c:ser>
          <c:idx val="1"/>
          <c:order val="1"/>
          <c:tx>
            <c:v>0.46</c:v>
          </c:tx>
          <c:spPr>
            <a:ln w="28575">
              <a:noFill/>
            </a:ln>
          </c:spPr>
          <c:marker>
            <c:symbol val="circle"/>
            <c:size val="3"/>
          </c:marker>
          <c:xVal>
            <c:numRef>
              <c:f>OscBC2!$A$5:$A$31</c:f>
              <c:numCache>
                <c:formatCode>General</c:formatCode>
                <c:ptCount val="27"/>
                <c:pt idx="0">
                  <c:v>127</c:v>
                </c:pt>
                <c:pt idx="1">
                  <c:v>126</c:v>
                </c:pt>
                <c:pt idx="2">
                  <c:v>125</c:v>
                </c:pt>
                <c:pt idx="3">
                  <c:v>124</c:v>
                </c:pt>
                <c:pt idx="4">
                  <c:v>123</c:v>
                </c:pt>
                <c:pt idx="5">
                  <c:v>122</c:v>
                </c:pt>
                <c:pt idx="6">
                  <c:v>121</c:v>
                </c:pt>
                <c:pt idx="7">
                  <c:v>120</c:v>
                </c:pt>
                <c:pt idx="8">
                  <c:v>110</c:v>
                </c:pt>
                <c:pt idx="9">
                  <c:v>100</c:v>
                </c:pt>
                <c:pt idx="10">
                  <c:v>96</c:v>
                </c:pt>
                <c:pt idx="11">
                  <c:v>76</c:v>
                </c:pt>
                <c:pt idx="12">
                  <c:v>64</c:v>
                </c:pt>
                <c:pt idx="13">
                  <c:v>48</c:v>
                </c:pt>
                <c:pt idx="14">
                  <c:v>32</c:v>
                </c:pt>
                <c:pt idx="15">
                  <c:v>20</c:v>
                </c:pt>
                <c:pt idx="16">
                  <c:v>13</c:v>
                </c:pt>
                <c:pt idx="17">
                  <c:v>10</c:v>
                </c:pt>
                <c:pt idx="18">
                  <c:v>8</c:v>
                </c:pt>
                <c:pt idx="19">
                  <c:v>7</c:v>
                </c:pt>
                <c:pt idx="20">
                  <c:v>6</c:v>
                </c:pt>
                <c:pt idx="21">
                  <c:v>5</c:v>
                </c:pt>
                <c:pt idx="22">
                  <c:v>4</c:v>
                </c:pt>
                <c:pt idx="23">
                  <c:v>3</c:v>
                </c:pt>
                <c:pt idx="24">
                  <c:v>2</c:v>
                </c:pt>
                <c:pt idx="25">
                  <c:v>1</c:v>
                </c:pt>
                <c:pt idx="26">
                  <c:v>0</c:v>
                </c:pt>
              </c:numCache>
            </c:numRef>
          </c:xVal>
          <c:yVal>
            <c:numRef>
              <c:f>OscBC2!$G$5:$G$31</c:f>
              <c:numCache>
                <c:formatCode>0.000</c:formatCode>
                <c:ptCount val="2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0.99122807017543857</c:v>
                </c:pt>
                <c:pt idx="6">
                  <c:v>0.99122807017543857</c:v>
                </c:pt>
                <c:pt idx="7">
                  <c:v>0.98684210526315785</c:v>
                </c:pt>
                <c:pt idx="8">
                  <c:v>0.98245614035087714</c:v>
                </c:pt>
                <c:pt idx="9">
                  <c:v>0.98245614035087714</c:v>
                </c:pt>
                <c:pt idx="10">
                  <c:v>0.98245614035087714</c:v>
                </c:pt>
                <c:pt idx="12">
                  <c:v>0.97368421052631582</c:v>
                </c:pt>
                <c:pt idx="14">
                  <c:v>0.96491228070175439</c:v>
                </c:pt>
                <c:pt idx="15">
                  <c:v>0.96491228070175439</c:v>
                </c:pt>
                <c:pt idx="17">
                  <c:v>0.96052631578947367</c:v>
                </c:pt>
                <c:pt idx="18">
                  <c:v>0.95614035087719296</c:v>
                </c:pt>
                <c:pt idx="19">
                  <c:v>0.94736842105263153</c:v>
                </c:pt>
                <c:pt idx="20">
                  <c:v>0.93859649122807021</c:v>
                </c:pt>
                <c:pt idx="21">
                  <c:v>0.92982456140350878</c:v>
                </c:pt>
                <c:pt idx="22">
                  <c:v>0.91228070175438591</c:v>
                </c:pt>
                <c:pt idx="23">
                  <c:v>0.89912280701754388</c:v>
                </c:pt>
                <c:pt idx="24">
                  <c:v>0.88596491228070173</c:v>
                </c:pt>
                <c:pt idx="25">
                  <c:v>0.56140350877192979</c:v>
                </c:pt>
                <c:pt idx="26">
                  <c:v>0</c:v>
                </c:pt>
              </c:numCache>
            </c:numRef>
          </c:yVal>
          <c:smooth val="0"/>
        </c:ser>
        <c:ser>
          <c:idx val="2"/>
          <c:order val="2"/>
          <c:tx>
            <c:v>0.45</c:v>
          </c:tx>
          <c:spPr>
            <a:ln w="28575">
              <a:noFill/>
            </a:ln>
          </c:spPr>
          <c:marker>
            <c:symbol val="circle"/>
            <c:size val="3"/>
          </c:marker>
          <c:xVal>
            <c:numRef>
              <c:f>OscBC2!$A$5:$A$31</c:f>
              <c:numCache>
                <c:formatCode>General</c:formatCode>
                <c:ptCount val="27"/>
                <c:pt idx="0">
                  <c:v>127</c:v>
                </c:pt>
                <c:pt idx="1">
                  <c:v>126</c:v>
                </c:pt>
                <c:pt idx="2">
                  <c:v>125</c:v>
                </c:pt>
                <c:pt idx="3">
                  <c:v>124</c:v>
                </c:pt>
                <c:pt idx="4">
                  <c:v>123</c:v>
                </c:pt>
                <c:pt idx="5">
                  <c:v>122</c:v>
                </c:pt>
                <c:pt idx="6">
                  <c:v>121</c:v>
                </c:pt>
                <c:pt idx="7">
                  <c:v>120</c:v>
                </c:pt>
                <c:pt idx="8">
                  <c:v>110</c:v>
                </c:pt>
                <c:pt idx="9">
                  <c:v>100</c:v>
                </c:pt>
                <c:pt idx="10">
                  <c:v>96</c:v>
                </c:pt>
                <c:pt idx="11">
                  <c:v>76</c:v>
                </c:pt>
                <c:pt idx="12">
                  <c:v>64</c:v>
                </c:pt>
                <c:pt idx="13">
                  <c:v>48</c:v>
                </c:pt>
                <c:pt idx="14">
                  <c:v>32</c:v>
                </c:pt>
                <c:pt idx="15">
                  <c:v>20</c:v>
                </c:pt>
                <c:pt idx="16">
                  <c:v>13</c:v>
                </c:pt>
                <c:pt idx="17">
                  <c:v>10</c:v>
                </c:pt>
                <c:pt idx="18">
                  <c:v>8</c:v>
                </c:pt>
                <c:pt idx="19">
                  <c:v>7</c:v>
                </c:pt>
                <c:pt idx="20">
                  <c:v>6</c:v>
                </c:pt>
                <c:pt idx="21">
                  <c:v>5</c:v>
                </c:pt>
                <c:pt idx="22">
                  <c:v>4</c:v>
                </c:pt>
                <c:pt idx="23">
                  <c:v>3</c:v>
                </c:pt>
                <c:pt idx="24">
                  <c:v>2</c:v>
                </c:pt>
                <c:pt idx="25">
                  <c:v>1</c:v>
                </c:pt>
                <c:pt idx="26">
                  <c:v>0</c:v>
                </c:pt>
              </c:numCache>
            </c:numRef>
          </c:xVal>
          <c:yVal>
            <c:numRef>
              <c:f>OscBC2!$H$5:$H$31</c:f>
              <c:numCache>
                <c:formatCode>0.000</c:formatCode>
                <c:ptCount val="27"/>
                <c:pt idx="0">
                  <c:v>1</c:v>
                </c:pt>
                <c:pt idx="12">
                  <c:v>0.98245614035087714</c:v>
                </c:pt>
                <c:pt idx="14">
                  <c:v>0.96491228070175439</c:v>
                </c:pt>
                <c:pt idx="15">
                  <c:v>0.96052631578947367</c:v>
                </c:pt>
                <c:pt idx="17">
                  <c:v>0.95614035087719296</c:v>
                </c:pt>
                <c:pt idx="18">
                  <c:v>0.93859649122807021</c:v>
                </c:pt>
                <c:pt idx="19">
                  <c:v>0.92105263157894735</c:v>
                </c:pt>
                <c:pt idx="20">
                  <c:v>0.90350877192982459</c:v>
                </c:pt>
                <c:pt idx="21">
                  <c:v>0.89473684210526316</c:v>
                </c:pt>
                <c:pt idx="22">
                  <c:v>0.8771929824561403</c:v>
                </c:pt>
                <c:pt idx="23">
                  <c:v>0.86842105263157898</c:v>
                </c:pt>
                <c:pt idx="24">
                  <c:v>0.85964912280701755</c:v>
                </c:pt>
                <c:pt idx="25">
                  <c:v>0.39473684210526316</c:v>
                </c:pt>
                <c:pt idx="26">
                  <c:v>0</c:v>
                </c:pt>
              </c:numCache>
            </c:numRef>
          </c:yVal>
          <c:smooth val="0"/>
        </c:ser>
        <c:ser>
          <c:idx val="3"/>
          <c:order val="3"/>
          <c:tx>
            <c:v>0.43</c:v>
          </c:tx>
          <c:spPr>
            <a:ln w="28575">
              <a:solidFill>
                <a:schemeClr val="accent2">
                  <a:lumMod val="60000"/>
                  <a:lumOff val="40000"/>
                </a:schemeClr>
              </a:solidFill>
            </a:ln>
          </c:spPr>
          <c:marker>
            <c:symbol val="diamond"/>
            <c:size val="3"/>
          </c:marker>
          <c:xVal>
            <c:numRef>
              <c:f>OscBC2!$A$5:$A$31</c:f>
              <c:numCache>
                <c:formatCode>General</c:formatCode>
                <c:ptCount val="27"/>
                <c:pt idx="0">
                  <c:v>127</c:v>
                </c:pt>
                <c:pt idx="1">
                  <c:v>126</c:v>
                </c:pt>
                <c:pt idx="2">
                  <c:v>125</c:v>
                </c:pt>
                <c:pt idx="3">
                  <c:v>124</c:v>
                </c:pt>
                <c:pt idx="4">
                  <c:v>123</c:v>
                </c:pt>
                <c:pt idx="5">
                  <c:v>122</c:v>
                </c:pt>
                <c:pt idx="6">
                  <c:v>121</c:v>
                </c:pt>
                <c:pt idx="7">
                  <c:v>120</c:v>
                </c:pt>
                <c:pt idx="8">
                  <c:v>110</c:v>
                </c:pt>
                <c:pt idx="9">
                  <c:v>100</c:v>
                </c:pt>
                <c:pt idx="10">
                  <c:v>96</c:v>
                </c:pt>
                <c:pt idx="11">
                  <c:v>76</c:v>
                </c:pt>
                <c:pt idx="12">
                  <c:v>64</c:v>
                </c:pt>
                <c:pt idx="13">
                  <c:v>48</c:v>
                </c:pt>
                <c:pt idx="14">
                  <c:v>32</c:v>
                </c:pt>
                <c:pt idx="15">
                  <c:v>20</c:v>
                </c:pt>
                <c:pt idx="16">
                  <c:v>13</c:v>
                </c:pt>
                <c:pt idx="17">
                  <c:v>10</c:v>
                </c:pt>
                <c:pt idx="18">
                  <c:v>8</c:v>
                </c:pt>
                <c:pt idx="19">
                  <c:v>7</c:v>
                </c:pt>
                <c:pt idx="20">
                  <c:v>6</c:v>
                </c:pt>
                <c:pt idx="21">
                  <c:v>5</c:v>
                </c:pt>
                <c:pt idx="22">
                  <c:v>4</c:v>
                </c:pt>
                <c:pt idx="23">
                  <c:v>3</c:v>
                </c:pt>
                <c:pt idx="24">
                  <c:v>2</c:v>
                </c:pt>
                <c:pt idx="25">
                  <c:v>1</c:v>
                </c:pt>
                <c:pt idx="26">
                  <c:v>0</c:v>
                </c:pt>
              </c:numCache>
            </c:numRef>
          </c:xVal>
          <c:yVal>
            <c:numRef>
              <c:f>OscBC2!$I$5:$I$31</c:f>
              <c:numCache>
                <c:formatCode>0.000</c:formatCode>
                <c:ptCount val="27"/>
                <c:pt idx="0">
                  <c:v>1</c:v>
                </c:pt>
                <c:pt idx="5">
                  <c:v>0.99122807017543857</c:v>
                </c:pt>
                <c:pt idx="12">
                  <c:v>0.95614035087719296</c:v>
                </c:pt>
                <c:pt idx="14">
                  <c:v>0.93859649122807021</c:v>
                </c:pt>
                <c:pt idx="15">
                  <c:v>0.92982456140350878</c:v>
                </c:pt>
                <c:pt idx="16">
                  <c:v>0.92105263157894735</c:v>
                </c:pt>
                <c:pt idx="17">
                  <c:v>0.8771929824561403</c:v>
                </c:pt>
                <c:pt idx="18">
                  <c:v>0.85526315789473684</c:v>
                </c:pt>
                <c:pt idx="19">
                  <c:v>0.84210526315789469</c:v>
                </c:pt>
                <c:pt idx="21">
                  <c:v>0.80701754385964908</c:v>
                </c:pt>
                <c:pt idx="22">
                  <c:v>0.79824561403508776</c:v>
                </c:pt>
                <c:pt idx="23">
                  <c:v>0.7807017543859649</c:v>
                </c:pt>
                <c:pt idx="24">
                  <c:v>0.59649122807017541</c:v>
                </c:pt>
                <c:pt idx="25">
                  <c:v>0.16447368421052633</c:v>
                </c:pt>
                <c:pt idx="26">
                  <c:v>0</c:v>
                </c:pt>
              </c:numCache>
            </c:numRef>
          </c:yVal>
          <c:smooth val="0"/>
        </c:ser>
        <c:ser>
          <c:idx val="4"/>
          <c:order val="4"/>
          <c:tx>
            <c:v>0.4</c:v>
          </c:tx>
          <c:spPr>
            <a:ln w="28575">
              <a:solidFill>
                <a:schemeClr val="accent5">
                  <a:lumMod val="75000"/>
                  <a:alpha val="32000"/>
                </a:schemeClr>
              </a:solidFill>
            </a:ln>
          </c:spPr>
          <c:marker>
            <c:symbol val="triangle"/>
            <c:size val="2"/>
          </c:marker>
          <c:xVal>
            <c:numRef>
              <c:f>OscBC2!$A$5:$A$31</c:f>
              <c:numCache>
                <c:formatCode>General</c:formatCode>
                <c:ptCount val="27"/>
                <c:pt idx="0">
                  <c:v>127</c:v>
                </c:pt>
                <c:pt idx="1">
                  <c:v>126</c:v>
                </c:pt>
                <c:pt idx="2">
                  <c:v>125</c:v>
                </c:pt>
                <c:pt idx="3">
                  <c:v>124</c:v>
                </c:pt>
                <c:pt idx="4">
                  <c:v>123</c:v>
                </c:pt>
                <c:pt idx="5">
                  <c:v>122</c:v>
                </c:pt>
                <c:pt idx="6">
                  <c:v>121</c:v>
                </c:pt>
                <c:pt idx="7">
                  <c:v>120</c:v>
                </c:pt>
                <c:pt idx="8">
                  <c:v>110</c:v>
                </c:pt>
                <c:pt idx="9">
                  <c:v>100</c:v>
                </c:pt>
                <c:pt idx="10">
                  <c:v>96</c:v>
                </c:pt>
                <c:pt idx="11">
                  <c:v>76</c:v>
                </c:pt>
                <c:pt idx="12">
                  <c:v>64</c:v>
                </c:pt>
                <c:pt idx="13">
                  <c:v>48</c:v>
                </c:pt>
                <c:pt idx="14">
                  <c:v>32</c:v>
                </c:pt>
                <c:pt idx="15">
                  <c:v>20</c:v>
                </c:pt>
                <c:pt idx="16">
                  <c:v>13</c:v>
                </c:pt>
                <c:pt idx="17">
                  <c:v>10</c:v>
                </c:pt>
                <c:pt idx="18">
                  <c:v>8</c:v>
                </c:pt>
                <c:pt idx="19">
                  <c:v>7</c:v>
                </c:pt>
                <c:pt idx="20">
                  <c:v>6</c:v>
                </c:pt>
                <c:pt idx="21">
                  <c:v>5</c:v>
                </c:pt>
                <c:pt idx="22">
                  <c:v>4</c:v>
                </c:pt>
                <c:pt idx="23">
                  <c:v>3</c:v>
                </c:pt>
                <c:pt idx="24">
                  <c:v>2</c:v>
                </c:pt>
                <c:pt idx="25">
                  <c:v>1</c:v>
                </c:pt>
                <c:pt idx="26">
                  <c:v>0</c:v>
                </c:pt>
              </c:numCache>
            </c:numRef>
          </c:xVal>
          <c:yVal>
            <c:numRef>
              <c:f>OscBC2!$J$5:$J$31</c:f>
              <c:numCache>
                <c:formatCode>0.000</c:formatCode>
                <c:ptCount val="27"/>
                <c:pt idx="0">
                  <c:v>1</c:v>
                </c:pt>
                <c:pt idx="5">
                  <c:v>0.99122807017543857</c:v>
                </c:pt>
                <c:pt idx="9">
                  <c:v>0.96491228070175439</c:v>
                </c:pt>
                <c:pt idx="12">
                  <c:v>0.93859649122807021</c:v>
                </c:pt>
                <c:pt idx="14">
                  <c:v>0.91228070175438591</c:v>
                </c:pt>
                <c:pt idx="15">
                  <c:v>0.89912280701754388</c:v>
                </c:pt>
                <c:pt idx="17">
                  <c:v>0.75</c:v>
                </c:pt>
                <c:pt idx="19">
                  <c:v>0.71491228070175439</c:v>
                </c:pt>
                <c:pt idx="21">
                  <c:v>0.68421052631578949</c:v>
                </c:pt>
                <c:pt idx="22">
                  <c:v>0.67105263157894735</c:v>
                </c:pt>
                <c:pt idx="23">
                  <c:v>0.55263157894736847</c:v>
                </c:pt>
                <c:pt idx="24">
                  <c:v>0.24561403508771928</c:v>
                </c:pt>
                <c:pt idx="25">
                  <c:v>6.1403508771929821E-2</c:v>
                </c:pt>
                <c:pt idx="26">
                  <c:v>0</c:v>
                </c:pt>
              </c:numCache>
            </c:numRef>
          </c:yVal>
          <c:smooth val="0"/>
        </c:ser>
        <c:ser>
          <c:idx val="5"/>
          <c:order val="5"/>
          <c:tx>
            <c:v>0.35</c:v>
          </c:tx>
          <c:spPr>
            <a:ln w="28575">
              <a:solidFill>
                <a:schemeClr val="accent6">
                  <a:lumMod val="75000"/>
                  <a:alpha val="63000"/>
                </a:schemeClr>
              </a:solidFill>
            </a:ln>
          </c:spPr>
          <c:marker>
            <c:symbol val="circle"/>
            <c:size val="2"/>
          </c:marker>
          <c:xVal>
            <c:numRef>
              <c:f>OscBC2!$A$5:$A$31</c:f>
              <c:numCache>
                <c:formatCode>General</c:formatCode>
                <c:ptCount val="27"/>
                <c:pt idx="0">
                  <c:v>127</c:v>
                </c:pt>
                <c:pt idx="1">
                  <c:v>126</c:v>
                </c:pt>
                <c:pt idx="2">
                  <c:v>125</c:v>
                </c:pt>
                <c:pt idx="3">
                  <c:v>124</c:v>
                </c:pt>
                <c:pt idx="4">
                  <c:v>123</c:v>
                </c:pt>
                <c:pt idx="5">
                  <c:v>122</c:v>
                </c:pt>
                <c:pt idx="6">
                  <c:v>121</c:v>
                </c:pt>
                <c:pt idx="7">
                  <c:v>120</c:v>
                </c:pt>
                <c:pt idx="8">
                  <c:v>110</c:v>
                </c:pt>
                <c:pt idx="9">
                  <c:v>100</c:v>
                </c:pt>
                <c:pt idx="10">
                  <c:v>96</c:v>
                </c:pt>
                <c:pt idx="11">
                  <c:v>76</c:v>
                </c:pt>
                <c:pt idx="12">
                  <c:v>64</c:v>
                </c:pt>
                <c:pt idx="13">
                  <c:v>48</c:v>
                </c:pt>
                <c:pt idx="14">
                  <c:v>32</c:v>
                </c:pt>
                <c:pt idx="15">
                  <c:v>20</c:v>
                </c:pt>
                <c:pt idx="16">
                  <c:v>13</c:v>
                </c:pt>
                <c:pt idx="17">
                  <c:v>10</c:v>
                </c:pt>
                <c:pt idx="18">
                  <c:v>8</c:v>
                </c:pt>
                <c:pt idx="19">
                  <c:v>7</c:v>
                </c:pt>
                <c:pt idx="20">
                  <c:v>6</c:v>
                </c:pt>
                <c:pt idx="21">
                  <c:v>5</c:v>
                </c:pt>
                <c:pt idx="22">
                  <c:v>4</c:v>
                </c:pt>
                <c:pt idx="23">
                  <c:v>3</c:v>
                </c:pt>
                <c:pt idx="24">
                  <c:v>2</c:v>
                </c:pt>
                <c:pt idx="25">
                  <c:v>1</c:v>
                </c:pt>
                <c:pt idx="26">
                  <c:v>0</c:v>
                </c:pt>
              </c:numCache>
            </c:numRef>
          </c:xVal>
          <c:yVal>
            <c:numRef>
              <c:f>OscBC2!$K$5:$K$31</c:f>
              <c:numCache>
                <c:formatCode>0.000</c:formatCode>
                <c:ptCount val="27"/>
                <c:pt idx="0">
                  <c:v>1</c:v>
                </c:pt>
                <c:pt idx="4">
                  <c:v>0.99115044247787609</c:v>
                </c:pt>
                <c:pt idx="7">
                  <c:v>0.98230088495575218</c:v>
                </c:pt>
                <c:pt idx="9">
                  <c:v>0.95575221238938057</c:v>
                </c:pt>
                <c:pt idx="12">
                  <c:v>0.90265486725663713</c:v>
                </c:pt>
                <c:pt idx="14">
                  <c:v>0.86725663716814161</c:v>
                </c:pt>
                <c:pt idx="15">
                  <c:v>0.74336283185840712</c:v>
                </c:pt>
                <c:pt idx="17">
                  <c:v>0.59734513274336287</c:v>
                </c:pt>
                <c:pt idx="18">
                  <c:v>0.5752212389380531</c:v>
                </c:pt>
                <c:pt idx="19">
                  <c:v>0.56194690265486724</c:v>
                </c:pt>
                <c:pt idx="20">
                  <c:v>0.55309734513274333</c:v>
                </c:pt>
                <c:pt idx="21">
                  <c:v>0.53982300884955747</c:v>
                </c:pt>
                <c:pt idx="22">
                  <c:v>0.36283185840707965</c:v>
                </c:pt>
                <c:pt idx="23">
                  <c:v>0.20575221238938052</c:v>
                </c:pt>
                <c:pt idx="24">
                  <c:v>8.8495575221238937E-2</c:v>
                </c:pt>
                <c:pt idx="25">
                  <c:v>2.2123893805309734E-2</c:v>
                </c:pt>
                <c:pt idx="26">
                  <c:v>0</c:v>
                </c:pt>
              </c:numCache>
            </c:numRef>
          </c:yVal>
          <c:smooth val="0"/>
        </c:ser>
        <c:ser>
          <c:idx val="6"/>
          <c:order val="6"/>
          <c:tx>
            <c:v>0.3</c:v>
          </c:tx>
          <c:spPr>
            <a:ln w="28575">
              <a:solidFill>
                <a:schemeClr val="accent2">
                  <a:lumMod val="60000"/>
                  <a:lumOff val="40000"/>
                </a:schemeClr>
              </a:solidFill>
            </a:ln>
          </c:spPr>
          <c:xVal>
            <c:numRef>
              <c:f>OscBC2!$A$5:$A$31</c:f>
              <c:numCache>
                <c:formatCode>General</c:formatCode>
                <c:ptCount val="27"/>
                <c:pt idx="0">
                  <c:v>127</c:v>
                </c:pt>
                <c:pt idx="1">
                  <c:v>126</c:v>
                </c:pt>
                <c:pt idx="2">
                  <c:v>125</c:v>
                </c:pt>
                <c:pt idx="3">
                  <c:v>124</c:v>
                </c:pt>
                <c:pt idx="4">
                  <c:v>123</c:v>
                </c:pt>
                <c:pt idx="5">
                  <c:v>122</c:v>
                </c:pt>
                <c:pt idx="6">
                  <c:v>121</c:v>
                </c:pt>
                <c:pt idx="7">
                  <c:v>120</c:v>
                </c:pt>
                <c:pt idx="8">
                  <c:v>110</c:v>
                </c:pt>
                <c:pt idx="9">
                  <c:v>100</c:v>
                </c:pt>
                <c:pt idx="10">
                  <c:v>96</c:v>
                </c:pt>
                <c:pt idx="11">
                  <c:v>76</c:v>
                </c:pt>
                <c:pt idx="12">
                  <c:v>64</c:v>
                </c:pt>
                <c:pt idx="13">
                  <c:v>48</c:v>
                </c:pt>
                <c:pt idx="14">
                  <c:v>32</c:v>
                </c:pt>
                <c:pt idx="15">
                  <c:v>20</c:v>
                </c:pt>
                <c:pt idx="16">
                  <c:v>13</c:v>
                </c:pt>
                <c:pt idx="17">
                  <c:v>10</c:v>
                </c:pt>
                <c:pt idx="18">
                  <c:v>8</c:v>
                </c:pt>
                <c:pt idx="19">
                  <c:v>7</c:v>
                </c:pt>
                <c:pt idx="20">
                  <c:v>6</c:v>
                </c:pt>
                <c:pt idx="21">
                  <c:v>5</c:v>
                </c:pt>
                <c:pt idx="22">
                  <c:v>4</c:v>
                </c:pt>
                <c:pt idx="23">
                  <c:v>3</c:v>
                </c:pt>
                <c:pt idx="24">
                  <c:v>2</c:v>
                </c:pt>
                <c:pt idx="25">
                  <c:v>1</c:v>
                </c:pt>
                <c:pt idx="26">
                  <c:v>0</c:v>
                </c:pt>
              </c:numCache>
            </c:numRef>
          </c:xVal>
          <c:yVal>
            <c:numRef>
              <c:f>OscBC2!$L$5:$L$31</c:f>
              <c:numCache>
                <c:formatCode>0.000</c:formatCode>
                <c:ptCount val="27"/>
                <c:pt idx="0">
                  <c:v>1</c:v>
                </c:pt>
                <c:pt idx="3">
                  <c:v>0.99118942731277537</c:v>
                </c:pt>
                <c:pt idx="7">
                  <c:v>0.97797356828193838</c:v>
                </c:pt>
                <c:pt idx="8">
                  <c:v>0.96035242290748901</c:v>
                </c:pt>
                <c:pt idx="9">
                  <c:v>0.93392070484581502</c:v>
                </c:pt>
                <c:pt idx="10">
                  <c:v>0.93392070484581502</c:v>
                </c:pt>
                <c:pt idx="11">
                  <c:v>0.88105726872246692</c:v>
                </c:pt>
                <c:pt idx="12">
                  <c:v>0.85462555066079293</c:v>
                </c:pt>
                <c:pt idx="13">
                  <c:v>0.82378854625550657</c:v>
                </c:pt>
                <c:pt idx="14">
                  <c:v>0.70044052863436124</c:v>
                </c:pt>
                <c:pt idx="15">
                  <c:v>0.55947136563876654</c:v>
                </c:pt>
                <c:pt idx="17">
                  <c:v>0.45374449339207046</c:v>
                </c:pt>
                <c:pt idx="18">
                  <c:v>0.42290748898678415</c:v>
                </c:pt>
                <c:pt idx="19">
                  <c:v>0.39207048458149779</c:v>
                </c:pt>
                <c:pt idx="20">
                  <c:v>0.34140969162995594</c:v>
                </c:pt>
                <c:pt idx="23">
                  <c:v>9.9118942731277526E-2</c:v>
                </c:pt>
                <c:pt idx="24">
                  <c:v>5.2863436123348019E-2</c:v>
                </c:pt>
                <c:pt idx="25">
                  <c:v>2.643171806167401E-2</c:v>
                </c:pt>
                <c:pt idx="26">
                  <c:v>0</c:v>
                </c:pt>
              </c:numCache>
            </c:numRef>
          </c:yVal>
          <c:smooth val="0"/>
        </c:ser>
        <c:ser>
          <c:idx val="7"/>
          <c:order val="7"/>
          <c:tx>
            <c:v>0.2</c:v>
          </c:tx>
          <c:spPr>
            <a:ln w="28575">
              <a:solidFill>
                <a:schemeClr val="accent5">
                  <a:lumMod val="75000"/>
                  <a:alpha val="42000"/>
                </a:schemeClr>
              </a:solidFill>
            </a:ln>
          </c:spPr>
          <c:marker>
            <c:symbol val="plus"/>
            <c:size val="5"/>
          </c:marker>
          <c:xVal>
            <c:numRef>
              <c:f>OscBC2!$A$5:$A$31</c:f>
              <c:numCache>
                <c:formatCode>General</c:formatCode>
                <c:ptCount val="27"/>
                <c:pt idx="0">
                  <c:v>127</c:v>
                </c:pt>
                <c:pt idx="1">
                  <c:v>126</c:v>
                </c:pt>
                <c:pt idx="2">
                  <c:v>125</c:v>
                </c:pt>
                <c:pt idx="3">
                  <c:v>124</c:v>
                </c:pt>
                <c:pt idx="4">
                  <c:v>123</c:v>
                </c:pt>
                <c:pt idx="5">
                  <c:v>122</c:v>
                </c:pt>
                <c:pt idx="6">
                  <c:v>121</c:v>
                </c:pt>
                <c:pt idx="7">
                  <c:v>120</c:v>
                </c:pt>
                <c:pt idx="8">
                  <c:v>110</c:v>
                </c:pt>
                <c:pt idx="9">
                  <c:v>100</c:v>
                </c:pt>
                <c:pt idx="10">
                  <c:v>96</c:v>
                </c:pt>
                <c:pt idx="11">
                  <c:v>76</c:v>
                </c:pt>
                <c:pt idx="12">
                  <c:v>64</c:v>
                </c:pt>
                <c:pt idx="13">
                  <c:v>48</c:v>
                </c:pt>
                <c:pt idx="14">
                  <c:v>32</c:v>
                </c:pt>
                <c:pt idx="15">
                  <c:v>20</c:v>
                </c:pt>
                <c:pt idx="16">
                  <c:v>13</c:v>
                </c:pt>
                <c:pt idx="17">
                  <c:v>10</c:v>
                </c:pt>
                <c:pt idx="18">
                  <c:v>8</c:v>
                </c:pt>
                <c:pt idx="19">
                  <c:v>7</c:v>
                </c:pt>
                <c:pt idx="20">
                  <c:v>6</c:v>
                </c:pt>
                <c:pt idx="21">
                  <c:v>5</c:v>
                </c:pt>
                <c:pt idx="22">
                  <c:v>4</c:v>
                </c:pt>
                <c:pt idx="23">
                  <c:v>3</c:v>
                </c:pt>
                <c:pt idx="24">
                  <c:v>2</c:v>
                </c:pt>
                <c:pt idx="25">
                  <c:v>1</c:v>
                </c:pt>
                <c:pt idx="26">
                  <c:v>0</c:v>
                </c:pt>
              </c:numCache>
            </c:numRef>
          </c:xVal>
          <c:yVal>
            <c:numRef>
              <c:f>OscBC2!$M$5:$M$31</c:f>
              <c:numCache>
                <c:formatCode>0.000</c:formatCode>
                <c:ptCount val="27"/>
                <c:pt idx="0">
                  <c:v>1</c:v>
                </c:pt>
                <c:pt idx="3">
                  <c:v>0.98230088495575218</c:v>
                </c:pt>
                <c:pt idx="7">
                  <c:v>0.97345132743362828</c:v>
                </c:pt>
                <c:pt idx="8">
                  <c:v>0.92920353982300885</c:v>
                </c:pt>
                <c:pt idx="9">
                  <c:v>0.89380530973451322</c:v>
                </c:pt>
                <c:pt idx="10">
                  <c:v>0.87610619469026552</c:v>
                </c:pt>
                <c:pt idx="11">
                  <c:v>0.79646017699115046</c:v>
                </c:pt>
                <c:pt idx="12">
                  <c:v>0.76106194690265483</c:v>
                </c:pt>
                <c:pt idx="13">
                  <c:v>0.61283185840707965</c:v>
                </c:pt>
                <c:pt idx="14">
                  <c:v>0.4336283185840708</c:v>
                </c:pt>
                <c:pt idx="15">
                  <c:v>0.32743362831858408</c:v>
                </c:pt>
                <c:pt idx="16">
                  <c:v>0.26548672566371684</c:v>
                </c:pt>
                <c:pt idx="17">
                  <c:v>0.23893805309734514</c:v>
                </c:pt>
                <c:pt idx="18">
                  <c:v>0.16592920353982302</c:v>
                </c:pt>
                <c:pt idx="19">
                  <c:v>0.13053097345132744</c:v>
                </c:pt>
                <c:pt idx="20">
                  <c:v>9.9557522123893807E-2</c:v>
                </c:pt>
                <c:pt idx="21">
                  <c:v>7.3008849557522126E-2</c:v>
                </c:pt>
                <c:pt idx="22">
                  <c:v>5.3097345132743362E-2</c:v>
                </c:pt>
                <c:pt idx="23">
                  <c:v>3.5398230088495575E-2</c:v>
                </c:pt>
                <c:pt idx="24">
                  <c:v>2.6548672566371681E-2</c:v>
                </c:pt>
              </c:numCache>
            </c:numRef>
          </c:yVal>
          <c:smooth val="0"/>
        </c:ser>
        <c:ser>
          <c:idx val="8"/>
          <c:order val="8"/>
          <c:tx>
            <c:v>0.1</c:v>
          </c:tx>
          <c:spPr>
            <a:ln w="28575">
              <a:noFill/>
            </a:ln>
          </c:spPr>
          <c:marker>
            <c:symbol val="diamond"/>
            <c:size val="3"/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</c:spPr>
          </c:marker>
          <c:xVal>
            <c:numRef>
              <c:f>OscBC2!$A$5:$A$20</c:f>
              <c:numCache>
                <c:formatCode>General</c:formatCode>
                <c:ptCount val="16"/>
                <c:pt idx="0">
                  <c:v>127</c:v>
                </c:pt>
                <c:pt idx="1">
                  <c:v>126</c:v>
                </c:pt>
                <c:pt idx="2">
                  <c:v>125</c:v>
                </c:pt>
                <c:pt idx="3">
                  <c:v>124</c:v>
                </c:pt>
                <c:pt idx="4">
                  <c:v>123</c:v>
                </c:pt>
                <c:pt idx="5">
                  <c:v>122</c:v>
                </c:pt>
                <c:pt idx="6">
                  <c:v>121</c:v>
                </c:pt>
                <c:pt idx="7">
                  <c:v>120</c:v>
                </c:pt>
                <c:pt idx="8">
                  <c:v>110</c:v>
                </c:pt>
                <c:pt idx="9">
                  <c:v>100</c:v>
                </c:pt>
                <c:pt idx="10">
                  <c:v>96</c:v>
                </c:pt>
                <c:pt idx="11">
                  <c:v>76</c:v>
                </c:pt>
                <c:pt idx="12">
                  <c:v>64</c:v>
                </c:pt>
                <c:pt idx="13">
                  <c:v>48</c:v>
                </c:pt>
                <c:pt idx="14">
                  <c:v>32</c:v>
                </c:pt>
                <c:pt idx="15">
                  <c:v>20</c:v>
                </c:pt>
              </c:numCache>
            </c:numRef>
          </c:xVal>
          <c:yVal>
            <c:numRef>
              <c:f>OscBC2!$V$5:$V$20</c:f>
              <c:numCache>
                <c:formatCode>0.000</c:formatCode>
                <c:ptCount val="16"/>
                <c:pt idx="0">
                  <c:v>1</c:v>
                </c:pt>
                <c:pt idx="7">
                  <c:v>0.6834862385321101</c:v>
                </c:pt>
                <c:pt idx="8">
                  <c:v>0.44954128440366975</c:v>
                </c:pt>
                <c:pt idx="9">
                  <c:v>0.34862385321100919</c:v>
                </c:pt>
                <c:pt idx="10">
                  <c:v>0.31192660550458717</c:v>
                </c:pt>
                <c:pt idx="11">
                  <c:v>0.17201834862385321</c:v>
                </c:pt>
                <c:pt idx="12">
                  <c:v>0.10321100917431193</c:v>
                </c:pt>
                <c:pt idx="13">
                  <c:v>5.0458715596330278E-2</c:v>
                </c:pt>
                <c:pt idx="14">
                  <c:v>3.2110091743119268E-2</c:v>
                </c:pt>
                <c:pt idx="15">
                  <c:v>2.5229357798165139E-2</c:v>
                </c:pt>
              </c:numCache>
            </c:numRef>
          </c:yVal>
          <c:smooth val="0"/>
        </c:ser>
        <c:ser>
          <c:idx val="9"/>
          <c:order val="9"/>
          <c:tx>
            <c:v>0</c:v>
          </c:tx>
          <c:spPr>
            <a:ln w="28575">
              <a:noFill/>
            </a:ln>
          </c:spPr>
          <c:xVal>
            <c:numRef>
              <c:f>OscBC2!$A$5:$A$31</c:f>
              <c:numCache>
                <c:formatCode>General</c:formatCode>
                <c:ptCount val="27"/>
                <c:pt idx="0">
                  <c:v>127</c:v>
                </c:pt>
                <c:pt idx="1">
                  <c:v>126</c:v>
                </c:pt>
                <c:pt idx="2">
                  <c:v>125</c:v>
                </c:pt>
                <c:pt idx="3">
                  <c:v>124</c:v>
                </c:pt>
                <c:pt idx="4">
                  <c:v>123</c:v>
                </c:pt>
                <c:pt idx="5">
                  <c:v>122</c:v>
                </c:pt>
                <c:pt idx="6">
                  <c:v>121</c:v>
                </c:pt>
                <c:pt idx="7">
                  <c:v>120</c:v>
                </c:pt>
                <c:pt idx="8">
                  <c:v>110</c:v>
                </c:pt>
                <c:pt idx="9">
                  <c:v>100</c:v>
                </c:pt>
                <c:pt idx="10">
                  <c:v>96</c:v>
                </c:pt>
                <c:pt idx="11">
                  <c:v>76</c:v>
                </c:pt>
                <c:pt idx="12">
                  <c:v>64</c:v>
                </c:pt>
                <c:pt idx="13">
                  <c:v>48</c:v>
                </c:pt>
                <c:pt idx="14">
                  <c:v>32</c:v>
                </c:pt>
                <c:pt idx="15">
                  <c:v>20</c:v>
                </c:pt>
                <c:pt idx="16">
                  <c:v>13</c:v>
                </c:pt>
                <c:pt idx="17">
                  <c:v>10</c:v>
                </c:pt>
                <c:pt idx="18">
                  <c:v>8</c:v>
                </c:pt>
                <c:pt idx="19">
                  <c:v>7</c:v>
                </c:pt>
                <c:pt idx="20">
                  <c:v>6</c:v>
                </c:pt>
                <c:pt idx="21">
                  <c:v>5</c:v>
                </c:pt>
                <c:pt idx="22">
                  <c:v>4</c:v>
                </c:pt>
                <c:pt idx="23">
                  <c:v>3</c:v>
                </c:pt>
                <c:pt idx="24">
                  <c:v>2</c:v>
                </c:pt>
                <c:pt idx="25">
                  <c:v>1</c:v>
                </c:pt>
                <c:pt idx="26">
                  <c:v>0</c:v>
                </c:pt>
              </c:numCache>
            </c:numRef>
          </c:xVal>
          <c:yVal>
            <c:numRef>
              <c:f>OscBC2!$N$5:$N$26</c:f>
              <c:numCache>
                <c:formatCode>0.000</c:formatCode>
                <c:ptCount val="22"/>
                <c:pt idx="0">
                  <c:v>1</c:v>
                </c:pt>
                <c:pt idx="7">
                  <c:v>0.94736842105263153</c:v>
                </c:pt>
                <c:pt idx="8">
                  <c:v>0.8728070175438597</c:v>
                </c:pt>
                <c:pt idx="10">
                  <c:v>0.7807017543859649</c:v>
                </c:pt>
                <c:pt idx="12">
                  <c:v>0.49122807017543857</c:v>
                </c:pt>
                <c:pt idx="14">
                  <c:v>0.20833333333333334</c:v>
                </c:pt>
                <c:pt idx="15">
                  <c:v>0.13596491228070176</c:v>
                </c:pt>
                <c:pt idx="17">
                  <c:v>6.3596491228070179E-2</c:v>
                </c:pt>
                <c:pt idx="21">
                  <c:v>2.850877192982456E-2</c:v>
                </c:pt>
              </c:numCache>
            </c:numRef>
          </c:yVal>
          <c:smooth val="0"/>
        </c:ser>
        <c:ser>
          <c:idx val="10"/>
          <c:order val="10"/>
          <c:spPr>
            <a:ln w="28575">
              <a:noFill/>
            </a:ln>
          </c:spPr>
          <c:xVal>
            <c:numRef>
              <c:f>OscBC2!$A$5:$A$31</c:f>
              <c:numCache>
                <c:formatCode>General</c:formatCode>
                <c:ptCount val="27"/>
                <c:pt idx="0">
                  <c:v>127</c:v>
                </c:pt>
                <c:pt idx="1">
                  <c:v>126</c:v>
                </c:pt>
                <c:pt idx="2">
                  <c:v>125</c:v>
                </c:pt>
                <c:pt idx="3">
                  <c:v>124</c:v>
                </c:pt>
                <c:pt idx="4">
                  <c:v>123</c:v>
                </c:pt>
                <c:pt idx="5">
                  <c:v>122</c:v>
                </c:pt>
                <c:pt idx="6">
                  <c:v>121</c:v>
                </c:pt>
                <c:pt idx="7">
                  <c:v>120</c:v>
                </c:pt>
                <c:pt idx="8">
                  <c:v>110</c:v>
                </c:pt>
                <c:pt idx="9">
                  <c:v>100</c:v>
                </c:pt>
                <c:pt idx="10">
                  <c:v>96</c:v>
                </c:pt>
                <c:pt idx="11">
                  <c:v>76</c:v>
                </c:pt>
                <c:pt idx="12">
                  <c:v>64</c:v>
                </c:pt>
                <c:pt idx="13">
                  <c:v>48</c:v>
                </c:pt>
                <c:pt idx="14">
                  <c:v>32</c:v>
                </c:pt>
                <c:pt idx="15">
                  <c:v>20</c:v>
                </c:pt>
                <c:pt idx="16">
                  <c:v>13</c:v>
                </c:pt>
                <c:pt idx="17">
                  <c:v>10</c:v>
                </c:pt>
                <c:pt idx="18">
                  <c:v>8</c:v>
                </c:pt>
                <c:pt idx="19">
                  <c:v>7</c:v>
                </c:pt>
                <c:pt idx="20">
                  <c:v>6</c:v>
                </c:pt>
                <c:pt idx="21">
                  <c:v>5</c:v>
                </c:pt>
                <c:pt idx="22">
                  <c:v>4</c:v>
                </c:pt>
                <c:pt idx="23">
                  <c:v>3</c:v>
                </c:pt>
                <c:pt idx="24">
                  <c:v>2</c:v>
                </c:pt>
                <c:pt idx="25">
                  <c:v>1</c:v>
                </c:pt>
                <c:pt idx="26">
                  <c:v>0</c:v>
                </c:pt>
              </c:numCache>
            </c:numRef>
          </c:xVal>
          <c:yVal>
            <c:numRef>
              <c:f>OscBC2!$V$5:$V$31</c:f>
              <c:numCache>
                <c:formatCode>0.000</c:formatCode>
                <c:ptCount val="27"/>
                <c:pt idx="0">
                  <c:v>1</c:v>
                </c:pt>
                <c:pt idx="7">
                  <c:v>0.6834862385321101</c:v>
                </c:pt>
                <c:pt idx="8">
                  <c:v>0.44954128440366975</c:v>
                </c:pt>
                <c:pt idx="9">
                  <c:v>0.34862385321100919</c:v>
                </c:pt>
                <c:pt idx="10">
                  <c:v>0.31192660550458717</c:v>
                </c:pt>
                <c:pt idx="11">
                  <c:v>0.17201834862385321</c:v>
                </c:pt>
                <c:pt idx="12">
                  <c:v>0.10321100917431193</c:v>
                </c:pt>
                <c:pt idx="13">
                  <c:v>5.0458715596330278E-2</c:v>
                </c:pt>
                <c:pt idx="14">
                  <c:v>3.2110091743119268E-2</c:v>
                </c:pt>
                <c:pt idx="15">
                  <c:v>2.5229357798165139E-2</c:v>
                </c:pt>
                <c:pt idx="26">
                  <c:v>1E-3</c:v>
                </c:pt>
              </c:numCache>
            </c:numRef>
          </c:yVal>
          <c:smooth val="0"/>
        </c:ser>
        <c:ser>
          <c:idx val="11"/>
          <c:order val="11"/>
          <c:spPr>
            <a:ln w="28575">
              <a:noFill/>
            </a:ln>
          </c:spPr>
          <c:xVal>
            <c:numRef>
              <c:f>OscBC2!$A$5:$A$31</c:f>
              <c:numCache>
                <c:formatCode>General</c:formatCode>
                <c:ptCount val="27"/>
                <c:pt idx="0">
                  <c:v>127</c:v>
                </c:pt>
                <c:pt idx="1">
                  <c:v>126</c:v>
                </c:pt>
                <c:pt idx="2">
                  <c:v>125</c:v>
                </c:pt>
                <c:pt idx="3">
                  <c:v>124</c:v>
                </c:pt>
                <c:pt idx="4">
                  <c:v>123</c:v>
                </c:pt>
                <c:pt idx="5">
                  <c:v>122</c:v>
                </c:pt>
                <c:pt idx="6">
                  <c:v>121</c:v>
                </c:pt>
                <c:pt idx="7">
                  <c:v>120</c:v>
                </c:pt>
                <c:pt idx="8">
                  <c:v>110</c:v>
                </c:pt>
                <c:pt idx="9">
                  <c:v>100</c:v>
                </c:pt>
                <c:pt idx="10">
                  <c:v>96</c:v>
                </c:pt>
                <c:pt idx="11">
                  <c:v>76</c:v>
                </c:pt>
                <c:pt idx="12">
                  <c:v>64</c:v>
                </c:pt>
                <c:pt idx="13">
                  <c:v>48</c:v>
                </c:pt>
                <c:pt idx="14">
                  <c:v>32</c:v>
                </c:pt>
                <c:pt idx="15">
                  <c:v>20</c:v>
                </c:pt>
                <c:pt idx="16">
                  <c:v>13</c:v>
                </c:pt>
                <c:pt idx="17">
                  <c:v>10</c:v>
                </c:pt>
                <c:pt idx="18">
                  <c:v>8</c:v>
                </c:pt>
                <c:pt idx="19">
                  <c:v>7</c:v>
                </c:pt>
                <c:pt idx="20">
                  <c:v>6</c:v>
                </c:pt>
                <c:pt idx="21">
                  <c:v>5</c:v>
                </c:pt>
                <c:pt idx="22">
                  <c:v>4</c:v>
                </c:pt>
                <c:pt idx="23">
                  <c:v>3</c:v>
                </c:pt>
                <c:pt idx="24">
                  <c:v>2</c:v>
                </c:pt>
                <c:pt idx="25">
                  <c:v>1</c:v>
                </c:pt>
                <c:pt idx="26">
                  <c:v>0</c:v>
                </c:pt>
              </c:numCache>
            </c:numRef>
          </c:xVal>
          <c:yVal>
            <c:numRef>
              <c:f>OscBC2!$T$5:$T$31</c:f>
              <c:numCache>
                <c:formatCode>0.000</c:formatCode>
                <c:ptCount val="27"/>
                <c:pt idx="0">
                  <c:v>1</c:v>
                </c:pt>
                <c:pt idx="7">
                  <c:v>0.79646017699115046</c:v>
                </c:pt>
                <c:pt idx="8">
                  <c:v>0.59292035398230092</c:v>
                </c:pt>
                <c:pt idx="9">
                  <c:v>0.47345132743362833</c:v>
                </c:pt>
                <c:pt idx="10">
                  <c:v>0.4336283185840708</c:v>
                </c:pt>
                <c:pt idx="12">
                  <c:v>0.17699115044247787</c:v>
                </c:pt>
                <c:pt idx="14">
                  <c:v>8.4070796460176997E-2</c:v>
                </c:pt>
                <c:pt idx="15">
                  <c:v>0.03</c:v>
                </c:pt>
                <c:pt idx="26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2886912"/>
        <c:axId val="302888448"/>
      </c:scatterChart>
      <c:valAx>
        <c:axId val="3028869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02888448"/>
        <c:crosses val="autoZero"/>
        <c:crossBetween val="midCat"/>
      </c:valAx>
      <c:valAx>
        <c:axId val="302888448"/>
        <c:scaling>
          <c:orientation val="minMax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crossAx val="302886912"/>
        <c:crosses val="autoZero"/>
        <c:crossBetween val="midCat"/>
      </c:valAx>
    </c:plotArea>
    <c:legend>
      <c:legendPos val="r"/>
      <c:overlay val="0"/>
    </c:legend>
    <c:plotVisOnly val="1"/>
    <c:dispBlanksAs val="span"/>
    <c:showDLblsOverMax val="0"/>
  </c:chart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4607162591518181E-2"/>
          <c:y val="6.5289442986293383E-2"/>
          <c:w val="0.65556188700096696"/>
          <c:h val="0.8326195683872849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2"/>
          </c:marker>
          <c:xVal>
            <c:numRef>
              <c:f>OscBC2!$B$5:$B$20</c:f>
              <c:numCache>
                <c:formatCode>General</c:formatCode>
                <c:ptCount val="16"/>
                <c:pt idx="0">
                  <c:v>1</c:v>
                </c:pt>
                <c:pt idx="1">
                  <c:v>0.99212598425196852</c:v>
                </c:pt>
                <c:pt idx="2">
                  <c:v>0.98425196850393704</c:v>
                </c:pt>
                <c:pt idx="3">
                  <c:v>0.97637795275590555</c:v>
                </c:pt>
                <c:pt idx="4">
                  <c:v>0.96850393700787396</c:v>
                </c:pt>
                <c:pt idx="5">
                  <c:v>0.96062992125984248</c:v>
                </c:pt>
                <c:pt idx="6">
                  <c:v>0.952755905511811</c:v>
                </c:pt>
                <c:pt idx="7">
                  <c:v>0.94488188976377951</c:v>
                </c:pt>
                <c:pt idx="8">
                  <c:v>0.86614173228346458</c:v>
                </c:pt>
                <c:pt idx="9">
                  <c:v>0.78740157480314965</c:v>
                </c:pt>
                <c:pt idx="10">
                  <c:v>0.75590551181102361</c:v>
                </c:pt>
                <c:pt idx="11">
                  <c:v>0.59842519685039375</c:v>
                </c:pt>
                <c:pt idx="12">
                  <c:v>0.50393700787401574</c:v>
                </c:pt>
                <c:pt idx="13">
                  <c:v>0.37795275590551181</c:v>
                </c:pt>
                <c:pt idx="14">
                  <c:v>0.25196850393700787</c:v>
                </c:pt>
                <c:pt idx="15">
                  <c:v>0.15748031496062992</c:v>
                </c:pt>
              </c:numCache>
            </c:numRef>
          </c:xVal>
          <c:yVal>
            <c:numRef>
              <c:f>(OscBC2!$V$5:$V$20,OscBC2!$O$5:$O$31)</c:f>
              <c:numCache>
                <c:formatCode>0.000</c:formatCode>
                <c:ptCount val="43"/>
                <c:pt idx="0">
                  <c:v>1</c:v>
                </c:pt>
                <c:pt idx="7">
                  <c:v>0.6834862385321101</c:v>
                </c:pt>
                <c:pt idx="8">
                  <c:v>0.44954128440366975</c:v>
                </c:pt>
                <c:pt idx="9">
                  <c:v>0.34862385321100919</c:v>
                </c:pt>
                <c:pt idx="10">
                  <c:v>0.31192660550458717</c:v>
                </c:pt>
                <c:pt idx="11">
                  <c:v>0.17201834862385321</c:v>
                </c:pt>
                <c:pt idx="12">
                  <c:v>0.10321100917431193</c:v>
                </c:pt>
                <c:pt idx="13">
                  <c:v>5.0458715596330278E-2</c:v>
                </c:pt>
                <c:pt idx="14">
                  <c:v>3.2110091743119268E-2</c:v>
                </c:pt>
                <c:pt idx="15">
                  <c:v>2.5229357798165139E-2</c:v>
                </c:pt>
                <c:pt idx="16">
                  <c:v>1</c:v>
                </c:pt>
                <c:pt idx="17">
                  <c:v>0.99212598425196852</c:v>
                </c:pt>
                <c:pt idx="18">
                  <c:v>0.98425196850393704</c:v>
                </c:pt>
                <c:pt idx="19">
                  <c:v>0.97637795275590555</c:v>
                </c:pt>
                <c:pt idx="20">
                  <c:v>0.96850393700787396</c:v>
                </c:pt>
                <c:pt idx="21">
                  <c:v>0.96062992125984248</c:v>
                </c:pt>
                <c:pt idx="22">
                  <c:v>0.952755905511811</c:v>
                </c:pt>
                <c:pt idx="23">
                  <c:v>0.94488188976377951</c:v>
                </c:pt>
                <c:pt idx="24">
                  <c:v>0.86614173228346458</c:v>
                </c:pt>
                <c:pt idx="25">
                  <c:v>0.78740157480314965</c:v>
                </c:pt>
                <c:pt idx="26">
                  <c:v>0.75590551181102361</c:v>
                </c:pt>
                <c:pt idx="27">
                  <c:v>0.59842519685039375</c:v>
                </c:pt>
                <c:pt idx="28">
                  <c:v>0.50393700787401574</c:v>
                </c:pt>
                <c:pt idx="29">
                  <c:v>0.37795275590551181</c:v>
                </c:pt>
                <c:pt idx="30">
                  <c:v>0.25196850393700787</c:v>
                </c:pt>
                <c:pt idx="31">
                  <c:v>0.15748031496062992</c:v>
                </c:pt>
                <c:pt idx="32">
                  <c:v>0.10236220472440945</c:v>
                </c:pt>
                <c:pt idx="33">
                  <c:v>7.874015748031496E-2</c:v>
                </c:pt>
                <c:pt idx="34">
                  <c:v>6.2992125984251968E-2</c:v>
                </c:pt>
                <c:pt idx="35">
                  <c:v>5.5118110236220472E-2</c:v>
                </c:pt>
                <c:pt idx="36">
                  <c:v>4.7244094488188976E-2</c:v>
                </c:pt>
                <c:pt idx="37">
                  <c:v>3.937007874015748E-2</c:v>
                </c:pt>
                <c:pt idx="38">
                  <c:v>3.1496062992125984E-2</c:v>
                </c:pt>
                <c:pt idx="39">
                  <c:v>2.3622047244094488E-2</c:v>
                </c:pt>
                <c:pt idx="40">
                  <c:v>1.5748031496062992E-2</c:v>
                </c:pt>
                <c:pt idx="41">
                  <c:v>7.874015748031496E-3</c:v>
                </c:pt>
                <c:pt idx="42">
                  <c:v>0</c:v>
                </c:pt>
              </c:numCache>
            </c:numRef>
          </c:yVal>
          <c:smooth val="0"/>
        </c:ser>
        <c:ser>
          <c:idx val="1"/>
          <c:order val="1"/>
          <c:spPr>
            <a:ln w="28575">
              <a:noFill/>
            </a:ln>
          </c:spPr>
          <c:marker>
            <c:symbol val="diamond"/>
            <c:size val="4"/>
          </c:marker>
          <c:xVal>
            <c:numRef>
              <c:f>OscBC2!$B$5:$B$20</c:f>
              <c:numCache>
                <c:formatCode>General</c:formatCode>
                <c:ptCount val="16"/>
                <c:pt idx="0">
                  <c:v>1</c:v>
                </c:pt>
                <c:pt idx="1">
                  <c:v>0.99212598425196852</c:v>
                </c:pt>
                <c:pt idx="2">
                  <c:v>0.98425196850393704</c:v>
                </c:pt>
                <c:pt idx="3">
                  <c:v>0.97637795275590555</c:v>
                </c:pt>
                <c:pt idx="4">
                  <c:v>0.96850393700787396</c:v>
                </c:pt>
                <c:pt idx="5">
                  <c:v>0.96062992125984248</c:v>
                </c:pt>
                <c:pt idx="6">
                  <c:v>0.952755905511811</c:v>
                </c:pt>
                <c:pt idx="7">
                  <c:v>0.94488188976377951</c:v>
                </c:pt>
                <c:pt idx="8">
                  <c:v>0.86614173228346458</c:v>
                </c:pt>
                <c:pt idx="9">
                  <c:v>0.78740157480314965</c:v>
                </c:pt>
                <c:pt idx="10">
                  <c:v>0.75590551181102361</c:v>
                </c:pt>
                <c:pt idx="11">
                  <c:v>0.59842519685039375</c:v>
                </c:pt>
                <c:pt idx="12">
                  <c:v>0.50393700787401574</c:v>
                </c:pt>
                <c:pt idx="13">
                  <c:v>0.37795275590551181</c:v>
                </c:pt>
                <c:pt idx="14">
                  <c:v>0.25196850393700787</c:v>
                </c:pt>
                <c:pt idx="15">
                  <c:v>0.15748031496062992</c:v>
                </c:pt>
              </c:numCache>
            </c:numRef>
          </c:xVal>
          <c:yVal>
            <c:numRef>
              <c:f>OscBC2!$W$5:$W$20</c:f>
              <c:numCache>
                <c:formatCode>0.000</c:formatCode>
                <c:ptCount val="16"/>
                <c:pt idx="0">
                  <c:v>0.97839529775053902</c:v>
                </c:pt>
                <c:pt idx="7">
                  <c:v>0.76473993787887762</c:v>
                </c:pt>
                <c:pt idx="8">
                  <c:v>0.53784333647247384</c:v>
                </c:pt>
                <c:pt idx="9">
                  <c:v>0.37826644099455836</c:v>
                </c:pt>
                <c:pt idx="10">
                  <c:v>0.32859021131385208</c:v>
                </c:pt>
                <c:pt idx="11">
                  <c:v>0.16253191918299811</c:v>
                </c:pt>
                <c:pt idx="12">
                  <c:v>0.10653911593571173</c:v>
                </c:pt>
                <c:pt idx="13">
                  <c:v>6.0664737423936348E-2</c:v>
                </c:pt>
                <c:pt idx="14">
                  <c:v>3.4543278629568026E-2</c:v>
                </c:pt>
                <c:pt idx="15">
                  <c:v>2.2643000742343527E-2</c:v>
                </c:pt>
              </c:numCache>
            </c:numRef>
          </c:yVal>
          <c:smooth val="0"/>
        </c:ser>
        <c:ser>
          <c:idx val="3"/>
          <c:order val="2"/>
          <c:spPr>
            <a:ln w="28575">
              <a:noFill/>
            </a:ln>
          </c:spPr>
          <c:xVal>
            <c:numRef>
              <c:f>OscBC2!$B$5:$B$26</c:f>
              <c:numCache>
                <c:formatCode>General</c:formatCode>
                <c:ptCount val="22"/>
                <c:pt idx="0">
                  <c:v>1</c:v>
                </c:pt>
                <c:pt idx="1">
                  <c:v>0.99212598425196852</c:v>
                </c:pt>
                <c:pt idx="2">
                  <c:v>0.98425196850393704</c:v>
                </c:pt>
                <c:pt idx="3">
                  <c:v>0.97637795275590555</c:v>
                </c:pt>
                <c:pt idx="4">
                  <c:v>0.96850393700787396</c:v>
                </c:pt>
                <c:pt idx="5">
                  <c:v>0.96062992125984248</c:v>
                </c:pt>
                <c:pt idx="6">
                  <c:v>0.952755905511811</c:v>
                </c:pt>
                <c:pt idx="7">
                  <c:v>0.94488188976377951</c:v>
                </c:pt>
                <c:pt idx="8">
                  <c:v>0.86614173228346458</c:v>
                </c:pt>
                <c:pt idx="9">
                  <c:v>0.78740157480314965</c:v>
                </c:pt>
                <c:pt idx="10">
                  <c:v>0.75590551181102361</c:v>
                </c:pt>
                <c:pt idx="11">
                  <c:v>0.59842519685039375</c:v>
                </c:pt>
                <c:pt idx="12">
                  <c:v>0.50393700787401574</c:v>
                </c:pt>
                <c:pt idx="13">
                  <c:v>0.37795275590551181</c:v>
                </c:pt>
                <c:pt idx="14">
                  <c:v>0.25196850393700787</c:v>
                </c:pt>
                <c:pt idx="15">
                  <c:v>0.15748031496062992</c:v>
                </c:pt>
                <c:pt idx="16">
                  <c:v>0.10236220472440945</c:v>
                </c:pt>
                <c:pt idx="17">
                  <c:v>7.874015748031496E-2</c:v>
                </c:pt>
                <c:pt idx="18">
                  <c:v>6.2992125984251968E-2</c:v>
                </c:pt>
                <c:pt idx="19">
                  <c:v>5.5118110236220472E-2</c:v>
                </c:pt>
                <c:pt idx="20">
                  <c:v>4.7244094488188976E-2</c:v>
                </c:pt>
                <c:pt idx="21">
                  <c:v>3.937007874015748E-2</c:v>
                </c:pt>
              </c:numCache>
            </c:numRef>
          </c:xVal>
          <c:yVal>
            <c:numRef>
              <c:f>OscBC2!$N$5:$N$26</c:f>
              <c:numCache>
                <c:formatCode>0.000</c:formatCode>
                <c:ptCount val="22"/>
                <c:pt idx="0">
                  <c:v>1</c:v>
                </c:pt>
                <c:pt idx="7">
                  <c:v>0.94736842105263153</c:v>
                </c:pt>
                <c:pt idx="8">
                  <c:v>0.8728070175438597</c:v>
                </c:pt>
                <c:pt idx="10">
                  <c:v>0.7807017543859649</c:v>
                </c:pt>
                <c:pt idx="12">
                  <c:v>0.49122807017543857</c:v>
                </c:pt>
                <c:pt idx="14">
                  <c:v>0.20833333333333334</c:v>
                </c:pt>
                <c:pt idx="15">
                  <c:v>0.13596491228070176</c:v>
                </c:pt>
                <c:pt idx="17">
                  <c:v>6.3596491228070179E-2</c:v>
                </c:pt>
                <c:pt idx="21">
                  <c:v>2.850877192982456E-2</c:v>
                </c:pt>
              </c:numCache>
            </c:numRef>
          </c:yVal>
          <c:smooth val="0"/>
        </c:ser>
        <c:ser>
          <c:idx val="4"/>
          <c:order val="3"/>
          <c:spPr>
            <a:ln w="28575">
              <a:noFill/>
            </a:ln>
          </c:spPr>
          <c:marker>
            <c:symbol val="star"/>
            <c:size val="3"/>
          </c:marker>
          <c:xVal>
            <c:numRef>
              <c:f>OscBC2!$B$5:$B$20</c:f>
              <c:numCache>
                <c:formatCode>General</c:formatCode>
                <c:ptCount val="16"/>
                <c:pt idx="0">
                  <c:v>1</c:v>
                </c:pt>
                <c:pt idx="1">
                  <c:v>0.99212598425196852</c:v>
                </c:pt>
                <c:pt idx="2">
                  <c:v>0.98425196850393704</c:v>
                </c:pt>
                <c:pt idx="3">
                  <c:v>0.97637795275590555</c:v>
                </c:pt>
                <c:pt idx="4">
                  <c:v>0.96850393700787396</c:v>
                </c:pt>
                <c:pt idx="5">
                  <c:v>0.96062992125984248</c:v>
                </c:pt>
                <c:pt idx="6">
                  <c:v>0.952755905511811</c:v>
                </c:pt>
                <c:pt idx="7">
                  <c:v>0.94488188976377951</c:v>
                </c:pt>
                <c:pt idx="8">
                  <c:v>0.86614173228346458</c:v>
                </c:pt>
                <c:pt idx="9">
                  <c:v>0.78740157480314965</c:v>
                </c:pt>
                <c:pt idx="10">
                  <c:v>0.75590551181102361</c:v>
                </c:pt>
                <c:pt idx="11">
                  <c:v>0.59842519685039375</c:v>
                </c:pt>
                <c:pt idx="12">
                  <c:v>0.50393700787401574</c:v>
                </c:pt>
                <c:pt idx="13">
                  <c:v>0.37795275590551181</c:v>
                </c:pt>
                <c:pt idx="14">
                  <c:v>0.25196850393700787</c:v>
                </c:pt>
                <c:pt idx="15">
                  <c:v>0.15748031496062992</c:v>
                </c:pt>
              </c:numCache>
            </c:numRef>
          </c:xVal>
          <c:yVal>
            <c:numRef>
              <c:f>OscBC2!$T$5:$T$20</c:f>
              <c:numCache>
                <c:formatCode>0.000</c:formatCode>
                <c:ptCount val="16"/>
                <c:pt idx="0">
                  <c:v>1</c:v>
                </c:pt>
                <c:pt idx="7">
                  <c:v>0.79646017699115046</c:v>
                </c:pt>
                <c:pt idx="8">
                  <c:v>0.59292035398230092</c:v>
                </c:pt>
                <c:pt idx="9">
                  <c:v>0.47345132743362833</c:v>
                </c:pt>
                <c:pt idx="10">
                  <c:v>0.4336283185840708</c:v>
                </c:pt>
                <c:pt idx="12">
                  <c:v>0.17699115044247787</c:v>
                </c:pt>
                <c:pt idx="14">
                  <c:v>8.4070796460176997E-2</c:v>
                </c:pt>
                <c:pt idx="15">
                  <c:v>0.03</c:v>
                </c:pt>
              </c:numCache>
            </c:numRef>
          </c:yVal>
          <c:smooth val="0"/>
        </c:ser>
        <c:ser>
          <c:idx val="5"/>
          <c:order val="4"/>
          <c:spPr>
            <a:ln w="28575">
              <a:noFill/>
            </a:ln>
          </c:spPr>
          <c:marker>
            <c:symbol val="circle"/>
            <c:size val="3"/>
          </c:marker>
          <c:xVal>
            <c:numRef>
              <c:f>OscBC2!$B$5:$B$20</c:f>
              <c:numCache>
                <c:formatCode>General</c:formatCode>
                <c:ptCount val="16"/>
                <c:pt idx="0">
                  <c:v>1</c:v>
                </c:pt>
                <c:pt idx="1">
                  <c:v>0.99212598425196852</c:v>
                </c:pt>
                <c:pt idx="2">
                  <c:v>0.98425196850393704</c:v>
                </c:pt>
                <c:pt idx="3">
                  <c:v>0.97637795275590555</c:v>
                </c:pt>
                <c:pt idx="4">
                  <c:v>0.96850393700787396</c:v>
                </c:pt>
                <c:pt idx="5">
                  <c:v>0.96062992125984248</c:v>
                </c:pt>
                <c:pt idx="6">
                  <c:v>0.952755905511811</c:v>
                </c:pt>
                <c:pt idx="7">
                  <c:v>0.94488188976377951</c:v>
                </c:pt>
                <c:pt idx="8">
                  <c:v>0.86614173228346458</c:v>
                </c:pt>
                <c:pt idx="9">
                  <c:v>0.78740157480314965</c:v>
                </c:pt>
                <c:pt idx="10">
                  <c:v>0.75590551181102361</c:v>
                </c:pt>
                <c:pt idx="11">
                  <c:v>0.59842519685039375</c:v>
                </c:pt>
                <c:pt idx="12">
                  <c:v>0.50393700787401574</c:v>
                </c:pt>
                <c:pt idx="13">
                  <c:v>0.37795275590551181</c:v>
                </c:pt>
                <c:pt idx="14">
                  <c:v>0.25196850393700787</c:v>
                </c:pt>
                <c:pt idx="15">
                  <c:v>0.15748031496062992</c:v>
                </c:pt>
              </c:numCache>
            </c:numRef>
          </c:xVal>
          <c:yVal>
            <c:numRef>
              <c:f>OscBC2!$S$5:$S$19</c:f>
              <c:numCache>
                <c:formatCode>0.000</c:formatCode>
                <c:ptCount val="15"/>
                <c:pt idx="0">
                  <c:v>1</c:v>
                </c:pt>
                <c:pt idx="7">
                  <c:v>0.84070796460176989</c:v>
                </c:pt>
                <c:pt idx="8">
                  <c:v>0.66371681415929207</c:v>
                </c:pt>
                <c:pt idx="10">
                  <c:v>0.49115044247787609</c:v>
                </c:pt>
                <c:pt idx="12">
                  <c:v>0.2168141592920354</c:v>
                </c:pt>
                <c:pt idx="14">
                  <c:v>5.7522123893805309E-2</c:v>
                </c:pt>
              </c:numCache>
            </c:numRef>
          </c:yVal>
          <c:smooth val="0"/>
        </c:ser>
        <c:ser>
          <c:idx val="6"/>
          <c:order val="5"/>
          <c:spPr>
            <a:ln w="28575">
              <a:noFill/>
            </a:ln>
          </c:spPr>
          <c:xVal>
            <c:numRef>
              <c:f>OscBC2!$B$5:$B$20</c:f>
              <c:numCache>
                <c:formatCode>General</c:formatCode>
                <c:ptCount val="16"/>
                <c:pt idx="0">
                  <c:v>1</c:v>
                </c:pt>
                <c:pt idx="1">
                  <c:v>0.99212598425196852</c:v>
                </c:pt>
                <c:pt idx="2">
                  <c:v>0.98425196850393704</c:v>
                </c:pt>
                <c:pt idx="3">
                  <c:v>0.97637795275590555</c:v>
                </c:pt>
                <c:pt idx="4">
                  <c:v>0.96850393700787396</c:v>
                </c:pt>
                <c:pt idx="5">
                  <c:v>0.96062992125984248</c:v>
                </c:pt>
                <c:pt idx="6">
                  <c:v>0.952755905511811</c:v>
                </c:pt>
                <c:pt idx="7">
                  <c:v>0.94488188976377951</c:v>
                </c:pt>
                <c:pt idx="8">
                  <c:v>0.86614173228346458</c:v>
                </c:pt>
                <c:pt idx="9">
                  <c:v>0.78740157480314965</c:v>
                </c:pt>
                <c:pt idx="10">
                  <c:v>0.75590551181102361</c:v>
                </c:pt>
                <c:pt idx="11">
                  <c:v>0.59842519685039375</c:v>
                </c:pt>
                <c:pt idx="12">
                  <c:v>0.50393700787401574</c:v>
                </c:pt>
                <c:pt idx="13">
                  <c:v>0.37795275590551181</c:v>
                </c:pt>
                <c:pt idx="14">
                  <c:v>0.25196850393700787</c:v>
                </c:pt>
                <c:pt idx="15">
                  <c:v>0.15748031496062992</c:v>
                </c:pt>
              </c:numCache>
            </c:numRef>
          </c:xVal>
          <c:yVal>
            <c:numRef>
              <c:f>OscBC2!$R$5:$R$19</c:f>
              <c:numCache>
                <c:formatCode>0.000</c:formatCode>
                <c:ptCount val="15"/>
                <c:pt idx="0">
                  <c:v>1</c:v>
                </c:pt>
                <c:pt idx="8">
                  <c:v>0.7312775330396476</c:v>
                </c:pt>
                <c:pt idx="10">
                  <c:v>0.55506607929515417</c:v>
                </c:pt>
                <c:pt idx="12">
                  <c:v>0.25550660792951541</c:v>
                </c:pt>
                <c:pt idx="14">
                  <c:v>7.0484581497797363E-2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5428352"/>
        <c:axId val="305429888"/>
      </c:scatterChart>
      <c:valAx>
        <c:axId val="3054283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05429888"/>
        <c:crosses val="autoZero"/>
        <c:crossBetween val="midCat"/>
      </c:valAx>
      <c:valAx>
        <c:axId val="305429888"/>
        <c:scaling>
          <c:orientation val="minMax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crossAx val="30542835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OscBC2!$C$56</c:f>
              <c:strCache>
                <c:ptCount val="1"/>
                <c:pt idx="0">
                  <c:v>cor-0.2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3"/>
          </c:marker>
          <c:trendline>
            <c:trendlineType val="power"/>
            <c:dispRSqr val="0"/>
            <c:dispEq val="0"/>
          </c:trendline>
          <c:xVal>
            <c:numRef>
              <c:f>OscBC2!$B$57:$B$83</c:f>
              <c:numCache>
                <c:formatCode>General</c:formatCode>
                <c:ptCount val="27"/>
                <c:pt idx="0">
                  <c:v>1</c:v>
                </c:pt>
                <c:pt idx="1">
                  <c:v>0.99212598425196852</c:v>
                </c:pt>
                <c:pt idx="2">
                  <c:v>0.98425196850393704</c:v>
                </c:pt>
                <c:pt idx="3">
                  <c:v>0.97637795275590555</c:v>
                </c:pt>
                <c:pt idx="4">
                  <c:v>0.96850393700787396</c:v>
                </c:pt>
                <c:pt idx="5">
                  <c:v>0.96062992125984248</c:v>
                </c:pt>
                <c:pt idx="6">
                  <c:v>0.952755905511811</c:v>
                </c:pt>
                <c:pt idx="7">
                  <c:v>0.94488188976377951</c:v>
                </c:pt>
                <c:pt idx="8">
                  <c:v>0.86614173228346458</c:v>
                </c:pt>
                <c:pt idx="9">
                  <c:v>0.78740157480314965</c:v>
                </c:pt>
                <c:pt idx="10">
                  <c:v>0.75590551181102361</c:v>
                </c:pt>
                <c:pt idx="11">
                  <c:v>0.59842519685039375</c:v>
                </c:pt>
                <c:pt idx="12">
                  <c:v>0.50393700787401574</c:v>
                </c:pt>
                <c:pt idx="13">
                  <c:v>0.37795275590551181</c:v>
                </c:pt>
                <c:pt idx="14">
                  <c:v>0.25196850393700787</c:v>
                </c:pt>
                <c:pt idx="15">
                  <c:v>0.15748031496062992</c:v>
                </c:pt>
                <c:pt idx="16">
                  <c:v>0.10236220472440945</c:v>
                </c:pt>
                <c:pt idx="17">
                  <c:v>7.874015748031496E-2</c:v>
                </c:pt>
                <c:pt idx="18">
                  <c:v>6.2992125984251968E-2</c:v>
                </c:pt>
                <c:pt idx="19">
                  <c:v>5.5118110236220472E-2</c:v>
                </c:pt>
                <c:pt idx="20">
                  <c:v>4.7244094488188976E-2</c:v>
                </c:pt>
                <c:pt idx="21">
                  <c:v>3.937007874015748E-2</c:v>
                </c:pt>
                <c:pt idx="22">
                  <c:v>3.1496062992125984E-2</c:v>
                </c:pt>
                <c:pt idx="23">
                  <c:v>2.3622047244094488E-2</c:v>
                </c:pt>
                <c:pt idx="24">
                  <c:v>1.5748031496062992E-2</c:v>
                </c:pt>
                <c:pt idx="25">
                  <c:v>7.874015748031496E-3</c:v>
                </c:pt>
                <c:pt idx="26">
                  <c:v>0</c:v>
                </c:pt>
              </c:numCache>
            </c:numRef>
          </c:xVal>
          <c:yVal>
            <c:numRef>
              <c:f>OscBC2!$C$57:$C$83</c:f>
              <c:numCache>
                <c:formatCode>0.000</c:formatCode>
                <c:ptCount val="27"/>
                <c:pt idx="0">
                  <c:v>0.97839529775053902</c:v>
                </c:pt>
                <c:pt idx="1">
                  <c:v>0.94455784386337194</c:v>
                </c:pt>
                <c:pt idx="2">
                  <c:v>0.91189064630122785</c:v>
                </c:pt>
                <c:pt idx="3">
                  <c:v>0.88035323216473427</c:v>
                </c:pt>
                <c:pt idx="4">
                  <c:v>0.8499065282953655</c:v>
                </c:pt>
                <c:pt idx="5">
                  <c:v>0.82051281286590938</c:v>
                </c:pt>
                <c:pt idx="6">
                  <c:v>0.79213566864514995</c:v>
                </c:pt>
                <c:pt idx="7">
                  <c:v>0.76473993787887762</c:v>
                </c:pt>
                <c:pt idx="8">
                  <c:v>0.53784333647247384</c:v>
                </c:pt>
                <c:pt idx="9">
                  <c:v>0.37826644099455836</c:v>
                </c:pt>
                <c:pt idx="10">
                  <c:v>0.32859021131385208</c:v>
                </c:pt>
                <c:pt idx="11">
                  <c:v>0.16253191918299811</c:v>
                </c:pt>
                <c:pt idx="12">
                  <c:v>0.10653911593571173</c:v>
                </c:pt>
                <c:pt idx="13">
                  <c:v>6.0664737423936348E-2</c:v>
                </c:pt>
                <c:pt idx="14">
                  <c:v>3.4543278629568026E-2</c:v>
                </c:pt>
                <c:pt idx="15">
                  <c:v>2.2643000742343527E-2</c:v>
                </c:pt>
                <c:pt idx="16">
                  <c:v>1.7698375105545748E-2</c:v>
                </c:pt>
                <c:pt idx="17">
                  <c:v>1.5924873886918146E-2</c:v>
                </c:pt>
                <c:pt idx="18">
                  <c:v>1.4842409376245733E-2</c:v>
                </c:pt>
                <c:pt idx="19">
                  <c:v>1.4329089919378075E-2</c:v>
                </c:pt>
                <c:pt idx="20">
                  <c:v>1.383352343361635E-2</c:v>
                </c:pt>
                <c:pt idx="21">
                  <c:v>1.3355095938759979E-2</c:v>
                </c:pt>
                <c:pt idx="22">
                  <c:v>1.2893214688895557E-2</c:v>
                </c:pt>
                <c:pt idx="23">
                  <c:v>1.2447307438016589E-2</c:v>
                </c:pt>
                <c:pt idx="24">
                  <c:v>1.201682173104146E-2</c:v>
                </c:pt>
                <c:pt idx="25">
                  <c:v>1.160122421935135E-2</c:v>
                </c:pt>
                <c:pt idx="26">
                  <c:v>1.12E-2</c:v>
                </c:pt>
              </c:numCache>
            </c:numRef>
          </c:yVal>
          <c:smooth val="0"/>
        </c:ser>
        <c:ser>
          <c:idx val="1"/>
          <c:order val="1"/>
          <c:spPr>
            <a:ln w="28575">
              <a:solidFill>
                <a:schemeClr val="accent2">
                  <a:lumMod val="40000"/>
                  <a:lumOff val="60000"/>
                </a:schemeClr>
              </a:solidFill>
            </a:ln>
          </c:spPr>
          <c:marker>
            <c:symbol val="circle"/>
            <c:size val="2"/>
          </c:marker>
          <c:xVal>
            <c:numRef>
              <c:f>OscBC2!$B$57:$B$83</c:f>
              <c:numCache>
                <c:formatCode>General</c:formatCode>
                <c:ptCount val="27"/>
                <c:pt idx="0">
                  <c:v>1</c:v>
                </c:pt>
                <c:pt idx="1">
                  <c:v>0.99212598425196852</c:v>
                </c:pt>
                <c:pt idx="2">
                  <c:v>0.98425196850393704</c:v>
                </c:pt>
                <c:pt idx="3">
                  <c:v>0.97637795275590555</c:v>
                </c:pt>
                <c:pt idx="4">
                  <c:v>0.96850393700787396</c:v>
                </c:pt>
                <c:pt idx="5">
                  <c:v>0.96062992125984248</c:v>
                </c:pt>
                <c:pt idx="6">
                  <c:v>0.952755905511811</c:v>
                </c:pt>
                <c:pt idx="7">
                  <c:v>0.94488188976377951</c:v>
                </c:pt>
                <c:pt idx="8">
                  <c:v>0.86614173228346458</c:v>
                </c:pt>
                <c:pt idx="9">
                  <c:v>0.78740157480314965</c:v>
                </c:pt>
                <c:pt idx="10">
                  <c:v>0.75590551181102361</c:v>
                </c:pt>
                <c:pt idx="11">
                  <c:v>0.59842519685039375</c:v>
                </c:pt>
                <c:pt idx="12">
                  <c:v>0.50393700787401574</c:v>
                </c:pt>
                <c:pt idx="13">
                  <c:v>0.37795275590551181</c:v>
                </c:pt>
                <c:pt idx="14">
                  <c:v>0.25196850393700787</c:v>
                </c:pt>
                <c:pt idx="15">
                  <c:v>0.15748031496062992</c:v>
                </c:pt>
                <c:pt idx="16">
                  <c:v>0.10236220472440945</c:v>
                </c:pt>
                <c:pt idx="17">
                  <c:v>7.874015748031496E-2</c:v>
                </c:pt>
                <c:pt idx="18">
                  <c:v>6.2992125984251968E-2</c:v>
                </c:pt>
                <c:pt idx="19">
                  <c:v>5.5118110236220472E-2</c:v>
                </c:pt>
                <c:pt idx="20">
                  <c:v>4.7244094488188976E-2</c:v>
                </c:pt>
                <c:pt idx="21">
                  <c:v>3.937007874015748E-2</c:v>
                </c:pt>
                <c:pt idx="22">
                  <c:v>3.1496062992125984E-2</c:v>
                </c:pt>
                <c:pt idx="23">
                  <c:v>2.3622047244094488E-2</c:v>
                </c:pt>
                <c:pt idx="24">
                  <c:v>1.5748031496062992E-2</c:v>
                </c:pt>
                <c:pt idx="25">
                  <c:v>7.874015748031496E-3</c:v>
                </c:pt>
                <c:pt idx="26">
                  <c:v>0</c:v>
                </c:pt>
              </c:numCache>
            </c:numRef>
          </c:xVal>
          <c:yVal>
            <c:numRef>
              <c:f>OscBC2!$B$57:$B$83</c:f>
              <c:numCache>
                <c:formatCode>General</c:formatCode>
                <c:ptCount val="27"/>
                <c:pt idx="0">
                  <c:v>1</c:v>
                </c:pt>
                <c:pt idx="1">
                  <c:v>0.99212598425196852</c:v>
                </c:pt>
                <c:pt idx="2">
                  <c:v>0.98425196850393704</c:v>
                </c:pt>
                <c:pt idx="3">
                  <c:v>0.97637795275590555</c:v>
                </c:pt>
                <c:pt idx="4">
                  <c:v>0.96850393700787396</c:v>
                </c:pt>
                <c:pt idx="5">
                  <c:v>0.96062992125984248</c:v>
                </c:pt>
                <c:pt idx="6">
                  <c:v>0.952755905511811</c:v>
                </c:pt>
                <c:pt idx="7">
                  <c:v>0.94488188976377951</c:v>
                </c:pt>
                <c:pt idx="8">
                  <c:v>0.86614173228346458</c:v>
                </c:pt>
                <c:pt idx="9">
                  <c:v>0.78740157480314965</c:v>
                </c:pt>
                <c:pt idx="10">
                  <c:v>0.75590551181102361</c:v>
                </c:pt>
                <c:pt idx="11">
                  <c:v>0.59842519685039375</c:v>
                </c:pt>
                <c:pt idx="12">
                  <c:v>0.50393700787401574</c:v>
                </c:pt>
                <c:pt idx="13">
                  <c:v>0.37795275590551181</c:v>
                </c:pt>
                <c:pt idx="14">
                  <c:v>0.25196850393700787</c:v>
                </c:pt>
                <c:pt idx="15">
                  <c:v>0.15748031496062992</c:v>
                </c:pt>
                <c:pt idx="16">
                  <c:v>0.10236220472440945</c:v>
                </c:pt>
                <c:pt idx="17">
                  <c:v>7.874015748031496E-2</c:v>
                </c:pt>
                <c:pt idx="18">
                  <c:v>6.2992125984251968E-2</c:v>
                </c:pt>
                <c:pt idx="19">
                  <c:v>5.5118110236220472E-2</c:v>
                </c:pt>
                <c:pt idx="20">
                  <c:v>4.7244094488188976E-2</c:v>
                </c:pt>
                <c:pt idx="21">
                  <c:v>3.937007874015748E-2</c:v>
                </c:pt>
                <c:pt idx="22">
                  <c:v>3.1496062992125984E-2</c:v>
                </c:pt>
                <c:pt idx="23">
                  <c:v>2.3622047244094488E-2</c:v>
                </c:pt>
                <c:pt idx="24">
                  <c:v>1.5748031496062992E-2</c:v>
                </c:pt>
                <c:pt idx="25">
                  <c:v>7.874015748031496E-3</c:v>
                </c:pt>
                <c:pt idx="26">
                  <c:v>0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OscBC2!$D$56</c:f>
              <c:strCache>
                <c:ptCount val="1"/>
                <c:pt idx="0">
                  <c:v>cor-0.1</c:v>
                </c:pt>
              </c:strCache>
            </c:strRef>
          </c:tx>
          <c:spPr>
            <a:ln w="28575">
              <a:solidFill>
                <a:schemeClr val="accent3">
                  <a:lumMod val="60000"/>
                  <a:lumOff val="40000"/>
                </a:schemeClr>
              </a:solidFill>
            </a:ln>
          </c:spPr>
          <c:marker>
            <c:symbol val="triangle"/>
            <c:size val="2"/>
          </c:marker>
          <c:xVal>
            <c:numRef>
              <c:f>OscBC2!$B$57:$B$83</c:f>
              <c:numCache>
                <c:formatCode>General</c:formatCode>
                <c:ptCount val="27"/>
                <c:pt idx="0">
                  <c:v>1</c:v>
                </c:pt>
                <c:pt idx="1">
                  <c:v>0.99212598425196852</c:v>
                </c:pt>
                <c:pt idx="2">
                  <c:v>0.98425196850393704</c:v>
                </c:pt>
                <c:pt idx="3">
                  <c:v>0.97637795275590555</c:v>
                </c:pt>
                <c:pt idx="4">
                  <c:v>0.96850393700787396</c:v>
                </c:pt>
                <c:pt idx="5">
                  <c:v>0.96062992125984248</c:v>
                </c:pt>
                <c:pt idx="6">
                  <c:v>0.952755905511811</c:v>
                </c:pt>
                <c:pt idx="7">
                  <c:v>0.94488188976377951</c:v>
                </c:pt>
                <c:pt idx="8">
                  <c:v>0.86614173228346458</c:v>
                </c:pt>
                <c:pt idx="9">
                  <c:v>0.78740157480314965</c:v>
                </c:pt>
                <c:pt idx="10">
                  <c:v>0.75590551181102361</c:v>
                </c:pt>
                <c:pt idx="11">
                  <c:v>0.59842519685039375</c:v>
                </c:pt>
                <c:pt idx="12">
                  <c:v>0.50393700787401574</c:v>
                </c:pt>
                <c:pt idx="13">
                  <c:v>0.37795275590551181</c:v>
                </c:pt>
                <c:pt idx="14">
                  <c:v>0.25196850393700787</c:v>
                </c:pt>
                <c:pt idx="15">
                  <c:v>0.15748031496062992</c:v>
                </c:pt>
                <c:pt idx="16">
                  <c:v>0.10236220472440945</c:v>
                </c:pt>
                <c:pt idx="17">
                  <c:v>7.874015748031496E-2</c:v>
                </c:pt>
                <c:pt idx="18">
                  <c:v>6.2992125984251968E-2</c:v>
                </c:pt>
                <c:pt idx="19">
                  <c:v>5.5118110236220472E-2</c:v>
                </c:pt>
                <c:pt idx="20">
                  <c:v>4.7244094488188976E-2</c:v>
                </c:pt>
                <c:pt idx="21">
                  <c:v>3.937007874015748E-2</c:v>
                </c:pt>
                <c:pt idx="22">
                  <c:v>3.1496062992125984E-2</c:v>
                </c:pt>
                <c:pt idx="23">
                  <c:v>2.3622047244094488E-2</c:v>
                </c:pt>
                <c:pt idx="24">
                  <c:v>1.5748031496062992E-2</c:v>
                </c:pt>
                <c:pt idx="25">
                  <c:v>7.874015748031496E-3</c:v>
                </c:pt>
                <c:pt idx="26">
                  <c:v>0</c:v>
                </c:pt>
              </c:numCache>
            </c:numRef>
          </c:xVal>
          <c:yVal>
            <c:numRef>
              <c:f>OscBC2!$D$57:$D$83</c:f>
              <c:numCache>
                <c:formatCode>0.000</c:formatCode>
                <c:ptCount val="27"/>
                <c:pt idx="0">
                  <c:v>0.99774149122458722</c:v>
                </c:pt>
                <c:pt idx="1">
                  <c:v>0.96855878364397274</c:v>
                </c:pt>
                <c:pt idx="2">
                  <c:v>0.94022963425375672</c:v>
                </c:pt>
                <c:pt idx="3">
                  <c:v>0.91272907753001209</c:v>
                </c:pt>
                <c:pt idx="4">
                  <c:v>0.88603287815958065</c:v>
                </c:pt>
                <c:pt idx="5">
                  <c:v>0.86011750968231537</c:v>
                </c:pt>
                <c:pt idx="6">
                  <c:v>0.83496013375799816</c:v>
                </c:pt>
                <c:pt idx="7">
                  <c:v>0.81053858003968571</c:v>
                </c:pt>
                <c:pt idx="8">
                  <c:v>0.60235594819041227</c:v>
                </c:pt>
                <c:pt idx="9">
                  <c:v>0.44764394595826079</c:v>
                </c:pt>
                <c:pt idx="10">
                  <c:v>0.39752506768191587</c:v>
                </c:pt>
                <c:pt idx="11">
                  <c:v>0.21954499674246808</c:v>
                </c:pt>
                <c:pt idx="12">
                  <c:v>0.15375135745360502</c:v>
                </c:pt>
                <c:pt idx="13">
                  <c:v>9.5619436082232084E-2</c:v>
                </c:pt>
                <c:pt idx="14">
                  <c:v>5.9466639567348309E-2</c:v>
                </c:pt>
                <c:pt idx="15">
                  <c:v>4.1645570121596212E-2</c:v>
                </c:pt>
                <c:pt idx="16">
                  <c:v>3.3831750576867194E-2</c:v>
                </c:pt>
                <c:pt idx="17">
                  <c:v>3.0949121357426494E-2</c:v>
                </c:pt>
                <c:pt idx="18">
                  <c:v>2.9165150803393949E-2</c:v>
                </c:pt>
                <c:pt idx="19">
                  <c:v>2.8312106127066666E-2</c:v>
                </c:pt>
                <c:pt idx="20">
                  <c:v>2.7484011955014705E-2</c:v>
                </c:pt>
                <c:pt idx="21">
                  <c:v>2.6680138515772542E-2</c:v>
                </c:pt>
                <c:pt idx="22">
                  <c:v>2.5899777382789622E-2</c:v>
                </c:pt>
                <c:pt idx="23">
                  <c:v>2.5142240850117917E-2</c:v>
                </c:pt>
                <c:pt idx="24">
                  <c:v>2.4406861326359872E-2</c:v>
                </c:pt>
                <c:pt idx="25">
                  <c:v>2.369299074634262E-2</c:v>
                </c:pt>
                <c:pt idx="26">
                  <c:v>2.3E-2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OscBC2!$E$56</c:f>
              <c:strCache>
                <c:ptCount val="1"/>
                <c:pt idx="0">
                  <c:v>cor-0.05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2"/>
          </c:marker>
          <c:trendline>
            <c:trendlineType val="power"/>
            <c:dispRSqr val="0"/>
            <c:dispEq val="0"/>
          </c:trendline>
          <c:trendline>
            <c:trendlineType val="power"/>
            <c:dispRSqr val="0"/>
            <c:dispEq val="0"/>
          </c:trendline>
          <c:trendline>
            <c:trendlineType val="log"/>
            <c:dispRSqr val="0"/>
            <c:dispEq val="0"/>
          </c:trendline>
          <c:trendline>
            <c:trendlineType val="power"/>
            <c:dispRSqr val="0"/>
            <c:dispEq val="0"/>
          </c:trendline>
          <c:xVal>
            <c:numRef>
              <c:f>OscBC2!$B$57:$B$83</c:f>
              <c:numCache>
                <c:formatCode>General</c:formatCode>
                <c:ptCount val="27"/>
                <c:pt idx="0">
                  <c:v>1</c:v>
                </c:pt>
                <c:pt idx="1">
                  <c:v>0.99212598425196852</c:v>
                </c:pt>
                <c:pt idx="2">
                  <c:v>0.98425196850393704</c:v>
                </c:pt>
                <c:pt idx="3">
                  <c:v>0.97637795275590555</c:v>
                </c:pt>
                <c:pt idx="4">
                  <c:v>0.96850393700787396</c:v>
                </c:pt>
                <c:pt idx="5">
                  <c:v>0.96062992125984248</c:v>
                </c:pt>
                <c:pt idx="6">
                  <c:v>0.952755905511811</c:v>
                </c:pt>
                <c:pt idx="7">
                  <c:v>0.94488188976377951</c:v>
                </c:pt>
                <c:pt idx="8">
                  <c:v>0.86614173228346458</c:v>
                </c:pt>
                <c:pt idx="9">
                  <c:v>0.78740157480314965</c:v>
                </c:pt>
                <c:pt idx="10">
                  <c:v>0.75590551181102361</c:v>
                </c:pt>
                <c:pt idx="11">
                  <c:v>0.59842519685039375</c:v>
                </c:pt>
                <c:pt idx="12">
                  <c:v>0.50393700787401574</c:v>
                </c:pt>
                <c:pt idx="13">
                  <c:v>0.37795275590551181</c:v>
                </c:pt>
                <c:pt idx="14">
                  <c:v>0.25196850393700787</c:v>
                </c:pt>
                <c:pt idx="15">
                  <c:v>0.15748031496062992</c:v>
                </c:pt>
                <c:pt idx="16">
                  <c:v>0.10236220472440945</c:v>
                </c:pt>
                <c:pt idx="17">
                  <c:v>7.874015748031496E-2</c:v>
                </c:pt>
                <c:pt idx="18">
                  <c:v>6.2992125984251968E-2</c:v>
                </c:pt>
                <c:pt idx="19">
                  <c:v>5.5118110236220472E-2</c:v>
                </c:pt>
                <c:pt idx="20">
                  <c:v>4.7244094488188976E-2</c:v>
                </c:pt>
                <c:pt idx="21">
                  <c:v>3.937007874015748E-2</c:v>
                </c:pt>
                <c:pt idx="22">
                  <c:v>3.1496062992125984E-2</c:v>
                </c:pt>
                <c:pt idx="23">
                  <c:v>2.3622047244094488E-2</c:v>
                </c:pt>
                <c:pt idx="24">
                  <c:v>1.5748031496062992E-2</c:v>
                </c:pt>
                <c:pt idx="25">
                  <c:v>7.874015748031496E-3</c:v>
                </c:pt>
                <c:pt idx="26">
                  <c:v>0</c:v>
                </c:pt>
              </c:numCache>
            </c:numRef>
          </c:xVal>
          <c:yVal>
            <c:numRef>
              <c:f>OscBC2!$E$57:$E$83</c:f>
              <c:numCache>
                <c:formatCode>0.000</c:formatCode>
                <c:ptCount val="27"/>
                <c:pt idx="0">
                  <c:v>1.0042768461593834</c:v>
                </c:pt>
                <c:pt idx="1">
                  <c:v>0.98083177157104984</c:v>
                </c:pt>
                <c:pt idx="2">
                  <c:v>0.95793402765608038</c:v>
                </c:pt>
                <c:pt idx="3">
                  <c:v>0.93557083685367548</c:v>
                </c:pt>
                <c:pt idx="4">
                  <c:v>0.913729719898139</c:v>
                </c:pt>
                <c:pt idx="5">
                  <c:v>0.89239848885511108</c:v>
                </c:pt>
                <c:pt idx="6">
                  <c:v>0.87156524032037019</c:v>
                </c:pt>
                <c:pt idx="7">
                  <c:v>0.85121834877741098</c:v>
                </c:pt>
                <c:pt idx="8">
                  <c:v>0.67212759921234411</c:v>
                </c:pt>
                <c:pt idx="9">
                  <c:v>0.53071636704236647</c:v>
                </c:pt>
                <c:pt idx="10">
                  <c:v>0.48286617306520929</c:v>
                </c:pt>
                <c:pt idx="11">
                  <c:v>0.30105669303873328</c:v>
                </c:pt>
                <c:pt idx="12">
                  <c:v>0.22674681192987142</c:v>
                </c:pt>
                <c:pt idx="13">
                  <c:v>0.15538117213247063</c:v>
                </c:pt>
                <c:pt idx="14">
                  <c:v>0.1064769486625794</c:v>
                </c:pt>
                <c:pt idx="15">
                  <c:v>8.0195223064362331E-2</c:v>
                </c:pt>
                <c:pt idx="16">
                  <c:v>6.7972935568255552E-2</c:v>
                </c:pt>
                <c:pt idx="17">
                  <c:v>6.3322674874156382E-2</c:v>
                </c:pt>
                <c:pt idx="18">
                  <c:v>6.0400620820974554E-2</c:v>
                </c:pt>
                <c:pt idx="19">
                  <c:v>5.8990554397811513E-2</c:v>
                </c:pt>
                <c:pt idx="20">
                  <c:v>5.7613406300498576E-2</c:v>
                </c:pt>
                <c:pt idx="21">
                  <c:v>5.6268408043126827E-2</c:v>
                </c:pt>
                <c:pt idx="22">
                  <c:v>5.4954809080268202E-2</c:v>
                </c:pt>
                <c:pt idx="23">
                  <c:v>5.3671876388150699E-2</c:v>
                </c:pt>
                <c:pt idx="24">
                  <c:v>5.2418894055611377E-2</c:v>
                </c:pt>
                <c:pt idx="25">
                  <c:v>5.1195162884598466E-2</c:v>
                </c:pt>
                <c:pt idx="26">
                  <c:v>0.05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OscBC2!$G$56</c:f>
              <c:strCache>
                <c:ptCount val="1"/>
                <c:pt idx="0">
                  <c:v>interp</c:v>
                </c:pt>
              </c:strCache>
            </c:strRef>
          </c:tx>
          <c:spPr>
            <a:ln w="28575">
              <a:noFill/>
            </a:ln>
          </c:spPr>
          <c:marker>
            <c:symbol val="plus"/>
            <c:size val="2"/>
          </c:marker>
          <c:xVal>
            <c:numRef>
              <c:f>OscBC2!$B$57:$B$83</c:f>
              <c:numCache>
                <c:formatCode>General</c:formatCode>
                <c:ptCount val="27"/>
                <c:pt idx="0">
                  <c:v>1</c:v>
                </c:pt>
                <c:pt idx="1">
                  <c:v>0.99212598425196852</c:v>
                </c:pt>
                <c:pt idx="2">
                  <c:v>0.98425196850393704</c:v>
                </c:pt>
                <c:pt idx="3">
                  <c:v>0.97637795275590555</c:v>
                </c:pt>
                <c:pt idx="4">
                  <c:v>0.96850393700787396</c:v>
                </c:pt>
                <c:pt idx="5">
                  <c:v>0.96062992125984248</c:v>
                </c:pt>
                <c:pt idx="6">
                  <c:v>0.952755905511811</c:v>
                </c:pt>
                <c:pt idx="7">
                  <c:v>0.94488188976377951</c:v>
                </c:pt>
                <c:pt idx="8">
                  <c:v>0.86614173228346458</c:v>
                </c:pt>
                <c:pt idx="9">
                  <c:v>0.78740157480314965</c:v>
                </c:pt>
                <c:pt idx="10">
                  <c:v>0.75590551181102361</c:v>
                </c:pt>
                <c:pt idx="11">
                  <c:v>0.59842519685039375</c:v>
                </c:pt>
                <c:pt idx="12">
                  <c:v>0.50393700787401574</c:v>
                </c:pt>
                <c:pt idx="13">
                  <c:v>0.37795275590551181</c:v>
                </c:pt>
                <c:pt idx="14">
                  <c:v>0.25196850393700787</c:v>
                </c:pt>
                <c:pt idx="15">
                  <c:v>0.15748031496062992</c:v>
                </c:pt>
                <c:pt idx="16">
                  <c:v>0.10236220472440945</c:v>
                </c:pt>
                <c:pt idx="17">
                  <c:v>7.874015748031496E-2</c:v>
                </c:pt>
                <c:pt idx="18">
                  <c:v>6.2992125984251968E-2</c:v>
                </c:pt>
                <c:pt idx="19">
                  <c:v>5.5118110236220472E-2</c:v>
                </c:pt>
                <c:pt idx="20">
                  <c:v>4.7244094488188976E-2</c:v>
                </c:pt>
                <c:pt idx="21">
                  <c:v>3.937007874015748E-2</c:v>
                </c:pt>
                <c:pt idx="22">
                  <c:v>3.1496062992125984E-2</c:v>
                </c:pt>
                <c:pt idx="23">
                  <c:v>2.3622047244094488E-2</c:v>
                </c:pt>
                <c:pt idx="24">
                  <c:v>1.5748031496062992E-2</c:v>
                </c:pt>
                <c:pt idx="25">
                  <c:v>7.874015748031496E-3</c:v>
                </c:pt>
                <c:pt idx="26">
                  <c:v>0</c:v>
                </c:pt>
              </c:numCache>
            </c:numRef>
          </c:xVal>
          <c:yVal>
            <c:numRef>
              <c:f>OscBC2!$G$57:$G$83</c:f>
              <c:numCache>
                <c:formatCode>0.000</c:formatCode>
                <c:ptCount val="27"/>
                <c:pt idx="0">
                  <c:v>1.0021384230796917</c:v>
                </c:pt>
                <c:pt idx="1">
                  <c:v>0.98647887791150923</c:v>
                </c:pt>
                <c:pt idx="2">
                  <c:v>0.97109299808000871</c:v>
                </c:pt>
                <c:pt idx="3">
                  <c:v>0.95597439480479052</c:v>
                </c:pt>
                <c:pt idx="4">
                  <c:v>0.94111682845300648</c:v>
                </c:pt>
                <c:pt idx="5">
                  <c:v>0.92651420505747684</c:v>
                </c:pt>
                <c:pt idx="6">
                  <c:v>0.91216057291609065</c:v>
                </c:pt>
                <c:pt idx="7">
                  <c:v>0.89805011927059519</c:v>
                </c:pt>
                <c:pt idx="8">
                  <c:v>0.76913466574790434</c:v>
                </c:pt>
                <c:pt idx="9">
                  <c:v>0.65905897092275811</c:v>
                </c:pt>
                <c:pt idx="10">
                  <c:v>0.61938584243811645</c:v>
                </c:pt>
                <c:pt idx="11">
                  <c:v>0.44974094494456351</c:v>
                </c:pt>
                <c:pt idx="12">
                  <c:v>0.3653419099019436</c:v>
                </c:pt>
                <c:pt idx="13">
                  <c:v>0.2666669640189912</c:v>
                </c:pt>
                <c:pt idx="14">
                  <c:v>0.17922272629979363</c:v>
                </c:pt>
                <c:pt idx="15">
                  <c:v>0.11883776901249613</c:v>
                </c:pt>
                <c:pt idx="16">
                  <c:v>8.51675701463325E-2</c:v>
                </c:pt>
                <c:pt idx="17">
                  <c:v>7.1031416177235671E-2</c:v>
                </c:pt>
                <c:pt idx="18">
                  <c:v>6.1696373402613261E-2</c:v>
                </c:pt>
                <c:pt idx="19">
                  <c:v>5.7054332317015996E-2</c:v>
                </c:pt>
                <c:pt idx="20">
                  <c:v>5.2428750394343776E-2</c:v>
                </c:pt>
                <c:pt idx="21">
                  <c:v>4.7819243391642154E-2</c:v>
                </c:pt>
                <c:pt idx="22">
                  <c:v>4.3225436036197093E-2</c:v>
                </c:pt>
                <c:pt idx="23">
                  <c:v>3.8646961816122594E-2</c:v>
                </c:pt>
                <c:pt idx="24">
                  <c:v>3.4083462775837181E-2</c:v>
                </c:pt>
                <c:pt idx="25">
                  <c:v>2.9534589316314981E-2</c:v>
                </c:pt>
                <c:pt idx="26">
                  <c:v>2.5000000000000001E-2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5735168"/>
        <c:axId val="305736704"/>
      </c:scatterChart>
      <c:valAx>
        <c:axId val="3057351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05736704"/>
        <c:crosses val="autoZero"/>
        <c:crossBetween val="midCat"/>
      </c:valAx>
      <c:valAx>
        <c:axId val="305736704"/>
        <c:scaling>
          <c:orientation val="minMax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crossAx val="305735168"/>
        <c:crosses val="autoZero"/>
        <c:crossBetween val="midCat"/>
      </c:valAx>
    </c:plotArea>
    <c:legend>
      <c:legendPos val="r"/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name>oBC51_mid</c:name>
            <c:trendlineType val="linear"/>
            <c:dispRSqr val="0"/>
            <c:dispEq val="1"/>
            <c:trendlineLbl>
              <c:layout>
                <c:manualLayout>
                  <c:x val="-2.2280096074472157E-2"/>
                  <c:y val="-2.8160216350964259E-2"/>
                </c:manualLayout>
              </c:layout>
              <c:numFmt formatCode="General" sourceLinked="0"/>
            </c:trendlineLbl>
          </c:trendline>
          <c:xVal>
            <c:numRef>
              <c:f>OscBC2!$B$14:$B$17</c:f>
              <c:numCache>
                <c:formatCode>General</c:formatCode>
                <c:ptCount val="4"/>
                <c:pt idx="0">
                  <c:v>0.78740157480314965</c:v>
                </c:pt>
                <c:pt idx="1">
                  <c:v>0.75590551181102361</c:v>
                </c:pt>
                <c:pt idx="2">
                  <c:v>0.59842519685039375</c:v>
                </c:pt>
                <c:pt idx="3">
                  <c:v>0.50393700787401574</c:v>
                </c:pt>
              </c:numCache>
            </c:numRef>
          </c:xVal>
          <c:yVal>
            <c:numRef>
              <c:f>OscBC2!$T$14:$T$17</c:f>
              <c:numCache>
                <c:formatCode>0.000</c:formatCode>
                <c:ptCount val="4"/>
                <c:pt idx="0">
                  <c:v>0.47345132743362833</c:v>
                </c:pt>
                <c:pt idx="1">
                  <c:v>0.4336283185840708</c:v>
                </c:pt>
                <c:pt idx="3">
                  <c:v>0.17699115044247787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5780224"/>
        <c:axId val="305781760"/>
      </c:scatterChart>
      <c:valAx>
        <c:axId val="3057802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05781760"/>
        <c:crosses val="autoZero"/>
        <c:crossBetween val="midCat"/>
      </c:valAx>
      <c:valAx>
        <c:axId val="305781760"/>
        <c:scaling>
          <c:orientation val="minMax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crossAx val="30578022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name>oBC57_mid</c:name>
            <c:trendlineType val="linear"/>
            <c:dispRSqr val="0"/>
            <c:dispEq val="1"/>
            <c:trendlineLbl>
              <c:numFmt formatCode="General" sourceLinked="0"/>
            </c:trendlineLbl>
          </c:trendline>
          <c:xVal>
            <c:numRef>
              <c:f>(OscBC2!$B$15,OscBC2!$S$15)</c:f>
              <c:numCache>
                <c:formatCode>0.000</c:formatCode>
                <c:ptCount val="2"/>
                <c:pt idx="0" formatCode="General">
                  <c:v>0.75590551181102361</c:v>
                </c:pt>
                <c:pt idx="1">
                  <c:v>0.49115044247787609</c:v>
                </c:pt>
              </c:numCache>
            </c:numRef>
          </c:xVal>
          <c:yVal>
            <c:numRef>
              <c:f>(OscBC2!$B$17,OscBC2!$S$17)</c:f>
              <c:numCache>
                <c:formatCode>0.000</c:formatCode>
                <c:ptCount val="2"/>
                <c:pt idx="0" formatCode="General">
                  <c:v>0.50393700787401574</c:v>
                </c:pt>
                <c:pt idx="1">
                  <c:v>0.2168141592920354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5790336"/>
        <c:axId val="305554560"/>
      </c:scatterChart>
      <c:valAx>
        <c:axId val="3057903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05554560"/>
        <c:crosses val="autoZero"/>
        <c:crossBetween val="midCat"/>
      </c:valAx>
      <c:valAx>
        <c:axId val="3055545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0579033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name>oBC62_mid</c:name>
            <c:trendlineType val="linear"/>
            <c:dispRSqr val="0"/>
            <c:dispEq val="1"/>
            <c:trendlineLbl>
              <c:numFmt formatCode="General" sourceLinked="0"/>
            </c:trendlineLbl>
          </c:trendline>
          <c:xVal>
            <c:numRef>
              <c:f>(OscBC2!$B$15,OscBC2!$R$15)</c:f>
              <c:numCache>
                <c:formatCode>0.000</c:formatCode>
                <c:ptCount val="2"/>
                <c:pt idx="0" formatCode="General">
                  <c:v>0.75590551181102361</c:v>
                </c:pt>
                <c:pt idx="1">
                  <c:v>0.55506607929515417</c:v>
                </c:pt>
              </c:numCache>
            </c:numRef>
          </c:xVal>
          <c:yVal>
            <c:numRef>
              <c:f>(OscBC2!$B$17,OscBC2!$R$17)</c:f>
              <c:numCache>
                <c:formatCode>0.000</c:formatCode>
                <c:ptCount val="2"/>
                <c:pt idx="0" formatCode="General">
                  <c:v>0.50393700787401574</c:v>
                </c:pt>
                <c:pt idx="1">
                  <c:v>0.25550660792951541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5579520"/>
        <c:axId val="305581056"/>
      </c:scatterChart>
      <c:valAx>
        <c:axId val="3055795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05581056"/>
        <c:crosses val="autoZero"/>
        <c:crossBetween val="midCat"/>
      </c:valAx>
      <c:valAx>
        <c:axId val="3055810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0557952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name>oBC38_mid</c:name>
            <c:trendlineType val="linear"/>
            <c:dispRSqr val="0"/>
            <c:dispEq val="1"/>
            <c:trendlineLbl>
              <c:numFmt formatCode="General" sourceLinked="0"/>
            </c:trendlineLbl>
          </c:trendline>
          <c:xVal>
            <c:numRef>
              <c:f>(OscBC2!$B$14,OscBC2!$V$14)</c:f>
              <c:numCache>
                <c:formatCode>0.000</c:formatCode>
                <c:ptCount val="2"/>
                <c:pt idx="0" formatCode="General">
                  <c:v>0.78740157480314965</c:v>
                </c:pt>
                <c:pt idx="1">
                  <c:v>0.34862385321100919</c:v>
                </c:pt>
              </c:numCache>
            </c:numRef>
          </c:xVal>
          <c:yVal>
            <c:numRef>
              <c:f>(OscBC2!$B$15,OscBC2!$V$15)</c:f>
              <c:numCache>
                <c:formatCode>0.000</c:formatCode>
                <c:ptCount val="2"/>
                <c:pt idx="0" formatCode="General">
                  <c:v>0.75590551181102361</c:v>
                </c:pt>
                <c:pt idx="1">
                  <c:v>0.31192660550458717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5610112"/>
        <c:axId val="305620096"/>
      </c:scatterChart>
      <c:valAx>
        <c:axId val="3056101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05620096"/>
        <c:crosses val="autoZero"/>
        <c:crossBetween val="midCat"/>
      </c:valAx>
      <c:valAx>
        <c:axId val="3056200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0561011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OscBC2!$S$33</c:f>
              <c:strCache>
                <c:ptCount val="1"/>
                <c:pt idx="0">
                  <c:v>midInt_hi</c:v>
                </c:pt>
              </c:strCache>
            </c:strRef>
          </c:tx>
          <c:spPr>
            <a:ln w="28575">
              <a:noFill/>
            </a:ln>
          </c:spPr>
          <c:trendline>
            <c:trendlineType val="linear"/>
            <c:dispRSqr val="0"/>
            <c:dispEq val="1"/>
            <c:trendlineLbl>
              <c:layout>
                <c:manualLayout>
                  <c:x val="0.53088300952347001"/>
                  <c:y val="0.14580118139616469"/>
                </c:manualLayout>
              </c:layout>
              <c:numFmt formatCode="General" sourceLinked="0"/>
            </c:trendlineLbl>
          </c:trendline>
          <c:xVal>
            <c:numRef>
              <c:f>OscBC2!$R$34:$R$42</c:f>
              <c:numCache>
                <c:formatCode>0.000</c:formatCode>
                <c:ptCount val="9"/>
                <c:pt idx="0">
                  <c:v>0.6</c:v>
                </c:pt>
                <c:pt idx="1">
                  <c:v>0.7</c:v>
                </c:pt>
                <c:pt idx="2">
                  <c:v>0.8</c:v>
                </c:pt>
                <c:pt idx="3">
                  <c:v>0.85</c:v>
                </c:pt>
                <c:pt idx="4">
                  <c:v>0.9</c:v>
                </c:pt>
                <c:pt idx="5">
                  <c:v>0.92999999999999994</c:v>
                </c:pt>
                <c:pt idx="6">
                  <c:v>0.95</c:v>
                </c:pt>
                <c:pt idx="7">
                  <c:v>0.96</c:v>
                </c:pt>
                <c:pt idx="8">
                  <c:v>0.97</c:v>
                </c:pt>
              </c:numCache>
            </c:numRef>
          </c:xVal>
          <c:yVal>
            <c:numRef>
              <c:f>OscBC2!$S$34:$S$42</c:f>
              <c:numCache>
                <c:formatCode>0.000</c:formatCode>
                <c:ptCount val="9"/>
                <c:pt idx="0">
                  <c:v>0</c:v>
                </c:pt>
                <c:pt idx="1">
                  <c:v>0.23487910250156785</c:v>
                </c:pt>
                <c:pt idx="2">
                  <c:v>0.40199105067813662</c:v>
                </c:pt>
                <c:pt idx="3">
                  <c:v>0.51860497526304794</c:v>
                </c:pt>
                <c:pt idx="4">
                  <c:v>0.67125984251968507</c:v>
                </c:pt>
                <c:pt idx="5">
                  <c:v>0.79227103191048487</c:v>
                </c:pt>
                <c:pt idx="6">
                  <c:v>0.85626467744163559</c:v>
                </c:pt>
                <c:pt idx="7">
                  <c:v>0.88078463876225999</c:v>
                </c:pt>
                <c:pt idx="8">
                  <c:v>0.89832849841138285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5653248"/>
        <c:axId val="305654784"/>
      </c:scatterChart>
      <c:valAx>
        <c:axId val="305653248"/>
        <c:scaling>
          <c:orientation val="minMax"/>
        </c:scaling>
        <c:delete val="0"/>
        <c:axPos val="b"/>
        <c:numFmt formatCode="0.000" sourceLinked="1"/>
        <c:majorTickMark val="out"/>
        <c:minorTickMark val="none"/>
        <c:tickLblPos val="nextTo"/>
        <c:crossAx val="305654784"/>
        <c:crosses val="autoZero"/>
        <c:crossBetween val="midCat"/>
      </c:valAx>
      <c:valAx>
        <c:axId val="305654784"/>
        <c:scaling>
          <c:orientation val="minMax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crossAx val="305653248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62035808830500383"/>
          <c:y val="0.28859501868723159"/>
          <c:w val="0.34876943608708794"/>
          <c:h val="0.41279548367540686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OscBC2!$U$33</c:f>
              <c:strCache>
                <c:ptCount val="1"/>
                <c:pt idx="0">
                  <c:v>midInt_lo</c:v>
                </c:pt>
              </c:strCache>
            </c:strRef>
          </c:tx>
          <c:spPr>
            <a:ln w="28575">
              <a:noFill/>
            </a:ln>
          </c:spPr>
          <c:trendline>
            <c:trendlineType val="linear"/>
            <c:dispRSqr val="0"/>
            <c:dispEq val="1"/>
            <c:trendlineLbl>
              <c:layout>
                <c:manualLayout>
                  <c:x val="0.50167720883473532"/>
                  <c:y val="0.20482376987184223"/>
                </c:manualLayout>
              </c:layout>
              <c:numFmt formatCode="General" sourceLinked="0"/>
            </c:trendlineLbl>
          </c:trendline>
          <c:xVal>
            <c:numRef>
              <c:f>OscBC2!$T$34:$T$38</c:f>
              <c:numCache>
                <c:formatCode>0.000</c:formatCode>
                <c:ptCount val="5"/>
                <c:pt idx="0">
                  <c:v>0.6</c:v>
                </c:pt>
                <c:pt idx="2">
                  <c:v>0.45</c:v>
                </c:pt>
                <c:pt idx="3">
                  <c:v>0.4</c:v>
                </c:pt>
                <c:pt idx="4">
                  <c:v>0.3</c:v>
                </c:pt>
              </c:numCache>
            </c:numRef>
          </c:xVal>
          <c:yVal>
            <c:numRef>
              <c:f>OscBC2!$U$34:$U$38</c:f>
              <c:numCache>
                <c:formatCode>0.000</c:formatCode>
                <c:ptCount val="5"/>
                <c:pt idx="0">
                  <c:v>0</c:v>
                </c:pt>
                <c:pt idx="3">
                  <c:v>-0.32227719322695281</c:v>
                </c:pt>
                <c:pt idx="4">
                  <c:v>-0.44397890630643644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5696768"/>
        <c:axId val="305698304"/>
      </c:scatterChart>
      <c:valAx>
        <c:axId val="305696768"/>
        <c:scaling>
          <c:orientation val="minMax"/>
        </c:scaling>
        <c:delete val="0"/>
        <c:axPos val="b"/>
        <c:numFmt formatCode="0.000" sourceLinked="1"/>
        <c:majorTickMark val="out"/>
        <c:minorTickMark val="none"/>
        <c:tickLblPos val="nextTo"/>
        <c:crossAx val="305698304"/>
        <c:crosses val="autoZero"/>
        <c:crossBetween val="midCat"/>
      </c:valAx>
      <c:valAx>
        <c:axId val="305698304"/>
        <c:scaling>
          <c:orientation val="minMax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crossAx val="30569676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0.47</c:v>
          </c:tx>
          <c:spPr>
            <a:ln w="28575">
              <a:noFill/>
            </a:ln>
          </c:spPr>
          <c:marker>
            <c:symbol val="circle"/>
            <c:size val="2"/>
          </c:marker>
          <c:xVal>
            <c:numRef>
              <c:f>OscBC3!$A$4:$A$30</c:f>
              <c:numCache>
                <c:formatCode>General</c:formatCode>
                <c:ptCount val="27"/>
                <c:pt idx="0">
                  <c:v>127</c:v>
                </c:pt>
                <c:pt idx="1">
                  <c:v>126</c:v>
                </c:pt>
                <c:pt idx="2">
                  <c:v>125</c:v>
                </c:pt>
                <c:pt idx="3">
                  <c:v>124</c:v>
                </c:pt>
                <c:pt idx="4">
                  <c:v>123</c:v>
                </c:pt>
                <c:pt idx="5">
                  <c:v>122</c:v>
                </c:pt>
                <c:pt idx="6">
                  <c:v>121</c:v>
                </c:pt>
                <c:pt idx="7">
                  <c:v>120</c:v>
                </c:pt>
                <c:pt idx="8">
                  <c:v>110</c:v>
                </c:pt>
                <c:pt idx="9">
                  <c:v>100</c:v>
                </c:pt>
                <c:pt idx="10">
                  <c:v>96</c:v>
                </c:pt>
                <c:pt idx="11">
                  <c:v>76</c:v>
                </c:pt>
                <c:pt idx="12">
                  <c:v>64</c:v>
                </c:pt>
                <c:pt idx="13">
                  <c:v>48</c:v>
                </c:pt>
                <c:pt idx="14">
                  <c:v>32</c:v>
                </c:pt>
                <c:pt idx="15">
                  <c:v>20</c:v>
                </c:pt>
                <c:pt idx="16">
                  <c:v>13</c:v>
                </c:pt>
                <c:pt idx="17">
                  <c:v>10</c:v>
                </c:pt>
                <c:pt idx="18">
                  <c:v>8</c:v>
                </c:pt>
                <c:pt idx="19">
                  <c:v>7</c:v>
                </c:pt>
                <c:pt idx="20">
                  <c:v>6</c:v>
                </c:pt>
                <c:pt idx="21">
                  <c:v>5</c:v>
                </c:pt>
                <c:pt idx="22">
                  <c:v>4</c:v>
                </c:pt>
                <c:pt idx="23">
                  <c:v>3</c:v>
                </c:pt>
                <c:pt idx="24">
                  <c:v>2</c:v>
                </c:pt>
                <c:pt idx="25">
                  <c:v>1</c:v>
                </c:pt>
                <c:pt idx="26">
                  <c:v>0</c:v>
                </c:pt>
              </c:numCache>
            </c:numRef>
          </c:xVal>
          <c:yVal>
            <c:numRef>
              <c:f>OscBC3!$F$4:$F$30</c:f>
              <c:numCache>
                <c:formatCode>0.000</c:formatCode>
                <c:ptCount val="2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0.99122807017543857</c:v>
                </c:pt>
                <c:pt idx="8">
                  <c:v>0.98684210526315785</c:v>
                </c:pt>
                <c:pt idx="9">
                  <c:v>0.98245614035087714</c:v>
                </c:pt>
                <c:pt idx="10">
                  <c:v>0.98245614035087714</c:v>
                </c:pt>
                <c:pt idx="12">
                  <c:v>0.98245614035087714</c:v>
                </c:pt>
                <c:pt idx="14">
                  <c:v>0.98245614035087714</c:v>
                </c:pt>
                <c:pt idx="15">
                  <c:v>0.98245614035087714</c:v>
                </c:pt>
                <c:pt idx="17">
                  <c:v>0.97368421052631582</c:v>
                </c:pt>
                <c:pt idx="18">
                  <c:v>0.9692982456140351</c:v>
                </c:pt>
                <c:pt idx="19">
                  <c:v>0.96491228070175439</c:v>
                </c:pt>
                <c:pt idx="20">
                  <c:v>0.96491228070175439</c:v>
                </c:pt>
                <c:pt idx="21">
                  <c:v>0.95614035087719296</c:v>
                </c:pt>
                <c:pt idx="22">
                  <c:v>0.92982456140350878</c:v>
                </c:pt>
                <c:pt idx="23">
                  <c:v>0.91228070175438591</c:v>
                </c:pt>
                <c:pt idx="24">
                  <c:v>0.90350877192982459</c:v>
                </c:pt>
                <c:pt idx="25">
                  <c:v>0.8771929824561403</c:v>
                </c:pt>
                <c:pt idx="26">
                  <c:v>0</c:v>
                </c:pt>
              </c:numCache>
            </c:numRef>
          </c:yVal>
          <c:smooth val="0"/>
        </c:ser>
        <c:ser>
          <c:idx val="1"/>
          <c:order val="1"/>
          <c:tx>
            <c:v>0.46</c:v>
          </c:tx>
          <c:spPr>
            <a:ln w="28575">
              <a:noFill/>
            </a:ln>
          </c:spPr>
          <c:marker>
            <c:symbol val="circle"/>
            <c:size val="3"/>
          </c:marker>
          <c:xVal>
            <c:numRef>
              <c:f>OscBC3!$A$4:$A$30</c:f>
              <c:numCache>
                <c:formatCode>General</c:formatCode>
                <c:ptCount val="27"/>
                <c:pt idx="0">
                  <c:v>127</c:v>
                </c:pt>
                <c:pt idx="1">
                  <c:v>126</c:v>
                </c:pt>
                <c:pt idx="2">
                  <c:v>125</c:v>
                </c:pt>
                <c:pt idx="3">
                  <c:v>124</c:v>
                </c:pt>
                <c:pt idx="4">
                  <c:v>123</c:v>
                </c:pt>
                <c:pt idx="5">
                  <c:v>122</c:v>
                </c:pt>
                <c:pt idx="6">
                  <c:v>121</c:v>
                </c:pt>
                <c:pt idx="7">
                  <c:v>120</c:v>
                </c:pt>
                <c:pt idx="8">
                  <c:v>110</c:v>
                </c:pt>
                <c:pt idx="9">
                  <c:v>100</c:v>
                </c:pt>
                <c:pt idx="10">
                  <c:v>96</c:v>
                </c:pt>
                <c:pt idx="11">
                  <c:v>76</c:v>
                </c:pt>
                <c:pt idx="12">
                  <c:v>64</c:v>
                </c:pt>
                <c:pt idx="13">
                  <c:v>48</c:v>
                </c:pt>
                <c:pt idx="14">
                  <c:v>32</c:v>
                </c:pt>
                <c:pt idx="15">
                  <c:v>20</c:v>
                </c:pt>
                <c:pt idx="16">
                  <c:v>13</c:v>
                </c:pt>
                <c:pt idx="17">
                  <c:v>10</c:v>
                </c:pt>
                <c:pt idx="18">
                  <c:v>8</c:v>
                </c:pt>
                <c:pt idx="19">
                  <c:v>7</c:v>
                </c:pt>
                <c:pt idx="20">
                  <c:v>6</c:v>
                </c:pt>
                <c:pt idx="21">
                  <c:v>5</c:v>
                </c:pt>
                <c:pt idx="22">
                  <c:v>4</c:v>
                </c:pt>
                <c:pt idx="23">
                  <c:v>3</c:v>
                </c:pt>
                <c:pt idx="24">
                  <c:v>2</c:v>
                </c:pt>
                <c:pt idx="25">
                  <c:v>1</c:v>
                </c:pt>
                <c:pt idx="26">
                  <c:v>0</c:v>
                </c:pt>
              </c:numCache>
            </c:numRef>
          </c:xVal>
          <c:yVal>
            <c:numRef>
              <c:f>OscBC3!$G$4:$G$30</c:f>
              <c:numCache>
                <c:formatCode>0.000</c:formatCode>
                <c:ptCount val="2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0.99122807017543857</c:v>
                </c:pt>
                <c:pt idx="6">
                  <c:v>0.99122807017543857</c:v>
                </c:pt>
                <c:pt idx="7">
                  <c:v>0.98684210526315785</c:v>
                </c:pt>
                <c:pt idx="8">
                  <c:v>0.98245614035087714</c:v>
                </c:pt>
                <c:pt idx="9">
                  <c:v>0.98245614035087714</c:v>
                </c:pt>
                <c:pt idx="10">
                  <c:v>0.98245614035087714</c:v>
                </c:pt>
                <c:pt idx="12">
                  <c:v>0.97368421052631582</c:v>
                </c:pt>
                <c:pt idx="14">
                  <c:v>0.96491228070175439</c:v>
                </c:pt>
                <c:pt idx="15">
                  <c:v>0.96491228070175439</c:v>
                </c:pt>
                <c:pt idx="17">
                  <c:v>0.96052631578947367</c:v>
                </c:pt>
                <c:pt idx="18">
                  <c:v>0.95614035087719296</c:v>
                </c:pt>
                <c:pt idx="19">
                  <c:v>0.94736842105263153</c:v>
                </c:pt>
                <c:pt idx="20">
                  <c:v>0.93859649122807021</c:v>
                </c:pt>
                <c:pt idx="21">
                  <c:v>0.92982456140350878</c:v>
                </c:pt>
                <c:pt idx="22">
                  <c:v>0.91228070175438591</c:v>
                </c:pt>
                <c:pt idx="23">
                  <c:v>0.89912280701754388</c:v>
                </c:pt>
                <c:pt idx="24">
                  <c:v>0.88596491228070173</c:v>
                </c:pt>
                <c:pt idx="25">
                  <c:v>0.56140350877192979</c:v>
                </c:pt>
                <c:pt idx="26">
                  <c:v>0</c:v>
                </c:pt>
              </c:numCache>
            </c:numRef>
          </c:yVal>
          <c:smooth val="0"/>
        </c:ser>
        <c:ser>
          <c:idx val="2"/>
          <c:order val="2"/>
          <c:tx>
            <c:v>0.45</c:v>
          </c:tx>
          <c:spPr>
            <a:ln w="28575">
              <a:noFill/>
            </a:ln>
          </c:spPr>
          <c:marker>
            <c:symbol val="circle"/>
            <c:size val="3"/>
          </c:marker>
          <c:xVal>
            <c:numRef>
              <c:f>OscBC3!$A$4:$A$30</c:f>
              <c:numCache>
                <c:formatCode>General</c:formatCode>
                <c:ptCount val="27"/>
                <c:pt idx="0">
                  <c:v>127</c:v>
                </c:pt>
                <c:pt idx="1">
                  <c:v>126</c:v>
                </c:pt>
                <c:pt idx="2">
                  <c:v>125</c:v>
                </c:pt>
                <c:pt idx="3">
                  <c:v>124</c:v>
                </c:pt>
                <c:pt idx="4">
                  <c:v>123</c:v>
                </c:pt>
                <c:pt idx="5">
                  <c:v>122</c:v>
                </c:pt>
                <c:pt idx="6">
                  <c:v>121</c:v>
                </c:pt>
                <c:pt idx="7">
                  <c:v>120</c:v>
                </c:pt>
                <c:pt idx="8">
                  <c:v>110</c:v>
                </c:pt>
                <c:pt idx="9">
                  <c:v>100</c:v>
                </c:pt>
                <c:pt idx="10">
                  <c:v>96</c:v>
                </c:pt>
                <c:pt idx="11">
                  <c:v>76</c:v>
                </c:pt>
                <c:pt idx="12">
                  <c:v>64</c:v>
                </c:pt>
                <c:pt idx="13">
                  <c:v>48</c:v>
                </c:pt>
                <c:pt idx="14">
                  <c:v>32</c:v>
                </c:pt>
                <c:pt idx="15">
                  <c:v>20</c:v>
                </c:pt>
                <c:pt idx="16">
                  <c:v>13</c:v>
                </c:pt>
                <c:pt idx="17">
                  <c:v>10</c:v>
                </c:pt>
                <c:pt idx="18">
                  <c:v>8</c:v>
                </c:pt>
                <c:pt idx="19">
                  <c:v>7</c:v>
                </c:pt>
                <c:pt idx="20">
                  <c:v>6</c:v>
                </c:pt>
                <c:pt idx="21">
                  <c:v>5</c:v>
                </c:pt>
                <c:pt idx="22">
                  <c:v>4</c:v>
                </c:pt>
                <c:pt idx="23">
                  <c:v>3</c:v>
                </c:pt>
                <c:pt idx="24">
                  <c:v>2</c:v>
                </c:pt>
                <c:pt idx="25">
                  <c:v>1</c:v>
                </c:pt>
                <c:pt idx="26">
                  <c:v>0</c:v>
                </c:pt>
              </c:numCache>
            </c:numRef>
          </c:xVal>
          <c:yVal>
            <c:numRef>
              <c:f>OscBC3!$H$4:$H$30</c:f>
              <c:numCache>
                <c:formatCode>0.000</c:formatCode>
                <c:ptCount val="27"/>
                <c:pt idx="0">
                  <c:v>1</c:v>
                </c:pt>
                <c:pt idx="12">
                  <c:v>0.98245614035087714</c:v>
                </c:pt>
                <c:pt idx="14">
                  <c:v>0.96491228070175439</c:v>
                </c:pt>
                <c:pt idx="15">
                  <c:v>0.96052631578947367</c:v>
                </c:pt>
                <c:pt idx="17">
                  <c:v>0.95614035087719296</c:v>
                </c:pt>
                <c:pt idx="18">
                  <c:v>0.93859649122807021</c:v>
                </c:pt>
                <c:pt idx="19">
                  <c:v>0.92105263157894735</c:v>
                </c:pt>
                <c:pt idx="20">
                  <c:v>0.90350877192982459</c:v>
                </c:pt>
                <c:pt idx="21">
                  <c:v>0.89473684210526316</c:v>
                </c:pt>
                <c:pt idx="22">
                  <c:v>0.8771929824561403</c:v>
                </c:pt>
                <c:pt idx="23">
                  <c:v>0.86842105263157898</c:v>
                </c:pt>
                <c:pt idx="24">
                  <c:v>0.85964912280701755</c:v>
                </c:pt>
                <c:pt idx="25">
                  <c:v>0.39473684210526316</c:v>
                </c:pt>
                <c:pt idx="26">
                  <c:v>0</c:v>
                </c:pt>
              </c:numCache>
            </c:numRef>
          </c:yVal>
          <c:smooth val="0"/>
        </c:ser>
        <c:ser>
          <c:idx val="3"/>
          <c:order val="3"/>
          <c:tx>
            <c:v>0.43</c:v>
          </c:tx>
          <c:spPr>
            <a:ln w="28575">
              <a:solidFill>
                <a:schemeClr val="accent2">
                  <a:lumMod val="60000"/>
                  <a:lumOff val="40000"/>
                </a:schemeClr>
              </a:solidFill>
            </a:ln>
          </c:spPr>
          <c:marker>
            <c:symbol val="diamond"/>
            <c:size val="3"/>
          </c:marker>
          <c:xVal>
            <c:numRef>
              <c:f>OscBC3!$A$4:$A$30</c:f>
              <c:numCache>
                <c:formatCode>General</c:formatCode>
                <c:ptCount val="27"/>
                <c:pt idx="0">
                  <c:v>127</c:v>
                </c:pt>
                <c:pt idx="1">
                  <c:v>126</c:v>
                </c:pt>
                <c:pt idx="2">
                  <c:v>125</c:v>
                </c:pt>
                <c:pt idx="3">
                  <c:v>124</c:v>
                </c:pt>
                <c:pt idx="4">
                  <c:v>123</c:v>
                </c:pt>
                <c:pt idx="5">
                  <c:v>122</c:v>
                </c:pt>
                <c:pt idx="6">
                  <c:v>121</c:v>
                </c:pt>
                <c:pt idx="7">
                  <c:v>120</c:v>
                </c:pt>
                <c:pt idx="8">
                  <c:v>110</c:v>
                </c:pt>
                <c:pt idx="9">
                  <c:v>100</c:v>
                </c:pt>
                <c:pt idx="10">
                  <c:v>96</c:v>
                </c:pt>
                <c:pt idx="11">
                  <c:v>76</c:v>
                </c:pt>
                <c:pt idx="12">
                  <c:v>64</c:v>
                </c:pt>
                <c:pt idx="13">
                  <c:v>48</c:v>
                </c:pt>
                <c:pt idx="14">
                  <c:v>32</c:v>
                </c:pt>
                <c:pt idx="15">
                  <c:v>20</c:v>
                </c:pt>
                <c:pt idx="16">
                  <c:v>13</c:v>
                </c:pt>
                <c:pt idx="17">
                  <c:v>10</c:v>
                </c:pt>
                <c:pt idx="18">
                  <c:v>8</c:v>
                </c:pt>
                <c:pt idx="19">
                  <c:v>7</c:v>
                </c:pt>
                <c:pt idx="20">
                  <c:v>6</c:v>
                </c:pt>
                <c:pt idx="21">
                  <c:v>5</c:v>
                </c:pt>
                <c:pt idx="22">
                  <c:v>4</c:v>
                </c:pt>
                <c:pt idx="23">
                  <c:v>3</c:v>
                </c:pt>
                <c:pt idx="24">
                  <c:v>2</c:v>
                </c:pt>
                <c:pt idx="25">
                  <c:v>1</c:v>
                </c:pt>
                <c:pt idx="26">
                  <c:v>0</c:v>
                </c:pt>
              </c:numCache>
            </c:numRef>
          </c:xVal>
          <c:yVal>
            <c:numRef>
              <c:f>OscBC3!$I$4:$I$30</c:f>
              <c:numCache>
                <c:formatCode>0.000</c:formatCode>
                <c:ptCount val="27"/>
                <c:pt idx="0">
                  <c:v>1</c:v>
                </c:pt>
                <c:pt idx="5">
                  <c:v>0.99122807017543857</c:v>
                </c:pt>
                <c:pt idx="12">
                  <c:v>0.95614035087719296</c:v>
                </c:pt>
                <c:pt idx="14">
                  <c:v>0.93859649122807021</c:v>
                </c:pt>
                <c:pt idx="15">
                  <c:v>0.92982456140350878</c:v>
                </c:pt>
                <c:pt idx="16">
                  <c:v>0.92105263157894735</c:v>
                </c:pt>
                <c:pt idx="17">
                  <c:v>0.8771929824561403</c:v>
                </c:pt>
                <c:pt idx="18">
                  <c:v>0.85526315789473684</c:v>
                </c:pt>
                <c:pt idx="19">
                  <c:v>0.84210526315789469</c:v>
                </c:pt>
                <c:pt idx="21">
                  <c:v>0.80701754385964908</c:v>
                </c:pt>
                <c:pt idx="22">
                  <c:v>0.79824561403508776</c:v>
                </c:pt>
                <c:pt idx="23">
                  <c:v>0.7807017543859649</c:v>
                </c:pt>
                <c:pt idx="24">
                  <c:v>0.59649122807017541</c:v>
                </c:pt>
                <c:pt idx="25">
                  <c:v>0.16447368421052633</c:v>
                </c:pt>
                <c:pt idx="26">
                  <c:v>0</c:v>
                </c:pt>
              </c:numCache>
            </c:numRef>
          </c:yVal>
          <c:smooth val="0"/>
        </c:ser>
        <c:ser>
          <c:idx val="4"/>
          <c:order val="4"/>
          <c:tx>
            <c:v>0.4</c:v>
          </c:tx>
          <c:spPr>
            <a:ln w="28575">
              <a:solidFill>
                <a:schemeClr val="accent5">
                  <a:lumMod val="75000"/>
                  <a:alpha val="32000"/>
                </a:schemeClr>
              </a:solidFill>
            </a:ln>
          </c:spPr>
          <c:marker>
            <c:symbol val="triangle"/>
            <c:size val="2"/>
          </c:marker>
          <c:xVal>
            <c:numRef>
              <c:f>OscBC3!$A$4:$A$30</c:f>
              <c:numCache>
                <c:formatCode>General</c:formatCode>
                <c:ptCount val="27"/>
                <c:pt idx="0">
                  <c:v>127</c:v>
                </c:pt>
                <c:pt idx="1">
                  <c:v>126</c:v>
                </c:pt>
                <c:pt idx="2">
                  <c:v>125</c:v>
                </c:pt>
                <c:pt idx="3">
                  <c:v>124</c:v>
                </c:pt>
                <c:pt idx="4">
                  <c:v>123</c:v>
                </c:pt>
                <c:pt idx="5">
                  <c:v>122</c:v>
                </c:pt>
                <c:pt idx="6">
                  <c:v>121</c:v>
                </c:pt>
                <c:pt idx="7">
                  <c:v>120</c:v>
                </c:pt>
                <c:pt idx="8">
                  <c:v>110</c:v>
                </c:pt>
                <c:pt idx="9">
                  <c:v>100</c:v>
                </c:pt>
                <c:pt idx="10">
                  <c:v>96</c:v>
                </c:pt>
                <c:pt idx="11">
                  <c:v>76</c:v>
                </c:pt>
                <c:pt idx="12">
                  <c:v>64</c:v>
                </c:pt>
                <c:pt idx="13">
                  <c:v>48</c:v>
                </c:pt>
                <c:pt idx="14">
                  <c:v>32</c:v>
                </c:pt>
                <c:pt idx="15">
                  <c:v>20</c:v>
                </c:pt>
                <c:pt idx="16">
                  <c:v>13</c:v>
                </c:pt>
                <c:pt idx="17">
                  <c:v>10</c:v>
                </c:pt>
                <c:pt idx="18">
                  <c:v>8</c:v>
                </c:pt>
                <c:pt idx="19">
                  <c:v>7</c:v>
                </c:pt>
                <c:pt idx="20">
                  <c:v>6</c:v>
                </c:pt>
                <c:pt idx="21">
                  <c:v>5</c:v>
                </c:pt>
                <c:pt idx="22">
                  <c:v>4</c:v>
                </c:pt>
                <c:pt idx="23">
                  <c:v>3</c:v>
                </c:pt>
                <c:pt idx="24">
                  <c:v>2</c:v>
                </c:pt>
                <c:pt idx="25">
                  <c:v>1</c:v>
                </c:pt>
                <c:pt idx="26">
                  <c:v>0</c:v>
                </c:pt>
              </c:numCache>
            </c:numRef>
          </c:xVal>
          <c:yVal>
            <c:numRef>
              <c:f>OscBC3!$J$4:$J$30</c:f>
              <c:numCache>
                <c:formatCode>0.000</c:formatCode>
                <c:ptCount val="27"/>
                <c:pt idx="0">
                  <c:v>1</c:v>
                </c:pt>
                <c:pt idx="5">
                  <c:v>0.99122807017543857</c:v>
                </c:pt>
                <c:pt idx="9">
                  <c:v>0.96491228070175439</c:v>
                </c:pt>
                <c:pt idx="12">
                  <c:v>0.93859649122807021</c:v>
                </c:pt>
                <c:pt idx="14">
                  <c:v>0.91228070175438591</c:v>
                </c:pt>
                <c:pt idx="15">
                  <c:v>0.89912280701754388</c:v>
                </c:pt>
                <c:pt idx="17">
                  <c:v>0.75</c:v>
                </c:pt>
                <c:pt idx="19">
                  <c:v>0.71491228070175439</c:v>
                </c:pt>
                <c:pt idx="21">
                  <c:v>0.68421052631578949</c:v>
                </c:pt>
                <c:pt idx="22">
                  <c:v>0.67105263157894735</c:v>
                </c:pt>
                <c:pt idx="23">
                  <c:v>0.55263157894736847</c:v>
                </c:pt>
                <c:pt idx="24">
                  <c:v>0.24561403508771928</c:v>
                </c:pt>
                <c:pt idx="25">
                  <c:v>6.1403508771929821E-2</c:v>
                </c:pt>
                <c:pt idx="26">
                  <c:v>0</c:v>
                </c:pt>
              </c:numCache>
            </c:numRef>
          </c:yVal>
          <c:smooth val="0"/>
        </c:ser>
        <c:ser>
          <c:idx val="5"/>
          <c:order val="5"/>
          <c:tx>
            <c:v>0.35</c:v>
          </c:tx>
          <c:spPr>
            <a:ln w="28575">
              <a:solidFill>
                <a:schemeClr val="accent6">
                  <a:lumMod val="75000"/>
                  <a:alpha val="63000"/>
                </a:schemeClr>
              </a:solidFill>
            </a:ln>
          </c:spPr>
          <c:marker>
            <c:symbol val="circle"/>
            <c:size val="2"/>
          </c:marker>
          <c:xVal>
            <c:numRef>
              <c:f>OscBC3!$A$4:$A$30</c:f>
              <c:numCache>
                <c:formatCode>General</c:formatCode>
                <c:ptCount val="27"/>
                <c:pt idx="0">
                  <c:v>127</c:v>
                </c:pt>
                <c:pt idx="1">
                  <c:v>126</c:v>
                </c:pt>
                <c:pt idx="2">
                  <c:v>125</c:v>
                </c:pt>
                <c:pt idx="3">
                  <c:v>124</c:v>
                </c:pt>
                <c:pt idx="4">
                  <c:v>123</c:v>
                </c:pt>
                <c:pt idx="5">
                  <c:v>122</c:v>
                </c:pt>
                <c:pt idx="6">
                  <c:v>121</c:v>
                </c:pt>
                <c:pt idx="7">
                  <c:v>120</c:v>
                </c:pt>
                <c:pt idx="8">
                  <c:v>110</c:v>
                </c:pt>
                <c:pt idx="9">
                  <c:v>100</c:v>
                </c:pt>
                <c:pt idx="10">
                  <c:v>96</c:v>
                </c:pt>
                <c:pt idx="11">
                  <c:v>76</c:v>
                </c:pt>
                <c:pt idx="12">
                  <c:v>64</c:v>
                </c:pt>
                <c:pt idx="13">
                  <c:v>48</c:v>
                </c:pt>
                <c:pt idx="14">
                  <c:v>32</c:v>
                </c:pt>
                <c:pt idx="15">
                  <c:v>20</c:v>
                </c:pt>
                <c:pt idx="16">
                  <c:v>13</c:v>
                </c:pt>
                <c:pt idx="17">
                  <c:v>10</c:v>
                </c:pt>
                <c:pt idx="18">
                  <c:v>8</c:v>
                </c:pt>
                <c:pt idx="19">
                  <c:v>7</c:v>
                </c:pt>
                <c:pt idx="20">
                  <c:v>6</c:v>
                </c:pt>
                <c:pt idx="21">
                  <c:v>5</c:v>
                </c:pt>
                <c:pt idx="22">
                  <c:v>4</c:v>
                </c:pt>
                <c:pt idx="23">
                  <c:v>3</c:v>
                </c:pt>
                <c:pt idx="24">
                  <c:v>2</c:v>
                </c:pt>
                <c:pt idx="25">
                  <c:v>1</c:v>
                </c:pt>
                <c:pt idx="26">
                  <c:v>0</c:v>
                </c:pt>
              </c:numCache>
            </c:numRef>
          </c:xVal>
          <c:yVal>
            <c:numRef>
              <c:f>OscBC3!$K$4:$K$30</c:f>
              <c:numCache>
                <c:formatCode>0.000</c:formatCode>
                <c:ptCount val="27"/>
                <c:pt idx="0">
                  <c:v>1</c:v>
                </c:pt>
                <c:pt idx="4">
                  <c:v>0.99115044247787609</c:v>
                </c:pt>
                <c:pt idx="7">
                  <c:v>0.98230088495575218</c:v>
                </c:pt>
                <c:pt idx="9">
                  <c:v>0.95575221238938057</c:v>
                </c:pt>
                <c:pt idx="12">
                  <c:v>0.90265486725663713</c:v>
                </c:pt>
                <c:pt idx="14">
                  <c:v>0.86725663716814161</c:v>
                </c:pt>
                <c:pt idx="15">
                  <c:v>0.74336283185840712</c:v>
                </c:pt>
                <c:pt idx="17">
                  <c:v>0.59734513274336287</c:v>
                </c:pt>
                <c:pt idx="18">
                  <c:v>0.5752212389380531</c:v>
                </c:pt>
                <c:pt idx="19">
                  <c:v>0.56194690265486724</c:v>
                </c:pt>
                <c:pt idx="20">
                  <c:v>0.55309734513274333</c:v>
                </c:pt>
                <c:pt idx="21">
                  <c:v>0.53982300884955747</c:v>
                </c:pt>
                <c:pt idx="22">
                  <c:v>0.36283185840707965</c:v>
                </c:pt>
                <c:pt idx="23">
                  <c:v>0.20575221238938052</c:v>
                </c:pt>
                <c:pt idx="24">
                  <c:v>8.8495575221238937E-2</c:v>
                </c:pt>
                <c:pt idx="25">
                  <c:v>2.2123893805309734E-2</c:v>
                </c:pt>
                <c:pt idx="26">
                  <c:v>0</c:v>
                </c:pt>
              </c:numCache>
            </c:numRef>
          </c:yVal>
          <c:smooth val="0"/>
        </c:ser>
        <c:ser>
          <c:idx val="6"/>
          <c:order val="6"/>
          <c:tx>
            <c:v>0.3</c:v>
          </c:tx>
          <c:spPr>
            <a:ln w="28575">
              <a:solidFill>
                <a:schemeClr val="accent2">
                  <a:lumMod val="60000"/>
                  <a:lumOff val="40000"/>
                </a:schemeClr>
              </a:solidFill>
            </a:ln>
          </c:spPr>
          <c:xVal>
            <c:numRef>
              <c:f>OscBC3!$A$4:$A$30</c:f>
              <c:numCache>
                <c:formatCode>General</c:formatCode>
                <c:ptCount val="27"/>
                <c:pt idx="0">
                  <c:v>127</c:v>
                </c:pt>
                <c:pt idx="1">
                  <c:v>126</c:v>
                </c:pt>
                <c:pt idx="2">
                  <c:v>125</c:v>
                </c:pt>
                <c:pt idx="3">
                  <c:v>124</c:v>
                </c:pt>
                <c:pt idx="4">
                  <c:v>123</c:v>
                </c:pt>
                <c:pt idx="5">
                  <c:v>122</c:v>
                </c:pt>
                <c:pt idx="6">
                  <c:v>121</c:v>
                </c:pt>
                <c:pt idx="7">
                  <c:v>120</c:v>
                </c:pt>
                <c:pt idx="8">
                  <c:v>110</c:v>
                </c:pt>
                <c:pt idx="9">
                  <c:v>100</c:v>
                </c:pt>
                <c:pt idx="10">
                  <c:v>96</c:v>
                </c:pt>
                <c:pt idx="11">
                  <c:v>76</c:v>
                </c:pt>
                <c:pt idx="12">
                  <c:v>64</c:v>
                </c:pt>
                <c:pt idx="13">
                  <c:v>48</c:v>
                </c:pt>
                <c:pt idx="14">
                  <c:v>32</c:v>
                </c:pt>
                <c:pt idx="15">
                  <c:v>20</c:v>
                </c:pt>
                <c:pt idx="16">
                  <c:v>13</c:v>
                </c:pt>
                <c:pt idx="17">
                  <c:v>10</c:v>
                </c:pt>
                <c:pt idx="18">
                  <c:v>8</c:v>
                </c:pt>
                <c:pt idx="19">
                  <c:v>7</c:v>
                </c:pt>
                <c:pt idx="20">
                  <c:v>6</c:v>
                </c:pt>
                <c:pt idx="21">
                  <c:v>5</c:v>
                </c:pt>
                <c:pt idx="22">
                  <c:v>4</c:v>
                </c:pt>
                <c:pt idx="23">
                  <c:v>3</c:v>
                </c:pt>
                <c:pt idx="24">
                  <c:v>2</c:v>
                </c:pt>
                <c:pt idx="25">
                  <c:v>1</c:v>
                </c:pt>
                <c:pt idx="26">
                  <c:v>0</c:v>
                </c:pt>
              </c:numCache>
            </c:numRef>
          </c:xVal>
          <c:yVal>
            <c:numRef>
              <c:f>OscBC3!$L$4:$L$30</c:f>
              <c:numCache>
                <c:formatCode>0.000</c:formatCode>
                <c:ptCount val="27"/>
                <c:pt idx="0">
                  <c:v>1</c:v>
                </c:pt>
                <c:pt idx="3">
                  <c:v>0.99118942731277537</c:v>
                </c:pt>
                <c:pt idx="7">
                  <c:v>0.97797356828193838</c:v>
                </c:pt>
                <c:pt idx="8">
                  <c:v>0.96035242290748901</c:v>
                </c:pt>
                <c:pt idx="9">
                  <c:v>0.93392070484581502</c:v>
                </c:pt>
                <c:pt idx="10">
                  <c:v>0.93392070484581502</c:v>
                </c:pt>
                <c:pt idx="11">
                  <c:v>0.88105726872246692</c:v>
                </c:pt>
                <c:pt idx="12">
                  <c:v>0.85462555066079293</c:v>
                </c:pt>
                <c:pt idx="13">
                  <c:v>0.82378854625550657</c:v>
                </c:pt>
                <c:pt idx="14">
                  <c:v>0.70044052863436124</c:v>
                </c:pt>
                <c:pt idx="15">
                  <c:v>0.55947136563876654</c:v>
                </c:pt>
                <c:pt idx="17">
                  <c:v>0.45374449339207046</c:v>
                </c:pt>
                <c:pt idx="18">
                  <c:v>0.42290748898678415</c:v>
                </c:pt>
                <c:pt idx="19">
                  <c:v>0.39207048458149779</c:v>
                </c:pt>
                <c:pt idx="20">
                  <c:v>0.34140969162995594</c:v>
                </c:pt>
                <c:pt idx="23">
                  <c:v>9.9118942731277526E-2</c:v>
                </c:pt>
                <c:pt idx="24">
                  <c:v>5.2863436123348019E-2</c:v>
                </c:pt>
                <c:pt idx="25">
                  <c:v>2.643171806167401E-2</c:v>
                </c:pt>
                <c:pt idx="26">
                  <c:v>0</c:v>
                </c:pt>
              </c:numCache>
            </c:numRef>
          </c:yVal>
          <c:smooth val="0"/>
        </c:ser>
        <c:ser>
          <c:idx val="7"/>
          <c:order val="7"/>
          <c:tx>
            <c:v>0.2</c:v>
          </c:tx>
          <c:spPr>
            <a:ln w="28575">
              <a:solidFill>
                <a:schemeClr val="accent5">
                  <a:lumMod val="75000"/>
                  <a:alpha val="42000"/>
                </a:schemeClr>
              </a:solidFill>
            </a:ln>
          </c:spPr>
          <c:marker>
            <c:symbol val="plus"/>
            <c:size val="5"/>
          </c:marker>
          <c:xVal>
            <c:numRef>
              <c:f>OscBC3!$A$4:$A$30</c:f>
              <c:numCache>
                <c:formatCode>General</c:formatCode>
                <c:ptCount val="27"/>
                <c:pt idx="0">
                  <c:v>127</c:v>
                </c:pt>
                <c:pt idx="1">
                  <c:v>126</c:v>
                </c:pt>
                <c:pt idx="2">
                  <c:v>125</c:v>
                </c:pt>
                <c:pt idx="3">
                  <c:v>124</c:v>
                </c:pt>
                <c:pt idx="4">
                  <c:v>123</c:v>
                </c:pt>
                <c:pt idx="5">
                  <c:v>122</c:v>
                </c:pt>
                <c:pt idx="6">
                  <c:v>121</c:v>
                </c:pt>
                <c:pt idx="7">
                  <c:v>120</c:v>
                </c:pt>
                <c:pt idx="8">
                  <c:v>110</c:v>
                </c:pt>
                <c:pt idx="9">
                  <c:v>100</c:v>
                </c:pt>
                <c:pt idx="10">
                  <c:v>96</c:v>
                </c:pt>
                <c:pt idx="11">
                  <c:v>76</c:v>
                </c:pt>
                <c:pt idx="12">
                  <c:v>64</c:v>
                </c:pt>
                <c:pt idx="13">
                  <c:v>48</c:v>
                </c:pt>
                <c:pt idx="14">
                  <c:v>32</c:v>
                </c:pt>
                <c:pt idx="15">
                  <c:v>20</c:v>
                </c:pt>
                <c:pt idx="16">
                  <c:v>13</c:v>
                </c:pt>
                <c:pt idx="17">
                  <c:v>10</c:v>
                </c:pt>
                <c:pt idx="18">
                  <c:v>8</c:v>
                </c:pt>
                <c:pt idx="19">
                  <c:v>7</c:v>
                </c:pt>
                <c:pt idx="20">
                  <c:v>6</c:v>
                </c:pt>
                <c:pt idx="21">
                  <c:v>5</c:v>
                </c:pt>
                <c:pt idx="22">
                  <c:v>4</c:v>
                </c:pt>
                <c:pt idx="23">
                  <c:v>3</c:v>
                </c:pt>
                <c:pt idx="24">
                  <c:v>2</c:v>
                </c:pt>
                <c:pt idx="25">
                  <c:v>1</c:v>
                </c:pt>
                <c:pt idx="26">
                  <c:v>0</c:v>
                </c:pt>
              </c:numCache>
            </c:numRef>
          </c:xVal>
          <c:yVal>
            <c:numRef>
              <c:f>OscBC3!$M$4:$M$30</c:f>
              <c:numCache>
                <c:formatCode>0.000</c:formatCode>
                <c:ptCount val="27"/>
                <c:pt idx="0">
                  <c:v>1</c:v>
                </c:pt>
                <c:pt idx="3">
                  <c:v>0.98230088495575218</c:v>
                </c:pt>
                <c:pt idx="7">
                  <c:v>0.97345132743362828</c:v>
                </c:pt>
                <c:pt idx="8">
                  <c:v>0.92920353982300885</c:v>
                </c:pt>
                <c:pt idx="9">
                  <c:v>0.89380530973451322</c:v>
                </c:pt>
                <c:pt idx="10">
                  <c:v>0.87610619469026552</c:v>
                </c:pt>
                <c:pt idx="11">
                  <c:v>0.79646017699115046</c:v>
                </c:pt>
                <c:pt idx="12">
                  <c:v>0.76106194690265483</c:v>
                </c:pt>
                <c:pt idx="13">
                  <c:v>0.61283185840707965</c:v>
                </c:pt>
                <c:pt idx="14">
                  <c:v>0.4336283185840708</c:v>
                </c:pt>
                <c:pt idx="15">
                  <c:v>0.32743362831858408</c:v>
                </c:pt>
                <c:pt idx="16">
                  <c:v>0.26548672566371684</c:v>
                </c:pt>
                <c:pt idx="17">
                  <c:v>0.23893805309734514</c:v>
                </c:pt>
                <c:pt idx="18">
                  <c:v>0.16592920353982302</c:v>
                </c:pt>
                <c:pt idx="19">
                  <c:v>0.13053097345132744</c:v>
                </c:pt>
                <c:pt idx="20">
                  <c:v>9.9557522123893807E-2</c:v>
                </c:pt>
                <c:pt idx="21">
                  <c:v>7.3008849557522126E-2</c:v>
                </c:pt>
                <c:pt idx="22">
                  <c:v>5.3097345132743362E-2</c:v>
                </c:pt>
                <c:pt idx="23">
                  <c:v>3.5398230088495575E-2</c:v>
                </c:pt>
                <c:pt idx="24">
                  <c:v>2.6548672566371681E-2</c:v>
                </c:pt>
              </c:numCache>
            </c:numRef>
          </c:yVal>
          <c:smooth val="0"/>
        </c:ser>
        <c:ser>
          <c:idx val="8"/>
          <c:order val="8"/>
          <c:tx>
            <c:v>0.1</c:v>
          </c:tx>
          <c:spPr>
            <a:ln w="28575">
              <a:solidFill>
                <a:schemeClr val="accent3">
                  <a:lumMod val="75000"/>
                  <a:alpha val="43000"/>
                </a:schemeClr>
              </a:solidFill>
            </a:ln>
          </c:spPr>
          <c:marker>
            <c:symbol val="diamond"/>
            <c:size val="3"/>
            <c:spPr>
              <a:solidFill>
                <a:schemeClr val="accent3">
                  <a:lumMod val="75000"/>
                </a:schemeClr>
              </a:solidFill>
            </c:spPr>
          </c:marker>
          <c:trendline>
            <c:trendlineType val="exp"/>
            <c:dispRSqr val="0"/>
            <c:dispEq val="1"/>
            <c:trendlineLbl>
              <c:layout>
                <c:manualLayout>
                  <c:x val="0.14508182635987535"/>
                  <c:y val="0.52364757198316569"/>
                </c:manualLayout>
              </c:layout>
              <c:numFmt formatCode="General" sourceLinked="0"/>
            </c:trendlineLbl>
          </c:trendline>
          <c:xVal>
            <c:numRef>
              <c:f>OscBC3!$A$4:$A$19</c:f>
              <c:numCache>
                <c:formatCode>General</c:formatCode>
                <c:ptCount val="16"/>
                <c:pt idx="0">
                  <c:v>127</c:v>
                </c:pt>
                <c:pt idx="1">
                  <c:v>126</c:v>
                </c:pt>
                <c:pt idx="2">
                  <c:v>125</c:v>
                </c:pt>
                <c:pt idx="3">
                  <c:v>124</c:v>
                </c:pt>
                <c:pt idx="4">
                  <c:v>123</c:v>
                </c:pt>
                <c:pt idx="5">
                  <c:v>122</c:v>
                </c:pt>
                <c:pt idx="6">
                  <c:v>121</c:v>
                </c:pt>
                <c:pt idx="7">
                  <c:v>120</c:v>
                </c:pt>
                <c:pt idx="8">
                  <c:v>110</c:v>
                </c:pt>
                <c:pt idx="9">
                  <c:v>100</c:v>
                </c:pt>
                <c:pt idx="10">
                  <c:v>96</c:v>
                </c:pt>
                <c:pt idx="11">
                  <c:v>76</c:v>
                </c:pt>
                <c:pt idx="12">
                  <c:v>64</c:v>
                </c:pt>
                <c:pt idx="13">
                  <c:v>48</c:v>
                </c:pt>
                <c:pt idx="14">
                  <c:v>32</c:v>
                </c:pt>
                <c:pt idx="15">
                  <c:v>20</c:v>
                </c:pt>
              </c:numCache>
            </c:numRef>
          </c:xVal>
          <c:yVal>
            <c:numRef>
              <c:f>OscBC3!$U$4:$U$19</c:f>
              <c:numCache>
                <c:formatCode>0.000</c:formatCode>
                <c:ptCount val="16"/>
                <c:pt idx="0">
                  <c:v>1</c:v>
                </c:pt>
                <c:pt idx="7">
                  <c:v>0.6834862385321101</c:v>
                </c:pt>
                <c:pt idx="8">
                  <c:v>0.44954128440366975</c:v>
                </c:pt>
                <c:pt idx="9">
                  <c:v>0.34862385321100919</c:v>
                </c:pt>
                <c:pt idx="10">
                  <c:v>0.31192660550458717</c:v>
                </c:pt>
                <c:pt idx="11">
                  <c:v>0.17201834862385321</c:v>
                </c:pt>
                <c:pt idx="12">
                  <c:v>0.10321100917431193</c:v>
                </c:pt>
                <c:pt idx="13">
                  <c:v>5.0458715596330278E-2</c:v>
                </c:pt>
                <c:pt idx="14">
                  <c:v>3.2110091743119268E-2</c:v>
                </c:pt>
                <c:pt idx="15">
                  <c:v>2.5229357798165139E-2</c:v>
                </c:pt>
              </c:numCache>
            </c:numRef>
          </c:yVal>
          <c:smooth val="0"/>
        </c:ser>
        <c:ser>
          <c:idx val="9"/>
          <c:order val="9"/>
          <c:tx>
            <c:v>0</c:v>
          </c:tx>
          <c:spPr>
            <a:ln w="28575">
              <a:noFill/>
            </a:ln>
          </c:spPr>
          <c:xVal>
            <c:numRef>
              <c:f>OscBC3!$A$4:$A$30</c:f>
              <c:numCache>
                <c:formatCode>General</c:formatCode>
                <c:ptCount val="27"/>
                <c:pt idx="0">
                  <c:v>127</c:v>
                </c:pt>
                <c:pt idx="1">
                  <c:v>126</c:v>
                </c:pt>
                <c:pt idx="2">
                  <c:v>125</c:v>
                </c:pt>
                <c:pt idx="3">
                  <c:v>124</c:v>
                </c:pt>
                <c:pt idx="4">
                  <c:v>123</c:v>
                </c:pt>
                <c:pt idx="5">
                  <c:v>122</c:v>
                </c:pt>
                <c:pt idx="6">
                  <c:v>121</c:v>
                </c:pt>
                <c:pt idx="7">
                  <c:v>120</c:v>
                </c:pt>
                <c:pt idx="8">
                  <c:v>110</c:v>
                </c:pt>
                <c:pt idx="9">
                  <c:v>100</c:v>
                </c:pt>
                <c:pt idx="10">
                  <c:v>96</c:v>
                </c:pt>
                <c:pt idx="11">
                  <c:v>76</c:v>
                </c:pt>
                <c:pt idx="12">
                  <c:v>64</c:v>
                </c:pt>
                <c:pt idx="13">
                  <c:v>48</c:v>
                </c:pt>
                <c:pt idx="14">
                  <c:v>32</c:v>
                </c:pt>
                <c:pt idx="15">
                  <c:v>20</c:v>
                </c:pt>
                <c:pt idx="16">
                  <c:v>13</c:v>
                </c:pt>
                <c:pt idx="17">
                  <c:v>10</c:v>
                </c:pt>
                <c:pt idx="18">
                  <c:v>8</c:v>
                </c:pt>
                <c:pt idx="19">
                  <c:v>7</c:v>
                </c:pt>
                <c:pt idx="20">
                  <c:v>6</c:v>
                </c:pt>
                <c:pt idx="21">
                  <c:v>5</c:v>
                </c:pt>
                <c:pt idx="22">
                  <c:v>4</c:v>
                </c:pt>
                <c:pt idx="23">
                  <c:v>3</c:v>
                </c:pt>
                <c:pt idx="24">
                  <c:v>2</c:v>
                </c:pt>
                <c:pt idx="25">
                  <c:v>1</c:v>
                </c:pt>
                <c:pt idx="26">
                  <c:v>0</c:v>
                </c:pt>
              </c:numCache>
            </c:numRef>
          </c:xVal>
          <c:yVal>
            <c:numRef>
              <c:f>OscBC3!$N$4:$N$25</c:f>
              <c:numCache>
                <c:formatCode>0.000</c:formatCode>
                <c:ptCount val="22"/>
                <c:pt idx="0">
                  <c:v>1</c:v>
                </c:pt>
                <c:pt idx="7">
                  <c:v>0.94736842105263153</c:v>
                </c:pt>
                <c:pt idx="8">
                  <c:v>0.8728070175438597</c:v>
                </c:pt>
                <c:pt idx="10">
                  <c:v>0.7807017543859649</c:v>
                </c:pt>
                <c:pt idx="12">
                  <c:v>0.49122807017543857</c:v>
                </c:pt>
                <c:pt idx="14">
                  <c:v>0.20833333333333334</c:v>
                </c:pt>
                <c:pt idx="15">
                  <c:v>0.13596491228070176</c:v>
                </c:pt>
                <c:pt idx="17">
                  <c:v>6.3596491228070179E-2</c:v>
                </c:pt>
                <c:pt idx="21">
                  <c:v>2.850877192982456E-2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6120960"/>
        <c:axId val="306130944"/>
      </c:scatterChart>
      <c:valAx>
        <c:axId val="306120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06130944"/>
        <c:crosses val="autoZero"/>
        <c:crossBetween val="midCat"/>
      </c:valAx>
      <c:valAx>
        <c:axId val="306130944"/>
        <c:scaling>
          <c:orientation val="minMax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crossAx val="306120960"/>
        <c:crosses val="autoZero"/>
        <c:crossBetween val="midCat"/>
      </c:valAx>
    </c:plotArea>
    <c:legend>
      <c:legendPos val="r"/>
      <c:overlay val="0"/>
    </c:legend>
    <c:plotVisOnly val="1"/>
    <c:dispBlanksAs val="span"/>
    <c:showDLblsOverMax val="0"/>
  </c:chart>
  <c:printSettings>
    <c:headerFooter/>
    <c:pageMargins b="0.75" l="0.7" r="0.7" t="0.75" header="0.3" footer="0.3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4607162591518181E-2"/>
          <c:y val="6.5289442986293383E-2"/>
          <c:w val="0.65556188700096696"/>
          <c:h val="0.8326195683872849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2"/>
          </c:marker>
          <c:trendline>
            <c:trendlineType val="exp"/>
            <c:dispRSqr val="0"/>
            <c:dispEq val="1"/>
            <c:trendlineLbl>
              <c:layout>
                <c:manualLayout>
                  <c:x val="-2.0415135608048994E-2"/>
                  <c:y val="0.45064559638378537"/>
                </c:manualLayout>
              </c:layout>
              <c:numFmt formatCode="General" sourceLinked="0"/>
            </c:trendlineLbl>
          </c:trendline>
          <c:xVal>
            <c:numRef>
              <c:f>OscBC3!$B$4:$B$19</c:f>
              <c:numCache>
                <c:formatCode>General</c:formatCode>
                <c:ptCount val="16"/>
                <c:pt idx="0">
                  <c:v>1</c:v>
                </c:pt>
                <c:pt idx="1">
                  <c:v>0.99212598425196852</c:v>
                </c:pt>
                <c:pt idx="2">
                  <c:v>0.98425196850393704</c:v>
                </c:pt>
                <c:pt idx="3">
                  <c:v>0.97637795275590555</c:v>
                </c:pt>
                <c:pt idx="4">
                  <c:v>0.96850393700787396</c:v>
                </c:pt>
                <c:pt idx="5">
                  <c:v>0.96062992125984248</c:v>
                </c:pt>
                <c:pt idx="6">
                  <c:v>0.952755905511811</c:v>
                </c:pt>
                <c:pt idx="7">
                  <c:v>0.94488188976377951</c:v>
                </c:pt>
                <c:pt idx="8">
                  <c:v>0.86614173228346458</c:v>
                </c:pt>
                <c:pt idx="9">
                  <c:v>0.78740157480314965</c:v>
                </c:pt>
                <c:pt idx="10">
                  <c:v>0.75590551181102361</c:v>
                </c:pt>
                <c:pt idx="11">
                  <c:v>0.59842519685039375</c:v>
                </c:pt>
                <c:pt idx="12">
                  <c:v>0.50393700787401574</c:v>
                </c:pt>
                <c:pt idx="13">
                  <c:v>0.37795275590551181</c:v>
                </c:pt>
                <c:pt idx="14">
                  <c:v>0.25196850393700787</c:v>
                </c:pt>
                <c:pt idx="15">
                  <c:v>0.15748031496062992</c:v>
                </c:pt>
              </c:numCache>
            </c:numRef>
          </c:xVal>
          <c:yVal>
            <c:numRef>
              <c:f>(OscBC3!$U$4:$U$19,OscBC3!$O$4:$O$30)</c:f>
              <c:numCache>
                <c:formatCode>0.000</c:formatCode>
                <c:ptCount val="43"/>
                <c:pt idx="0">
                  <c:v>1</c:v>
                </c:pt>
                <c:pt idx="7">
                  <c:v>0.6834862385321101</c:v>
                </c:pt>
                <c:pt idx="8">
                  <c:v>0.44954128440366975</c:v>
                </c:pt>
                <c:pt idx="9">
                  <c:v>0.34862385321100919</c:v>
                </c:pt>
                <c:pt idx="10">
                  <c:v>0.31192660550458717</c:v>
                </c:pt>
                <c:pt idx="11">
                  <c:v>0.17201834862385321</c:v>
                </c:pt>
                <c:pt idx="12">
                  <c:v>0.10321100917431193</c:v>
                </c:pt>
                <c:pt idx="13">
                  <c:v>5.0458715596330278E-2</c:v>
                </c:pt>
                <c:pt idx="14">
                  <c:v>3.2110091743119268E-2</c:v>
                </c:pt>
                <c:pt idx="15">
                  <c:v>2.5229357798165139E-2</c:v>
                </c:pt>
                <c:pt idx="16">
                  <c:v>290</c:v>
                </c:pt>
                <c:pt idx="17">
                  <c:v>0.99212598425196852</c:v>
                </c:pt>
                <c:pt idx="18">
                  <c:v>0.98425196850393704</c:v>
                </c:pt>
                <c:pt idx="19">
                  <c:v>0.97637795275590555</c:v>
                </c:pt>
                <c:pt idx="20">
                  <c:v>0.96850393700787396</c:v>
                </c:pt>
                <c:pt idx="21">
                  <c:v>0.96062992125984248</c:v>
                </c:pt>
                <c:pt idx="22">
                  <c:v>0.952755905511811</c:v>
                </c:pt>
                <c:pt idx="23">
                  <c:v>0.94488188976377951</c:v>
                </c:pt>
                <c:pt idx="24">
                  <c:v>0.86614173228346458</c:v>
                </c:pt>
                <c:pt idx="25">
                  <c:v>0.78740157480314965</c:v>
                </c:pt>
                <c:pt idx="26">
                  <c:v>0.75590551181102361</c:v>
                </c:pt>
                <c:pt idx="27">
                  <c:v>0.59842519685039375</c:v>
                </c:pt>
                <c:pt idx="28">
                  <c:v>0.50393700787401574</c:v>
                </c:pt>
                <c:pt idx="29">
                  <c:v>0.37795275590551181</c:v>
                </c:pt>
                <c:pt idx="30">
                  <c:v>0.25196850393700787</c:v>
                </c:pt>
                <c:pt idx="31">
                  <c:v>0.15748031496062992</c:v>
                </c:pt>
                <c:pt idx="32">
                  <c:v>0.10236220472440945</c:v>
                </c:pt>
                <c:pt idx="33">
                  <c:v>7.874015748031496E-2</c:v>
                </c:pt>
                <c:pt idx="34">
                  <c:v>6.2992125984251968E-2</c:v>
                </c:pt>
                <c:pt idx="35">
                  <c:v>5.5118110236220472E-2</c:v>
                </c:pt>
                <c:pt idx="36">
                  <c:v>4.7244094488188976E-2</c:v>
                </c:pt>
                <c:pt idx="37">
                  <c:v>3.937007874015748E-2</c:v>
                </c:pt>
                <c:pt idx="38">
                  <c:v>3.1496062992125984E-2</c:v>
                </c:pt>
                <c:pt idx="39">
                  <c:v>2.3622047244094488E-2</c:v>
                </c:pt>
                <c:pt idx="40">
                  <c:v>1.5748031496062992E-2</c:v>
                </c:pt>
                <c:pt idx="41">
                  <c:v>7.874015748031496E-3</c:v>
                </c:pt>
                <c:pt idx="42">
                  <c:v>0</c:v>
                </c:pt>
              </c:numCache>
            </c:numRef>
          </c:yVal>
          <c:smooth val="0"/>
        </c:ser>
        <c:ser>
          <c:idx val="2"/>
          <c:order val="1"/>
          <c:spPr>
            <a:ln w="28575">
              <a:noFill/>
            </a:ln>
          </c:spPr>
          <c:xVal>
            <c:numRef>
              <c:f>OscBC3!$B$4:$B$19</c:f>
              <c:numCache>
                <c:formatCode>General</c:formatCode>
                <c:ptCount val="16"/>
                <c:pt idx="0">
                  <c:v>1</c:v>
                </c:pt>
                <c:pt idx="1">
                  <c:v>0.99212598425196852</c:v>
                </c:pt>
                <c:pt idx="2">
                  <c:v>0.98425196850393704</c:v>
                </c:pt>
                <c:pt idx="3">
                  <c:v>0.97637795275590555</c:v>
                </c:pt>
                <c:pt idx="4">
                  <c:v>0.96850393700787396</c:v>
                </c:pt>
                <c:pt idx="5">
                  <c:v>0.96062992125984248</c:v>
                </c:pt>
                <c:pt idx="6">
                  <c:v>0.952755905511811</c:v>
                </c:pt>
                <c:pt idx="7">
                  <c:v>0.94488188976377951</c:v>
                </c:pt>
                <c:pt idx="8">
                  <c:v>0.86614173228346458</c:v>
                </c:pt>
                <c:pt idx="9">
                  <c:v>0.78740157480314965</c:v>
                </c:pt>
                <c:pt idx="10">
                  <c:v>0.75590551181102361</c:v>
                </c:pt>
                <c:pt idx="11">
                  <c:v>0.59842519685039375</c:v>
                </c:pt>
                <c:pt idx="12">
                  <c:v>0.50393700787401574</c:v>
                </c:pt>
                <c:pt idx="13">
                  <c:v>0.37795275590551181</c:v>
                </c:pt>
                <c:pt idx="14">
                  <c:v>0.25196850393700787</c:v>
                </c:pt>
                <c:pt idx="15">
                  <c:v>0.15748031496062992</c:v>
                </c:pt>
              </c:numCache>
            </c:numRef>
          </c:xVal>
          <c:yVal>
            <c:numRef>
              <c:f>OscBC3!$V$4:$V$19</c:f>
              <c:numCache>
                <c:formatCode>0.000</c:formatCode>
                <c:ptCount val="16"/>
                <c:pt idx="0">
                  <c:v>0.97839529775053902</c:v>
                </c:pt>
                <c:pt idx="7">
                  <c:v>0.76473993787887762</c:v>
                </c:pt>
                <c:pt idx="8">
                  <c:v>0.53784333647247384</c:v>
                </c:pt>
                <c:pt idx="9">
                  <c:v>0.37826644099455836</c:v>
                </c:pt>
                <c:pt idx="10">
                  <c:v>0.32859021131385208</c:v>
                </c:pt>
                <c:pt idx="11">
                  <c:v>0.16253191918299811</c:v>
                </c:pt>
                <c:pt idx="12">
                  <c:v>0.10653911593571173</c:v>
                </c:pt>
                <c:pt idx="13">
                  <c:v>6.0664737423936348E-2</c:v>
                </c:pt>
                <c:pt idx="14">
                  <c:v>3.4543278629568026E-2</c:v>
                </c:pt>
                <c:pt idx="15">
                  <c:v>2.2643000742343527E-2</c:v>
                </c:pt>
              </c:numCache>
            </c:numRef>
          </c:yVal>
          <c:smooth val="0"/>
        </c:ser>
        <c:ser>
          <c:idx val="1"/>
          <c:order val="2"/>
          <c:spPr>
            <a:ln w="28575">
              <a:noFill/>
            </a:ln>
          </c:spPr>
          <c:marker>
            <c:symbol val="x"/>
            <c:size val="4"/>
          </c:marker>
          <c:xVal>
            <c:numRef>
              <c:f>OscBC3!$B$4:$B$19</c:f>
              <c:numCache>
                <c:formatCode>General</c:formatCode>
                <c:ptCount val="16"/>
                <c:pt idx="0">
                  <c:v>1</c:v>
                </c:pt>
                <c:pt idx="1">
                  <c:v>0.99212598425196852</c:v>
                </c:pt>
                <c:pt idx="2">
                  <c:v>0.98425196850393704</c:v>
                </c:pt>
                <c:pt idx="3">
                  <c:v>0.97637795275590555</c:v>
                </c:pt>
                <c:pt idx="4">
                  <c:v>0.96850393700787396</c:v>
                </c:pt>
                <c:pt idx="5">
                  <c:v>0.96062992125984248</c:v>
                </c:pt>
                <c:pt idx="6">
                  <c:v>0.952755905511811</c:v>
                </c:pt>
                <c:pt idx="7">
                  <c:v>0.94488188976377951</c:v>
                </c:pt>
                <c:pt idx="8">
                  <c:v>0.86614173228346458</c:v>
                </c:pt>
                <c:pt idx="9">
                  <c:v>0.78740157480314965</c:v>
                </c:pt>
                <c:pt idx="10">
                  <c:v>0.75590551181102361</c:v>
                </c:pt>
                <c:pt idx="11">
                  <c:v>0.59842519685039375</c:v>
                </c:pt>
                <c:pt idx="12">
                  <c:v>0.50393700787401574</c:v>
                </c:pt>
                <c:pt idx="13">
                  <c:v>0.37795275590551181</c:v>
                </c:pt>
                <c:pt idx="14">
                  <c:v>0.25196850393700787</c:v>
                </c:pt>
                <c:pt idx="15">
                  <c:v>0.15748031496062992</c:v>
                </c:pt>
              </c:numCache>
            </c:numRef>
          </c:xVal>
          <c:yVal>
            <c:numRef>
              <c:f>OscBC3!$V$4:$V$19</c:f>
              <c:numCache>
                <c:formatCode>0.000</c:formatCode>
                <c:ptCount val="16"/>
                <c:pt idx="0">
                  <c:v>0.97839529775053902</c:v>
                </c:pt>
                <c:pt idx="7">
                  <c:v>0.76473993787887762</c:v>
                </c:pt>
                <c:pt idx="8">
                  <c:v>0.53784333647247384</c:v>
                </c:pt>
                <c:pt idx="9">
                  <c:v>0.37826644099455836</c:v>
                </c:pt>
                <c:pt idx="10">
                  <c:v>0.32859021131385208</c:v>
                </c:pt>
                <c:pt idx="11">
                  <c:v>0.16253191918299811</c:v>
                </c:pt>
                <c:pt idx="12">
                  <c:v>0.10653911593571173</c:v>
                </c:pt>
                <c:pt idx="13">
                  <c:v>6.0664737423936348E-2</c:v>
                </c:pt>
                <c:pt idx="14">
                  <c:v>3.4543278629568026E-2</c:v>
                </c:pt>
                <c:pt idx="15">
                  <c:v>2.2643000742343527E-2</c:v>
                </c:pt>
              </c:numCache>
            </c:numRef>
          </c:yVal>
          <c:smooth val="0"/>
        </c:ser>
        <c:ser>
          <c:idx val="3"/>
          <c:order val="3"/>
          <c:spPr>
            <a:ln w="28575">
              <a:noFill/>
            </a:ln>
          </c:spPr>
          <c:xVal>
            <c:numRef>
              <c:f>OscBC3!$B$4:$B$25</c:f>
              <c:numCache>
                <c:formatCode>General</c:formatCode>
                <c:ptCount val="22"/>
                <c:pt idx="0">
                  <c:v>1</c:v>
                </c:pt>
                <c:pt idx="1">
                  <c:v>0.99212598425196852</c:v>
                </c:pt>
                <c:pt idx="2">
                  <c:v>0.98425196850393704</c:v>
                </c:pt>
                <c:pt idx="3">
                  <c:v>0.97637795275590555</c:v>
                </c:pt>
                <c:pt idx="4">
                  <c:v>0.96850393700787396</c:v>
                </c:pt>
                <c:pt idx="5">
                  <c:v>0.96062992125984248</c:v>
                </c:pt>
                <c:pt idx="6">
                  <c:v>0.952755905511811</c:v>
                </c:pt>
                <c:pt idx="7">
                  <c:v>0.94488188976377951</c:v>
                </c:pt>
                <c:pt idx="8">
                  <c:v>0.86614173228346458</c:v>
                </c:pt>
                <c:pt idx="9">
                  <c:v>0.78740157480314965</c:v>
                </c:pt>
                <c:pt idx="10">
                  <c:v>0.75590551181102361</c:v>
                </c:pt>
                <c:pt idx="11">
                  <c:v>0.59842519685039375</c:v>
                </c:pt>
                <c:pt idx="12">
                  <c:v>0.50393700787401574</c:v>
                </c:pt>
                <c:pt idx="13">
                  <c:v>0.37795275590551181</c:v>
                </c:pt>
                <c:pt idx="14">
                  <c:v>0.25196850393700787</c:v>
                </c:pt>
                <c:pt idx="15">
                  <c:v>0.15748031496062992</c:v>
                </c:pt>
                <c:pt idx="16">
                  <c:v>0.10236220472440945</c:v>
                </c:pt>
                <c:pt idx="17">
                  <c:v>7.874015748031496E-2</c:v>
                </c:pt>
                <c:pt idx="18">
                  <c:v>6.2992125984251968E-2</c:v>
                </c:pt>
                <c:pt idx="19">
                  <c:v>5.5118110236220472E-2</c:v>
                </c:pt>
                <c:pt idx="20">
                  <c:v>4.7244094488188976E-2</c:v>
                </c:pt>
                <c:pt idx="21">
                  <c:v>3.937007874015748E-2</c:v>
                </c:pt>
              </c:numCache>
            </c:numRef>
          </c:xVal>
          <c:yVal>
            <c:numRef>
              <c:f>OscBC3!$N$4:$N$25</c:f>
              <c:numCache>
                <c:formatCode>0.000</c:formatCode>
                <c:ptCount val="22"/>
                <c:pt idx="0">
                  <c:v>1</c:v>
                </c:pt>
                <c:pt idx="7">
                  <c:v>0.94736842105263153</c:v>
                </c:pt>
                <c:pt idx="8">
                  <c:v>0.8728070175438597</c:v>
                </c:pt>
                <c:pt idx="10">
                  <c:v>0.7807017543859649</c:v>
                </c:pt>
                <c:pt idx="12">
                  <c:v>0.49122807017543857</c:v>
                </c:pt>
                <c:pt idx="14">
                  <c:v>0.20833333333333334</c:v>
                </c:pt>
                <c:pt idx="15">
                  <c:v>0.13596491228070176</c:v>
                </c:pt>
                <c:pt idx="17">
                  <c:v>6.3596491228070179E-2</c:v>
                </c:pt>
                <c:pt idx="21">
                  <c:v>2.850877192982456E-2</c:v>
                </c:pt>
              </c:numCache>
            </c:numRef>
          </c:yVal>
          <c:smooth val="0"/>
        </c:ser>
        <c:ser>
          <c:idx val="4"/>
          <c:order val="4"/>
          <c:spPr>
            <a:ln w="28575">
              <a:noFill/>
            </a:ln>
          </c:spPr>
          <c:marker>
            <c:symbol val="star"/>
            <c:size val="3"/>
          </c:marker>
          <c:trendline>
            <c:trendlineType val="exp"/>
            <c:dispRSqr val="0"/>
            <c:dispEq val="1"/>
            <c:trendlineLbl>
              <c:layout>
                <c:manualLayout>
                  <c:x val="0.18783015609890868"/>
                  <c:y val="-4.1268955963837853E-2"/>
                </c:manualLayout>
              </c:layout>
              <c:numFmt formatCode="General" sourceLinked="0"/>
            </c:trendlineLbl>
          </c:trendline>
          <c:xVal>
            <c:numRef>
              <c:f>OscBC3!$B$4:$B$19</c:f>
              <c:numCache>
                <c:formatCode>General</c:formatCode>
                <c:ptCount val="16"/>
                <c:pt idx="0">
                  <c:v>1</c:v>
                </c:pt>
                <c:pt idx="1">
                  <c:v>0.99212598425196852</c:v>
                </c:pt>
                <c:pt idx="2">
                  <c:v>0.98425196850393704</c:v>
                </c:pt>
                <c:pt idx="3">
                  <c:v>0.97637795275590555</c:v>
                </c:pt>
                <c:pt idx="4">
                  <c:v>0.96850393700787396</c:v>
                </c:pt>
                <c:pt idx="5">
                  <c:v>0.96062992125984248</c:v>
                </c:pt>
                <c:pt idx="6">
                  <c:v>0.952755905511811</c:v>
                </c:pt>
                <c:pt idx="7">
                  <c:v>0.94488188976377951</c:v>
                </c:pt>
                <c:pt idx="8">
                  <c:v>0.86614173228346458</c:v>
                </c:pt>
                <c:pt idx="9">
                  <c:v>0.78740157480314965</c:v>
                </c:pt>
                <c:pt idx="10">
                  <c:v>0.75590551181102361</c:v>
                </c:pt>
                <c:pt idx="11">
                  <c:v>0.59842519685039375</c:v>
                </c:pt>
                <c:pt idx="12">
                  <c:v>0.50393700787401574</c:v>
                </c:pt>
                <c:pt idx="13">
                  <c:v>0.37795275590551181</c:v>
                </c:pt>
                <c:pt idx="14">
                  <c:v>0.25196850393700787</c:v>
                </c:pt>
                <c:pt idx="15">
                  <c:v>0.15748031496062992</c:v>
                </c:pt>
              </c:numCache>
            </c:numRef>
          </c:xVal>
          <c:yVal>
            <c:numRef>
              <c:f>OscBC3!$S$4:$S$19</c:f>
              <c:numCache>
                <c:formatCode>0.000</c:formatCode>
                <c:ptCount val="16"/>
                <c:pt idx="0">
                  <c:v>1</c:v>
                </c:pt>
                <c:pt idx="7">
                  <c:v>0.79646017699115046</c:v>
                </c:pt>
                <c:pt idx="8">
                  <c:v>0.59292035398230092</c:v>
                </c:pt>
                <c:pt idx="9">
                  <c:v>0.47345132743362833</c:v>
                </c:pt>
                <c:pt idx="10">
                  <c:v>0.4336283185840708</c:v>
                </c:pt>
                <c:pt idx="12">
                  <c:v>0.17699115044247787</c:v>
                </c:pt>
                <c:pt idx="14">
                  <c:v>8.4070796460176997E-2</c:v>
                </c:pt>
                <c:pt idx="15">
                  <c:v>0.03</c:v>
                </c:pt>
              </c:numCache>
            </c:numRef>
          </c:yVal>
          <c:smooth val="0"/>
        </c:ser>
        <c:ser>
          <c:idx val="5"/>
          <c:order val="5"/>
          <c:spPr>
            <a:ln w="28575">
              <a:noFill/>
            </a:ln>
          </c:spPr>
          <c:marker>
            <c:symbol val="circle"/>
            <c:size val="3"/>
          </c:marker>
          <c:trendline>
            <c:trendlineType val="exp"/>
            <c:dispRSqr val="0"/>
            <c:dispEq val="1"/>
            <c:trendlineLbl>
              <c:layout>
                <c:manualLayout>
                  <c:x val="-3.9459870147810468E-3"/>
                  <c:y val="2.0229658792650918E-2"/>
                </c:manualLayout>
              </c:layout>
              <c:numFmt formatCode="General" sourceLinked="0"/>
            </c:trendlineLbl>
          </c:trendline>
          <c:xVal>
            <c:numRef>
              <c:f>OscBC3!$B$4:$B$19</c:f>
              <c:numCache>
                <c:formatCode>General</c:formatCode>
                <c:ptCount val="16"/>
                <c:pt idx="0">
                  <c:v>1</c:v>
                </c:pt>
                <c:pt idx="1">
                  <c:v>0.99212598425196852</c:v>
                </c:pt>
                <c:pt idx="2">
                  <c:v>0.98425196850393704</c:v>
                </c:pt>
                <c:pt idx="3">
                  <c:v>0.97637795275590555</c:v>
                </c:pt>
                <c:pt idx="4">
                  <c:v>0.96850393700787396</c:v>
                </c:pt>
                <c:pt idx="5">
                  <c:v>0.96062992125984248</c:v>
                </c:pt>
                <c:pt idx="6">
                  <c:v>0.952755905511811</c:v>
                </c:pt>
                <c:pt idx="7">
                  <c:v>0.94488188976377951</c:v>
                </c:pt>
                <c:pt idx="8">
                  <c:v>0.86614173228346458</c:v>
                </c:pt>
                <c:pt idx="9">
                  <c:v>0.78740157480314965</c:v>
                </c:pt>
                <c:pt idx="10">
                  <c:v>0.75590551181102361</c:v>
                </c:pt>
                <c:pt idx="11">
                  <c:v>0.59842519685039375</c:v>
                </c:pt>
                <c:pt idx="12">
                  <c:v>0.50393700787401574</c:v>
                </c:pt>
                <c:pt idx="13">
                  <c:v>0.37795275590551181</c:v>
                </c:pt>
                <c:pt idx="14">
                  <c:v>0.25196850393700787</c:v>
                </c:pt>
                <c:pt idx="15">
                  <c:v>0.15748031496062992</c:v>
                </c:pt>
              </c:numCache>
            </c:numRef>
          </c:xVal>
          <c:yVal>
            <c:numRef>
              <c:f>OscBC3!$R$4:$R$18</c:f>
              <c:numCache>
                <c:formatCode>0.000</c:formatCode>
                <c:ptCount val="15"/>
                <c:pt idx="0">
                  <c:v>1</c:v>
                </c:pt>
                <c:pt idx="7">
                  <c:v>0.84070796460176989</c:v>
                </c:pt>
                <c:pt idx="8">
                  <c:v>0.66371681415929207</c:v>
                </c:pt>
                <c:pt idx="10">
                  <c:v>0.49115044247787609</c:v>
                </c:pt>
                <c:pt idx="12">
                  <c:v>0.2168141592920354</c:v>
                </c:pt>
                <c:pt idx="14">
                  <c:v>5.7522123893805309E-2</c:v>
                </c:pt>
              </c:numCache>
            </c:numRef>
          </c:yVal>
          <c:smooth val="0"/>
        </c:ser>
        <c:ser>
          <c:idx val="6"/>
          <c:order val="6"/>
          <c:spPr>
            <a:ln w="28575">
              <a:noFill/>
            </a:ln>
          </c:spPr>
          <c:trendline>
            <c:trendlineType val="exp"/>
            <c:dispRSqr val="0"/>
            <c:dispEq val="1"/>
            <c:trendlineLbl>
              <c:numFmt formatCode="General" sourceLinked="0"/>
            </c:trendlineLbl>
          </c:trendline>
          <c:xVal>
            <c:numRef>
              <c:f>OscBC3!$B$4:$B$19</c:f>
              <c:numCache>
                <c:formatCode>General</c:formatCode>
                <c:ptCount val="16"/>
                <c:pt idx="0">
                  <c:v>1</c:v>
                </c:pt>
                <c:pt idx="1">
                  <c:v>0.99212598425196852</c:v>
                </c:pt>
                <c:pt idx="2">
                  <c:v>0.98425196850393704</c:v>
                </c:pt>
                <c:pt idx="3">
                  <c:v>0.97637795275590555</c:v>
                </c:pt>
                <c:pt idx="4">
                  <c:v>0.96850393700787396</c:v>
                </c:pt>
                <c:pt idx="5">
                  <c:v>0.96062992125984248</c:v>
                </c:pt>
                <c:pt idx="6">
                  <c:v>0.952755905511811</c:v>
                </c:pt>
                <c:pt idx="7">
                  <c:v>0.94488188976377951</c:v>
                </c:pt>
                <c:pt idx="8">
                  <c:v>0.86614173228346458</c:v>
                </c:pt>
                <c:pt idx="9">
                  <c:v>0.78740157480314965</c:v>
                </c:pt>
                <c:pt idx="10">
                  <c:v>0.75590551181102361</c:v>
                </c:pt>
                <c:pt idx="11">
                  <c:v>0.59842519685039375</c:v>
                </c:pt>
                <c:pt idx="12">
                  <c:v>0.50393700787401574</c:v>
                </c:pt>
                <c:pt idx="13">
                  <c:v>0.37795275590551181</c:v>
                </c:pt>
                <c:pt idx="14">
                  <c:v>0.25196850393700787</c:v>
                </c:pt>
                <c:pt idx="15">
                  <c:v>0.15748031496062992</c:v>
                </c:pt>
              </c:numCache>
            </c:numRef>
          </c:xVal>
          <c:yVal>
            <c:numRef>
              <c:f>OscBC3!$Q$4:$Q$18</c:f>
              <c:numCache>
                <c:formatCode>0.000</c:formatCode>
                <c:ptCount val="15"/>
                <c:pt idx="0">
                  <c:v>1</c:v>
                </c:pt>
                <c:pt idx="8">
                  <c:v>0.7312775330396476</c:v>
                </c:pt>
                <c:pt idx="10">
                  <c:v>0.55506607929515417</c:v>
                </c:pt>
                <c:pt idx="12">
                  <c:v>0.25550660792951541</c:v>
                </c:pt>
                <c:pt idx="14">
                  <c:v>7.0484581497797363E-2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6176384"/>
        <c:axId val="306177920"/>
      </c:scatterChart>
      <c:valAx>
        <c:axId val="306176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06177920"/>
        <c:crosses val="autoZero"/>
        <c:crossBetween val="midCat"/>
      </c:valAx>
      <c:valAx>
        <c:axId val="306177920"/>
        <c:scaling>
          <c:orientation val="minMax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crossAx val="30617638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OscBC3!$C$55</c:f>
              <c:strCache>
                <c:ptCount val="1"/>
                <c:pt idx="0">
                  <c:v>cor-0.2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3"/>
          </c:marker>
          <c:trendline>
            <c:trendlineType val="power"/>
            <c:dispRSqr val="0"/>
            <c:dispEq val="0"/>
          </c:trendline>
          <c:xVal>
            <c:numRef>
              <c:f>OscBC3!$B$56:$B$82</c:f>
              <c:numCache>
                <c:formatCode>General</c:formatCode>
                <c:ptCount val="27"/>
                <c:pt idx="0">
                  <c:v>1</c:v>
                </c:pt>
                <c:pt idx="1">
                  <c:v>0.99212598425196852</c:v>
                </c:pt>
                <c:pt idx="2">
                  <c:v>0.98425196850393704</c:v>
                </c:pt>
                <c:pt idx="3">
                  <c:v>0.97637795275590555</c:v>
                </c:pt>
                <c:pt idx="4">
                  <c:v>0.96850393700787396</c:v>
                </c:pt>
                <c:pt idx="5">
                  <c:v>0.96062992125984248</c:v>
                </c:pt>
                <c:pt idx="6">
                  <c:v>0.952755905511811</c:v>
                </c:pt>
                <c:pt idx="7">
                  <c:v>0.94488188976377951</c:v>
                </c:pt>
                <c:pt idx="8">
                  <c:v>0.86614173228346458</c:v>
                </c:pt>
                <c:pt idx="9">
                  <c:v>0.78740157480314965</c:v>
                </c:pt>
                <c:pt idx="10">
                  <c:v>0.75590551181102361</c:v>
                </c:pt>
                <c:pt idx="11">
                  <c:v>0.59842519685039375</c:v>
                </c:pt>
                <c:pt idx="12">
                  <c:v>0.50393700787401574</c:v>
                </c:pt>
                <c:pt idx="13">
                  <c:v>0.37795275590551181</c:v>
                </c:pt>
                <c:pt idx="14">
                  <c:v>0.25196850393700787</c:v>
                </c:pt>
                <c:pt idx="15">
                  <c:v>0.15748031496062992</c:v>
                </c:pt>
                <c:pt idx="16">
                  <c:v>0.10236220472440945</c:v>
                </c:pt>
                <c:pt idx="17">
                  <c:v>7.874015748031496E-2</c:v>
                </c:pt>
                <c:pt idx="18">
                  <c:v>6.2992125984251968E-2</c:v>
                </c:pt>
                <c:pt idx="19">
                  <c:v>5.5118110236220472E-2</c:v>
                </c:pt>
                <c:pt idx="20">
                  <c:v>4.7244094488188976E-2</c:v>
                </c:pt>
                <c:pt idx="21">
                  <c:v>3.937007874015748E-2</c:v>
                </c:pt>
                <c:pt idx="22">
                  <c:v>3.1496062992125984E-2</c:v>
                </c:pt>
                <c:pt idx="23">
                  <c:v>2.3622047244094488E-2</c:v>
                </c:pt>
                <c:pt idx="24">
                  <c:v>1.5748031496062992E-2</c:v>
                </c:pt>
                <c:pt idx="25">
                  <c:v>7.874015748031496E-3</c:v>
                </c:pt>
                <c:pt idx="26">
                  <c:v>0</c:v>
                </c:pt>
              </c:numCache>
            </c:numRef>
          </c:xVal>
          <c:yVal>
            <c:numRef>
              <c:f>OscBC3!$C$56:$C$82</c:f>
              <c:numCache>
                <c:formatCode>0.000</c:formatCode>
                <c:ptCount val="27"/>
                <c:pt idx="0">
                  <c:v>0.97839529775053902</c:v>
                </c:pt>
                <c:pt idx="1">
                  <c:v>0.94455784386337194</c:v>
                </c:pt>
                <c:pt idx="2">
                  <c:v>0.91189064630122785</c:v>
                </c:pt>
                <c:pt idx="3">
                  <c:v>0.88035323216473427</c:v>
                </c:pt>
                <c:pt idx="4">
                  <c:v>0.8499065282953655</c:v>
                </c:pt>
                <c:pt idx="5">
                  <c:v>0.82051281286590938</c:v>
                </c:pt>
                <c:pt idx="6">
                  <c:v>0.79213566864514995</c:v>
                </c:pt>
                <c:pt idx="7">
                  <c:v>0.76473993787887762</c:v>
                </c:pt>
                <c:pt idx="8">
                  <c:v>0.53784333647247384</c:v>
                </c:pt>
                <c:pt idx="9">
                  <c:v>0.37826644099455836</c:v>
                </c:pt>
                <c:pt idx="10">
                  <c:v>0.32859021131385208</c:v>
                </c:pt>
                <c:pt idx="11">
                  <c:v>0.16253191918299811</c:v>
                </c:pt>
                <c:pt idx="12">
                  <c:v>0.10653911593571173</c:v>
                </c:pt>
                <c:pt idx="13">
                  <c:v>6.0664737423936348E-2</c:v>
                </c:pt>
                <c:pt idx="14">
                  <c:v>3.4543278629568026E-2</c:v>
                </c:pt>
                <c:pt idx="15">
                  <c:v>2.2643000742343527E-2</c:v>
                </c:pt>
                <c:pt idx="16">
                  <c:v>1.7698375105545748E-2</c:v>
                </c:pt>
                <c:pt idx="17">
                  <c:v>1.5924873886918146E-2</c:v>
                </c:pt>
                <c:pt idx="18">
                  <c:v>1.4842409376245733E-2</c:v>
                </c:pt>
                <c:pt idx="19">
                  <c:v>1.4329089919378075E-2</c:v>
                </c:pt>
                <c:pt idx="20">
                  <c:v>1.383352343361635E-2</c:v>
                </c:pt>
                <c:pt idx="21">
                  <c:v>1.3355095938759979E-2</c:v>
                </c:pt>
                <c:pt idx="22">
                  <c:v>1.2893214688895557E-2</c:v>
                </c:pt>
                <c:pt idx="23">
                  <c:v>1.2447307438016589E-2</c:v>
                </c:pt>
                <c:pt idx="24">
                  <c:v>1.201682173104146E-2</c:v>
                </c:pt>
                <c:pt idx="25">
                  <c:v>1.160122421935135E-2</c:v>
                </c:pt>
                <c:pt idx="26">
                  <c:v>1.12E-2</c:v>
                </c:pt>
              </c:numCache>
            </c:numRef>
          </c:yVal>
          <c:smooth val="0"/>
        </c:ser>
        <c:ser>
          <c:idx val="1"/>
          <c:order val="1"/>
          <c:spPr>
            <a:ln w="28575">
              <a:solidFill>
                <a:schemeClr val="accent2">
                  <a:lumMod val="40000"/>
                  <a:lumOff val="60000"/>
                </a:schemeClr>
              </a:solidFill>
            </a:ln>
          </c:spPr>
          <c:marker>
            <c:symbol val="circle"/>
            <c:size val="2"/>
          </c:marker>
          <c:xVal>
            <c:numRef>
              <c:f>OscBC3!$B$56:$B$82</c:f>
              <c:numCache>
                <c:formatCode>General</c:formatCode>
                <c:ptCount val="27"/>
                <c:pt idx="0">
                  <c:v>1</c:v>
                </c:pt>
                <c:pt idx="1">
                  <c:v>0.99212598425196852</c:v>
                </c:pt>
                <c:pt idx="2">
                  <c:v>0.98425196850393704</c:v>
                </c:pt>
                <c:pt idx="3">
                  <c:v>0.97637795275590555</c:v>
                </c:pt>
                <c:pt idx="4">
                  <c:v>0.96850393700787396</c:v>
                </c:pt>
                <c:pt idx="5">
                  <c:v>0.96062992125984248</c:v>
                </c:pt>
                <c:pt idx="6">
                  <c:v>0.952755905511811</c:v>
                </c:pt>
                <c:pt idx="7">
                  <c:v>0.94488188976377951</c:v>
                </c:pt>
                <c:pt idx="8">
                  <c:v>0.86614173228346458</c:v>
                </c:pt>
                <c:pt idx="9">
                  <c:v>0.78740157480314965</c:v>
                </c:pt>
                <c:pt idx="10">
                  <c:v>0.75590551181102361</c:v>
                </c:pt>
                <c:pt idx="11">
                  <c:v>0.59842519685039375</c:v>
                </c:pt>
                <c:pt idx="12">
                  <c:v>0.50393700787401574</c:v>
                </c:pt>
                <c:pt idx="13">
                  <c:v>0.37795275590551181</c:v>
                </c:pt>
                <c:pt idx="14">
                  <c:v>0.25196850393700787</c:v>
                </c:pt>
                <c:pt idx="15">
                  <c:v>0.15748031496062992</c:v>
                </c:pt>
                <c:pt idx="16">
                  <c:v>0.10236220472440945</c:v>
                </c:pt>
                <c:pt idx="17">
                  <c:v>7.874015748031496E-2</c:v>
                </c:pt>
                <c:pt idx="18">
                  <c:v>6.2992125984251968E-2</c:v>
                </c:pt>
                <c:pt idx="19">
                  <c:v>5.5118110236220472E-2</c:v>
                </c:pt>
                <c:pt idx="20">
                  <c:v>4.7244094488188976E-2</c:v>
                </c:pt>
                <c:pt idx="21">
                  <c:v>3.937007874015748E-2</c:v>
                </c:pt>
                <c:pt idx="22">
                  <c:v>3.1496062992125984E-2</c:v>
                </c:pt>
                <c:pt idx="23">
                  <c:v>2.3622047244094488E-2</c:v>
                </c:pt>
                <c:pt idx="24">
                  <c:v>1.5748031496062992E-2</c:v>
                </c:pt>
                <c:pt idx="25">
                  <c:v>7.874015748031496E-3</c:v>
                </c:pt>
                <c:pt idx="26">
                  <c:v>0</c:v>
                </c:pt>
              </c:numCache>
            </c:numRef>
          </c:xVal>
          <c:yVal>
            <c:numRef>
              <c:f>OscBC3!$B$56:$B$82</c:f>
              <c:numCache>
                <c:formatCode>General</c:formatCode>
                <c:ptCount val="27"/>
                <c:pt idx="0">
                  <c:v>1</c:v>
                </c:pt>
                <c:pt idx="1">
                  <c:v>0.99212598425196852</c:v>
                </c:pt>
                <c:pt idx="2">
                  <c:v>0.98425196850393704</c:v>
                </c:pt>
                <c:pt idx="3">
                  <c:v>0.97637795275590555</c:v>
                </c:pt>
                <c:pt idx="4">
                  <c:v>0.96850393700787396</c:v>
                </c:pt>
                <c:pt idx="5">
                  <c:v>0.96062992125984248</c:v>
                </c:pt>
                <c:pt idx="6">
                  <c:v>0.952755905511811</c:v>
                </c:pt>
                <c:pt idx="7">
                  <c:v>0.94488188976377951</c:v>
                </c:pt>
                <c:pt idx="8">
                  <c:v>0.86614173228346458</c:v>
                </c:pt>
                <c:pt idx="9">
                  <c:v>0.78740157480314965</c:v>
                </c:pt>
                <c:pt idx="10">
                  <c:v>0.75590551181102361</c:v>
                </c:pt>
                <c:pt idx="11">
                  <c:v>0.59842519685039375</c:v>
                </c:pt>
                <c:pt idx="12">
                  <c:v>0.50393700787401574</c:v>
                </c:pt>
                <c:pt idx="13">
                  <c:v>0.37795275590551181</c:v>
                </c:pt>
                <c:pt idx="14">
                  <c:v>0.25196850393700787</c:v>
                </c:pt>
                <c:pt idx="15">
                  <c:v>0.15748031496062992</c:v>
                </c:pt>
                <c:pt idx="16">
                  <c:v>0.10236220472440945</c:v>
                </c:pt>
                <c:pt idx="17">
                  <c:v>7.874015748031496E-2</c:v>
                </c:pt>
                <c:pt idx="18">
                  <c:v>6.2992125984251968E-2</c:v>
                </c:pt>
                <c:pt idx="19">
                  <c:v>5.5118110236220472E-2</c:v>
                </c:pt>
                <c:pt idx="20">
                  <c:v>4.7244094488188976E-2</c:v>
                </c:pt>
                <c:pt idx="21">
                  <c:v>3.937007874015748E-2</c:v>
                </c:pt>
                <c:pt idx="22">
                  <c:v>3.1496062992125984E-2</c:v>
                </c:pt>
                <c:pt idx="23">
                  <c:v>2.3622047244094488E-2</c:v>
                </c:pt>
                <c:pt idx="24">
                  <c:v>1.5748031496062992E-2</c:v>
                </c:pt>
                <c:pt idx="25">
                  <c:v>7.874015748031496E-3</c:v>
                </c:pt>
                <c:pt idx="26">
                  <c:v>0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OscBC3!$D$55</c:f>
              <c:strCache>
                <c:ptCount val="1"/>
                <c:pt idx="0">
                  <c:v>cor-0.1</c:v>
                </c:pt>
              </c:strCache>
            </c:strRef>
          </c:tx>
          <c:spPr>
            <a:ln w="28575">
              <a:solidFill>
                <a:schemeClr val="accent3">
                  <a:lumMod val="60000"/>
                  <a:lumOff val="40000"/>
                </a:schemeClr>
              </a:solidFill>
            </a:ln>
          </c:spPr>
          <c:marker>
            <c:symbol val="triangle"/>
            <c:size val="2"/>
          </c:marker>
          <c:xVal>
            <c:numRef>
              <c:f>OscBC3!$B$56:$B$82</c:f>
              <c:numCache>
                <c:formatCode>General</c:formatCode>
                <c:ptCount val="27"/>
                <c:pt idx="0">
                  <c:v>1</c:v>
                </c:pt>
                <c:pt idx="1">
                  <c:v>0.99212598425196852</c:v>
                </c:pt>
                <c:pt idx="2">
                  <c:v>0.98425196850393704</c:v>
                </c:pt>
                <c:pt idx="3">
                  <c:v>0.97637795275590555</c:v>
                </c:pt>
                <c:pt idx="4">
                  <c:v>0.96850393700787396</c:v>
                </c:pt>
                <c:pt idx="5">
                  <c:v>0.96062992125984248</c:v>
                </c:pt>
                <c:pt idx="6">
                  <c:v>0.952755905511811</c:v>
                </c:pt>
                <c:pt idx="7">
                  <c:v>0.94488188976377951</c:v>
                </c:pt>
                <c:pt idx="8">
                  <c:v>0.86614173228346458</c:v>
                </c:pt>
                <c:pt idx="9">
                  <c:v>0.78740157480314965</c:v>
                </c:pt>
                <c:pt idx="10">
                  <c:v>0.75590551181102361</c:v>
                </c:pt>
                <c:pt idx="11">
                  <c:v>0.59842519685039375</c:v>
                </c:pt>
                <c:pt idx="12">
                  <c:v>0.50393700787401574</c:v>
                </c:pt>
                <c:pt idx="13">
                  <c:v>0.37795275590551181</c:v>
                </c:pt>
                <c:pt idx="14">
                  <c:v>0.25196850393700787</c:v>
                </c:pt>
                <c:pt idx="15">
                  <c:v>0.15748031496062992</c:v>
                </c:pt>
                <c:pt idx="16">
                  <c:v>0.10236220472440945</c:v>
                </c:pt>
                <c:pt idx="17">
                  <c:v>7.874015748031496E-2</c:v>
                </c:pt>
                <c:pt idx="18">
                  <c:v>6.2992125984251968E-2</c:v>
                </c:pt>
                <c:pt idx="19">
                  <c:v>5.5118110236220472E-2</c:v>
                </c:pt>
                <c:pt idx="20">
                  <c:v>4.7244094488188976E-2</c:v>
                </c:pt>
                <c:pt idx="21">
                  <c:v>3.937007874015748E-2</c:v>
                </c:pt>
                <c:pt idx="22">
                  <c:v>3.1496062992125984E-2</c:v>
                </c:pt>
                <c:pt idx="23">
                  <c:v>2.3622047244094488E-2</c:v>
                </c:pt>
                <c:pt idx="24">
                  <c:v>1.5748031496062992E-2</c:v>
                </c:pt>
                <c:pt idx="25">
                  <c:v>7.874015748031496E-3</c:v>
                </c:pt>
                <c:pt idx="26">
                  <c:v>0</c:v>
                </c:pt>
              </c:numCache>
            </c:numRef>
          </c:xVal>
          <c:yVal>
            <c:numRef>
              <c:f>OscBC3!$D$56:$D$82</c:f>
              <c:numCache>
                <c:formatCode>0.000</c:formatCode>
                <c:ptCount val="27"/>
                <c:pt idx="0">
                  <c:v>0.99774149122458722</c:v>
                </c:pt>
                <c:pt idx="1">
                  <c:v>0.96855878364397274</c:v>
                </c:pt>
                <c:pt idx="2">
                  <c:v>0.94022963425375672</c:v>
                </c:pt>
                <c:pt idx="3">
                  <c:v>0.91272907753001209</c:v>
                </c:pt>
                <c:pt idx="4">
                  <c:v>0.88603287815958065</c:v>
                </c:pt>
                <c:pt idx="5">
                  <c:v>0.86011750968231537</c:v>
                </c:pt>
                <c:pt idx="6">
                  <c:v>0.83496013375799816</c:v>
                </c:pt>
                <c:pt idx="7">
                  <c:v>0.81053858003968571</c:v>
                </c:pt>
                <c:pt idx="8">
                  <c:v>0.60235594819041227</c:v>
                </c:pt>
                <c:pt idx="9">
                  <c:v>0.44764394595826079</c:v>
                </c:pt>
                <c:pt idx="10">
                  <c:v>0.39752506768191587</c:v>
                </c:pt>
                <c:pt idx="11">
                  <c:v>0.21954499674246808</c:v>
                </c:pt>
                <c:pt idx="12">
                  <c:v>0.15375135745360502</c:v>
                </c:pt>
                <c:pt idx="13">
                  <c:v>9.5619436082232084E-2</c:v>
                </c:pt>
                <c:pt idx="14">
                  <c:v>5.9466639567348309E-2</c:v>
                </c:pt>
                <c:pt idx="15">
                  <c:v>4.1645570121596212E-2</c:v>
                </c:pt>
                <c:pt idx="16">
                  <c:v>3.3831750576867194E-2</c:v>
                </c:pt>
                <c:pt idx="17">
                  <c:v>3.0949121357426494E-2</c:v>
                </c:pt>
                <c:pt idx="18">
                  <c:v>2.9165150803393949E-2</c:v>
                </c:pt>
                <c:pt idx="19">
                  <c:v>2.8312106127066666E-2</c:v>
                </c:pt>
                <c:pt idx="20">
                  <c:v>2.7484011955014705E-2</c:v>
                </c:pt>
                <c:pt idx="21">
                  <c:v>2.6680138515772542E-2</c:v>
                </c:pt>
                <c:pt idx="22">
                  <c:v>2.5899777382789622E-2</c:v>
                </c:pt>
                <c:pt idx="23">
                  <c:v>2.5142240850117917E-2</c:v>
                </c:pt>
                <c:pt idx="24">
                  <c:v>2.4406861326359872E-2</c:v>
                </c:pt>
                <c:pt idx="25">
                  <c:v>2.369299074634262E-2</c:v>
                </c:pt>
                <c:pt idx="26">
                  <c:v>2.3E-2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OscBC3!$E$55</c:f>
              <c:strCache>
                <c:ptCount val="1"/>
                <c:pt idx="0">
                  <c:v>cor-0.05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2"/>
          </c:marker>
          <c:trendline>
            <c:trendlineType val="power"/>
            <c:dispRSqr val="0"/>
            <c:dispEq val="0"/>
          </c:trendline>
          <c:trendline>
            <c:trendlineType val="power"/>
            <c:dispRSqr val="0"/>
            <c:dispEq val="0"/>
          </c:trendline>
          <c:trendline>
            <c:trendlineType val="log"/>
            <c:dispRSqr val="0"/>
            <c:dispEq val="0"/>
          </c:trendline>
          <c:trendline>
            <c:trendlineType val="power"/>
            <c:dispRSqr val="0"/>
            <c:dispEq val="0"/>
          </c:trendline>
          <c:xVal>
            <c:numRef>
              <c:f>OscBC3!$B$56:$B$82</c:f>
              <c:numCache>
                <c:formatCode>General</c:formatCode>
                <c:ptCount val="27"/>
                <c:pt idx="0">
                  <c:v>1</c:v>
                </c:pt>
                <c:pt idx="1">
                  <c:v>0.99212598425196852</c:v>
                </c:pt>
                <c:pt idx="2">
                  <c:v>0.98425196850393704</c:v>
                </c:pt>
                <c:pt idx="3">
                  <c:v>0.97637795275590555</c:v>
                </c:pt>
                <c:pt idx="4">
                  <c:v>0.96850393700787396</c:v>
                </c:pt>
                <c:pt idx="5">
                  <c:v>0.96062992125984248</c:v>
                </c:pt>
                <c:pt idx="6">
                  <c:v>0.952755905511811</c:v>
                </c:pt>
                <c:pt idx="7">
                  <c:v>0.94488188976377951</c:v>
                </c:pt>
                <c:pt idx="8">
                  <c:v>0.86614173228346458</c:v>
                </c:pt>
                <c:pt idx="9">
                  <c:v>0.78740157480314965</c:v>
                </c:pt>
                <c:pt idx="10">
                  <c:v>0.75590551181102361</c:v>
                </c:pt>
                <c:pt idx="11">
                  <c:v>0.59842519685039375</c:v>
                </c:pt>
                <c:pt idx="12">
                  <c:v>0.50393700787401574</c:v>
                </c:pt>
                <c:pt idx="13">
                  <c:v>0.37795275590551181</c:v>
                </c:pt>
                <c:pt idx="14">
                  <c:v>0.25196850393700787</c:v>
                </c:pt>
                <c:pt idx="15">
                  <c:v>0.15748031496062992</c:v>
                </c:pt>
                <c:pt idx="16">
                  <c:v>0.10236220472440945</c:v>
                </c:pt>
                <c:pt idx="17">
                  <c:v>7.874015748031496E-2</c:v>
                </c:pt>
                <c:pt idx="18">
                  <c:v>6.2992125984251968E-2</c:v>
                </c:pt>
                <c:pt idx="19">
                  <c:v>5.5118110236220472E-2</c:v>
                </c:pt>
                <c:pt idx="20">
                  <c:v>4.7244094488188976E-2</c:v>
                </c:pt>
                <c:pt idx="21">
                  <c:v>3.937007874015748E-2</c:v>
                </c:pt>
                <c:pt idx="22">
                  <c:v>3.1496062992125984E-2</c:v>
                </c:pt>
                <c:pt idx="23">
                  <c:v>2.3622047244094488E-2</c:v>
                </c:pt>
                <c:pt idx="24">
                  <c:v>1.5748031496062992E-2</c:v>
                </c:pt>
                <c:pt idx="25">
                  <c:v>7.874015748031496E-3</c:v>
                </c:pt>
                <c:pt idx="26">
                  <c:v>0</c:v>
                </c:pt>
              </c:numCache>
            </c:numRef>
          </c:xVal>
          <c:yVal>
            <c:numRef>
              <c:f>OscBC3!$E$56:$E$82</c:f>
              <c:numCache>
                <c:formatCode>0.000</c:formatCode>
                <c:ptCount val="27"/>
                <c:pt idx="0">
                  <c:v>1.0042768461593834</c:v>
                </c:pt>
                <c:pt idx="1">
                  <c:v>0.98083177157104984</c:v>
                </c:pt>
                <c:pt idx="2">
                  <c:v>0.95793402765608038</c:v>
                </c:pt>
                <c:pt idx="3">
                  <c:v>0.93557083685367548</c:v>
                </c:pt>
                <c:pt idx="4">
                  <c:v>0.913729719898139</c:v>
                </c:pt>
                <c:pt idx="5">
                  <c:v>0.89239848885511108</c:v>
                </c:pt>
                <c:pt idx="6">
                  <c:v>0.87156524032037019</c:v>
                </c:pt>
                <c:pt idx="7">
                  <c:v>0.85121834877741098</c:v>
                </c:pt>
                <c:pt idx="8">
                  <c:v>0.67212759921234411</c:v>
                </c:pt>
                <c:pt idx="9">
                  <c:v>0.53071636704236647</c:v>
                </c:pt>
                <c:pt idx="10">
                  <c:v>0.48286617306520929</c:v>
                </c:pt>
                <c:pt idx="11">
                  <c:v>0.30105669303873328</c:v>
                </c:pt>
                <c:pt idx="12">
                  <c:v>0.22674681192987142</c:v>
                </c:pt>
                <c:pt idx="13">
                  <c:v>0.15538117213247063</c:v>
                </c:pt>
                <c:pt idx="14">
                  <c:v>0.1064769486625794</c:v>
                </c:pt>
                <c:pt idx="15">
                  <c:v>8.0195223064362331E-2</c:v>
                </c:pt>
                <c:pt idx="16">
                  <c:v>6.7972935568255552E-2</c:v>
                </c:pt>
                <c:pt idx="17">
                  <c:v>6.3322674874156382E-2</c:v>
                </c:pt>
                <c:pt idx="18">
                  <c:v>6.0400620820974554E-2</c:v>
                </c:pt>
                <c:pt idx="19">
                  <c:v>5.8990554397811513E-2</c:v>
                </c:pt>
                <c:pt idx="20">
                  <c:v>5.7613406300498576E-2</c:v>
                </c:pt>
                <c:pt idx="21">
                  <c:v>5.6268408043126827E-2</c:v>
                </c:pt>
                <c:pt idx="22">
                  <c:v>5.4954809080268202E-2</c:v>
                </c:pt>
                <c:pt idx="23">
                  <c:v>5.3671876388150699E-2</c:v>
                </c:pt>
                <c:pt idx="24">
                  <c:v>5.2418894055611377E-2</c:v>
                </c:pt>
                <c:pt idx="25">
                  <c:v>5.1195162884598466E-2</c:v>
                </c:pt>
                <c:pt idx="26">
                  <c:v>0.05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OscBC3!$G$55</c:f>
              <c:strCache>
                <c:ptCount val="1"/>
                <c:pt idx="0">
                  <c:v>interp</c:v>
                </c:pt>
              </c:strCache>
            </c:strRef>
          </c:tx>
          <c:spPr>
            <a:ln w="28575">
              <a:noFill/>
            </a:ln>
          </c:spPr>
          <c:marker>
            <c:symbol val="plus"/>
            <c:size val="2"/>
          </c:marker>
          <c:xVal>
            <c:numRef>
              <c:f>OscBC3!$B$56:$B$82</c:f>
              <c:numCache>
                <c:formatCode>General</c:formatCode>
                <c:ptCount val="27"/>
                <c:pt idx="0">
                  <c:v>1</c:v>
                </c:pt>
                <c:pt idx="1">
                  <c:v>0.99212598425196852</c:v>
                </c:pt>
                <c:pt idx="2">
                  <c:v>0.98425196850393704</c:v>
                </c:pt>
                <c:pt idx="3">
                  <c:v>0.97637795275590555</c:v>
                </c:pt>
                <c:pt idx="4">
                  <c:v>0.96850393700787396</c:v>
                </c:pt>
                <c:pt idx="5">
                  <c:v>0.96062992125984248</c:v>
                </c:pt>
                <c:pt idx="6">
                  <c:v>0.952755905511811</c:v>
                </c:pt>
                <c:pt idx="7">
                  <c:v>0.94488188976377951</c:v>
                </c:pt>
                <c:pt idx="8">
                  <c:v>0.86614173228346458</c:v>
                </c:pt>
                <c:pt idx="9">
                  <c:v>0.78740157480314965</c:v>
                </c:pt>
                <c:pt idx="10">
                  <c:v>0.75590551181102361</c:v>
                </c:pt>
                <c:pt idx="11">
                  <c:v>0.59842519685039375</c:v>
                </c:pt>
                <c:pt idx="12">
                  <c:v>0.50393700787401574</c:v>
                </c:pt>
                <c:pt idx="13">
                  <c:v>0.37795275590551181</c:v>
                </c:pt>
                <c:pt idx="14">
                  <c:v>0.25196850393700787</c:v>
                </c:pt>
                <c:pt idx="15">
                  <c:v>0.15748031496062992</c:v>
                </c:pt>
                <c:pt idx="16">
                  <c:v>0.10236220472440945</c:v>
                </c:pt>
                <c:pt idx="17">
                  <c:v>7.874015748031496E-2</c:v>
                </c:pt>
                <c:pt idx="18">
                  <c:v>6.2992125984251968E-2</c:v>
                </c:pt>
                <c:pt idx="19">
                  <c:v>5.5118110236220472E-2</c:v>
                </c:pt>
                <c:pt idx="20">
                  <c:v>4.7244094488188976E-2</c:v>
                </c:pt>
                <c:pt idx="21">
                  <c:v>3.937007874015748E-2</c:v>
                </c:pt>
                <c:pt idx="22">
                  <c:v>3.1496062992125984E-2</c:v>
                </c:pt>
                <c:pt idx="23">
                  <c:v>2.3622047244094488E-2</c:v>
                </c:pt>
                <c:pt idx="24">
                  <c:v>1.5748031496062992E-2</c:v>
                </c:pt>
                <c:pt idx="25">
                  <c:v>7.874015748031496E-3</c:v>
                </c:pt>
                <c:pt idx="26">
                  <c:v>0</c:v>
                </c:pt>
              </c:numCache>
            </c:numRef>
          </c:xVal>
          <c:yVal>
            <c:numRef>
              <c:f>OscBC3!$G$56:$G$82</c:f>
              <c:numCache>
                <c:formatCode>0.000</c:formatCode>
                <c:ptCount val="27"/>
                <c:pt idx="0">
                  <c:v>1.0021384230796917</c:v>
                </c:pt>
                <c:pt idx="1">
                  <c:v>0.98647887791150923</c:v>
                </c:pt>
                <c:pt idx="2">
                  <c:v>0.97109299808000871</c:v>
                </c:pt>
                <c:pt idx="3">
                  <c:v>0.95597439480479052</c:v>
                </c:pt>
                <c:pt idx="4">
                  <c:v>0.94111682845300648</c:v>
                </c:pt>
                <c:pt idx="5">
                  <c:v>0.92651420505747684</c:v>
                </c:pt>
                <c:pt idx="6">
                  <c:v>0.91216057291609065</c:v>
                </c:pt>
                <c:pt idx="7">
                  <c:v>0.89805011927059519</c:v>
                </c:pt>
                <c:pt idx="8">
                  <c:v>0.76913466574790434</c:v>
                </c:pt>
                <c:pt idx="9">
                  <c:v>0.65905897092275811</c:v>
                </c:pt>
                <c:pt idx="10">
                  <c:v>0.61938584243811645</c:v>
                </c:pt>
                <c:pt idx="11">
                  <c:v>0.44974094494456351</c:v>
                </c:pt>
                <c:pt idx="12">
                  <c:v>0.3653419099019436</c:v>
                </c:pt>
                <c:pt idx="13">
                  <c:v>0.2666669640189912</c:v>
                </c:pt>
                <c:pt idx="14">
                  <c:v>0.17922272629979363</c:v>
                </c:pt>
                <c:pt idx="15">
                  <c:v>0.11883776901249613</c:v>
                </c:pt>
                <c:pt idx="16">
                  <c:v>8.51675701463325E-2</c:v>
                </c:pt>
                <c:pt idx="17">
                  <c:v>7.1031416177235671E-2</c:v>
                </c:pt>
                <c:pt idx="18">
                  <c:v>6.1696373402613261E-2</c:v>
                </c:pt>
                <c:pt idx="19">
                  <c:v>5.7054332317015996E-2</c:v>
                </c:pt>
                <c:pt idx="20">
                  <c:v>5.2428750394343776E-2</c:v>
                </c:pt>
                <c:pt idx="21">
                  <c:v>4.7819243391642154E-2</c:v>
                </c:pt>
                <c:pt idx="22">
                  <c:v>4.3225436036197093E-2</c:v>
                </c:pt>
                <c:pt idx="23">
                  <c:v>3.8646961816122594E-2</c:v>
                </c:pt>
                <c:pt idx="24">
                  <c:v>3.4083462775837181E-2</c:v>
                </c:pt>
                <c:pt idx="25">
                  <c:v>2.9534589316314981E-2</c:v>
                </c:pt>
                <c:pt idx="26">
                  <c:v>2.5000000000000001E-2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6311168"/>
        <c:axId val="306312704"/>
      </c:scatterChart>
      <c:valAx>
        <c:axId val="3063111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06312704"/>
        <c:crosses val="autoZero"/>
        <c:crossBetween val="midCat"/>
      </c:valAx>
      <c:valAx>
        <c:axId val="306312704"/>
        <c:scaling>
          <c:orientation val="minMax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crossAx val="306311168"/>
        <c:crosses val="autoZero"/>
        <c:crossBetween val="midCat"/>
      </c:valAx>
    </c:plotArea>
    <c:legend>
      <c:legendPos val="r"/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circle"/>
            <c:size val="2"/>
          </c:marker>
          <c:xVal>
            <c:numRef>
              <c:f>KnobCurveData!$C$3:$C$130</c:f>
              <c:numCache>
                <c:formatCode>General</c:formatCode>
                <c:ptCount val="12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</c:numCache>
            </c:numRef>
          </c:xVal>
          <c:yVal>
            <c:numRef>
              <c:f>KnobCurveData!$D$3:$D$130</c:f>
              <c:numCache>
                <c:formatCode>General</c:formatCode>
                <c:ptCount val="128"/>
                <c:pt idx="0">
                  <c:v>25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2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3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1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2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2</c:v>
                </c:pt>
                <c:pt idx="57">
                  <c:v>2</c:v>
                </c:pt>
                <c:pt idx="58">
                  <c:v>3</c:v>
                </c:pt>
                <c:pt idx="59">
                  <c:v>0</c:v>
                </c:pt>
                <c:pt idx="60">
                  <c:v>13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330</c:v>
                </c:pt>
                <c:pt idx="65">
                  <c:v>0</c:v>
                </c:pt>
                <c:pt idx="66">
                  <c:v>1</c:v>
                </c:pt>
                <c:pt idx="67">
                  <c:v>0</c:v>
                </c:pt>
                <c:pt idx="68">
                  <c:v>35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45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37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23</c:v>
                </c:pt>
                <c:pt idx="81">
                  <c:v>0</c:v>
                </c:pt>
                <c:pt idx="82">
                  <c:v>17</c:v>
                </c:pt>
                <c:pt idx="83">
                  <c:v>0</c:v>
                </c:pt>
                <c:pt idx="84">
                  <c:v>9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20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8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1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2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9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1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2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143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4816128"/>
        <c:axId val="304817664"/>
      </c:scatterChart>
      <c:valAx>
        <c:axId val="3048161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04817664"/>
        <c:crosses val="autoZero"/>
        <c:crossBetween val="midCat"/>
      </c:valAx>
      <c:valAx>
        <c:axId val="3048176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0481612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NoiseBreathCurve!$D$5</c:f>
              <c:strCache>
                <c:ptCount val="1"/>
                <c:pt idx="0">
                  <c:v>level10% Bknob -50%</c:v>
                </c:pt>
              </c:strCache>
            </c:strRef>
          </c:tx>
          <c:spPr>
            <a:ln w="28575">
              <a:noFill/>
            </a:ln>
          </c:spPr>
          <c:trendline>
            <c:trendlineType val="linear"/>
            <c:dispRSqr val="0"/>
            <c:dispEq val="1"/>
            <c:trendlineLbl>
              <c:numFmt formatCode="General" sourceLinked="0"/>
            </c:trendlineLbl>
          </c:trendline>
          <c:xVal>
            <c:numRef>
              <c:f>NoiseBreathCurve!$C$6:$C$8</c:f>
              <c:numCache>
                <c:formatCode>General</c:formatCode>
                <c:ptCount val="3"/>
                <c:pt idx="0">
                  <c:v>1</c:v>
                </c:pt>
                <c:pt idx="1">
                  <c:v>0.97637795275590555</c:v>
                </c:pt>
                <c:pt idx="2">
                  <c:v>0.94488188976377951</c:v>
                </c:pt>
              </c:numCache>
            </c:numRef>
          </c:xVal>
          <c:yVal>
            <c:numRef>
              <c:f>NoiseBreathCurve!$D$6:$D$8</c:f>
              <c:numCache>
                <c:formatCode>General</c:formatCode>
                <c:ptCount val="3"/>
                <c:pt idx="0">
                  <c:v>1</c:v>
                </c:pt>
                <c:pt idx="1">
                  <c:v>0.72463768115942029</c:v>
                </c:pt>
                <c:pt idx="2">
                  <c:v>0.43478260869565216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5040000"/>
        <c:axId val="305045888"/>
      </c:scatterChart>
      <c:valAx>
        <c:axId val="3050400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05045888"/>
        <c:crosses val="autoZero"/>
        <c:crossBetween val="midCat"/>
      </c:valAx>
      <c:valAx>
        <c:axId val="3050458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0504000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0"/>
            <c:dispEq val="1"/>
            <c:trendlineLbl>
              <c:numFmt formatCode="General" sourceLinked="0"/>
            </c:trendlineLbl>
          </c:trendline>
          <c:xVal>
            <c:numRef>
              <c:f>NoiseBreathCurve!$C$9:$D$9</c:f>
              <c:numCache>
                <c:formatCode>General</c:formatCode>
                <c:ptCount val="2"/>
                <c:pt idx="0">
                  <c:v>0.75590551181102361</c:v>
                </c:pt>
                <c:pt idx="1">
                  <c:v>0.23188405797101452</c:v>
                </c:pt>
              </c:numCache>
            </c:numRef>
          </c:xVal>
          <c:yVal>
            <c:numRef>
              <c:f>NoiseBreathCurve!$C$10:$D$10</c:f>
              <c:numCache>
                <c:formatCode>General</c:formatCode>
                <c:ptCount val="2"/>
                <c:pt idx="0">
                  <c:v>0.50393700787401574</c:v>
                </c:pt>
                <c:pt idx="1">
                  <c:v>7.2463768115942032E-2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6709632"/>
        <c:axId val="306711168"/>
      </c:scatterChart>
      <c:valAx>
        <c:axId val="3067096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06711168"/>
        <c:crosses val="autoZero"/>
        <c:crossBetween val="midCat"/>
      </c:valAx>
      <c:valAx>
        <c:axId val="3067111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0670963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0"/>
            <c:dispEq val="1"/>
            <c:trendlineLbl>
              <c:numFmt formatCode="General" sourceLinked="0"/>
            </c:trendlineLbl>
          </c:trendline>
          <c:xVal>
            <c:numRef>
              <c:f>NoiseBreathCurve!$C$10:$C$11</c:f>
              <c:numCache>
                <c:formatCode>General</c:formatCode>
                <c:ptCount val="2"/>
                <c:pt idx="0">
                  <c:v>0.50393700787401574</c:v>
                </c:pt>
                <c:pt idx="1">
                  <c:v>0</c:v>
                </c:pt>
              </c:numCache>
            </c:numRef>
          </c:xVal>
          <c:yVal>
            <c:numRef>
              <c:f>NoiseBreathCurve!$D$10:$D$11</c:f>
              <c:numCache>
                <c:formatCode>General</c:formatCode>
                <c:ptCount val="2"/>
                <c:pt idx="0">
                  <c:v>7.2463768115942032E-2</c:v>
                </c:pt>
                <c:pt idx="1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6736128"/>
        <c:axId val="306737920"/>
      </c:scatterChart>
      <c:valAx>
        <c:axId val="3067361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06737920"/>
        <c:crosses val="autoZero"/>
        <c:crossBetween val="midCat"/>
      </c:valAx>
      <c:valAx>
        <c:axId val="3067379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0673612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Osc1Level!$G$2</c:f>
              <c:strCache>
                <c:ptCount val="1"/>
                <c:pt idx="0">
                  <c:v>LevelNorm</c:v>
                </c:pt>
              </c:strCache>
            </c:strRef>
          </c:tx>
          <c:spPr>
            <a:ln w="28575">
              <a:noFill/>
            </a:ln>
          </c:spPr>
          <c:xVal>
            <c:numRef>
              <c:f>Osc1Level!$F$3:$F$130</c:f>
              <c:numCache>
                <c:formatCode>General</c:formatCode>
                <c:ptCount val="128"/>
                <c:pt idx="0">
                  <c:v>1</c:v>
                </c:pt>
                <c:pt idx="1">
                  <c:v>0.99212598425196852</c:v>
                </c:pt>
                <c:pt idx="2">
                  <c:v>0.98425196850393704</c:v>
                </c:pt>
                <c:pt idx="3">
                  <c:v>0.97637795275590555</c:v>
                </c:pt>
                <c:pt idx="4">
                  <c:v>0.96850393700787396</c:v>
                </c:pt>
                <c:pt idx="5">
                  <c:v>0.96062992125984248</c:v>
                </c:pt>
                <c:pt idx="6">
                  <c:v>0.952755905511811</c:v>
                </c:pt>
                <c:pt idx="7">
                  <c:v>0.94488188976377951</c:v>
                </c:pt>
                <c:pt idx="8">
                  <c:v>0.93700787401574803</c:v>
                </c:pt>
                <c:pt idx="9">
                  <c:v>0.92913385826771655</c:v>
                </c:pt>
                <c:pt idx="10">
                  <c:v>0.92125984251968507</c:v>
                </c:pt>
                <c:pt idx="11">
                  <c:v>0.91338582677165359</c:v>
                </c:pt>
                <c:pt idx="12">
                  <c:v>0.90551181102362199</c:v>
                </c:pt>
                <c:pt idx="13">
                  <c:v>0.89763779527559051</c:v>
                </c:pt>
                <c:pt idx="14">
                  <c:v>0.88976377952755903</c:v>
                </c:pt>
                <c:pt idx="15">
                  <c:v>0.88188976377952755</c:v>
                </c:pt>
                <c:pt idx="16">
                  <c:v>0.87401574803149606</c:v>
                </c:pt>
                <c:pt idx="17">
                  <c:v>0.86614173228346458</c:v>
                </c:pt>
                <c:pt idx="18">
                  <c:v>0.8582677165354331</c:v>
                </c:pt>
                <c:pt idx="19">
                  <c:v>0.85039370078740162</c:v>
                </c:pt>
                <c:pt idx="20">
                  <c:v>0.84251968503937003</c:v>
                </c:pt>
                <c:pt idx="21">
                  <c:v>0.83464566929133854</c:v>
                </c:pt>
                <c:pt idx="22">
                  <c:v>0.82677165354330706</c:v>
                </c:pt>
                <c:pt idx="23">
                  <c:v>0.81889763779527558</c:v>
                </c:pt>
                <c:pt idx="24">
                  <c:v>0.8110236220472441</c:v>
                </c:pt>
                <c:pt idx="25">
                  <c:v>0.80314960629921262</c:v>
                </c:pt>
                <c:pt idx="26">
                  <c:v>0.79527559055118113</c:v>
                </c:pt>
                <c:pt idx="27">
                  <c:v>0.78740157480314965</c:v>
                </c:pt>
                <c:pt idx="28">
                  <c:v>0.77952755905511806</c:v>
                </c:pt>
                <c:pt idx="29">
                  <c:v>0.77165354330708658</c:v>
                </c:pt>
                <c:pt idx="30">
                  <c:v>0.76377952755905509</c:v>
                </c:pt>
                <c:pt idx="31">
                  <c:v>0.75590551181102361</c:v>
                </c:pt>
                <c:pt idx="32">
                  <c:v>0.74803149606299213</c:v>
                </c:pt>
                <c:pt idx="33">
                  <c:v>0.74015748031496065</c:v>
                </c:pt>
                <c:pt idx="34">
                  <c:v>0.73228346456692917</c:v>
                </c:pt>
                <c:pt idx="35">
                  <c:v>0.72440944881889768</c:v>
                </c:pt>
                <c:pt idx="36">
                  <c:v>0.71653543307086609</c:v>
                </c:pt>
                <c:pt idx="37">
                  <c:v>0.70866141732283461</c:v>
                </c:pt>
                <c:pt idx="38">
                  <c:v>0.70078740157480313</c:v>
                </c:pt>
                <c:pt idx="39">
                  <c:v>0.69291338582677164</c:v>
                </c:pt>
                <c:pt idx="40">
                  <c:v>0.68503937007874016</c:v>
                </c:pt>
                <c:pt idx="41">
                  <c:v>0.67716535433070868</c:v>
                </c:pt>
                <c:pt idx="42">
                  <c:v>0.6692913385826772</c:v>
                </c:pt>
                <c:pt idx="43">
                  <c:v>0.66141732283464572</c:v>
                </c:pt>
                <c:pt idx="44">
                  <c:v>0.65354330708661412</c:v>
                </c:pt>
                <c:pt idx="45">
                  <c:v>0.64566929133858264</c:v>
                </c:pt>
                <c:pt idx="46">
                  <c:v>0.63779527559055116</c:v>
                </c:pt>
                <c:pt idx="47">
                  <c:v>0.62992125984251968</c:v>
                </c:pt>
                <c:pt idx="48">
                  <c:v>0.62204724409448819</c:v>
                </c:pt>
                <c:pt idx="49">
                  <c:v>0.61417322834645671</c:v>
                </c:pt>
                <c:pt idx="50">
                  <c:v>0.60629921259842523</c:v>
                </c:pt>
                <c:pt idx="51">
                  <c:v>0.59842519685039375</c:v>
                </c:pt>
                <c:pt idx="52">
                  <c:v>0.59055118110236215</c:v>
                </c:pt>
                <c:pt idx="53">
                  <c:v>0.58267716535433067</c:v>
                </c:pt>
                <c:pt idx="54">
                  <c:v>0.57480314960629919</c:v>
                </c:pt>
                <c:pt idx="55">
                  <c:v>0.56692913385826771</c:v>
                </c:pt>
                <c:pt idx="56">
                  <c:v>0.55905511811023623</c:v>
                </c:pt>
                <c:pt idx="57">
                  <c:v>0.55118110236220474</c:v>
                </c:pt>
                <c:pt idx="58">
                  <c:v>0.54330708661417326</c:v>
                </c:pt>
                <c:pt idx="59">
                  <c:v>0.53543307086614178</c:v>
                </c:pt>
                <c:pt idx="60">
                  <c:v>0.52755905511811019</c:v>
                </c:pt>
                <c:pt idx="61">
                  <c:v>0.51968503937007871</c:v>
                </c:pt>
                <c:pt idx="62">
                  <c:v>0.51181102362204722</c:v>
                </c:pt>
                <c:pt idx="63">
                  <c:v>0.50393700787401574</c:v>
                </c:pt>
                <c:pt idx="64">
                  <c:v>0.49606299212598426</c:v>
                </c:pt>
                <c:pt idx="65">
                  <c:v>0.48818897637795278</c:v>
                </c:pt>
                <c:pt idx="66">
                  <c:v>0.48031496062992124</c:v>
                </c:pt>
                <c:pt idx="67">
                  <c:v>0.47244094488188976</c:v>
                </c:pt>
                <c:pt idx="68">
                  <c:v>0.46456692913385828</c:v>
                </c:pt>
                <c:pt idx="69">
                  <c:v>0.45669291338582679</c:v>
                </c:pt>
                <c:pt idx="70">
                  <c:v>0.44881889763779526</c:v>
                </c:pt>
                <c:pt idx="71">
                  <c:v>0.44094488188976377</c:v>
                </c:pt>
                <c:pt idx="72">
                  <c:v>0.43307086614173229</c:v>
                </c:pt>
                <c:pt idx="73">
                  <c:v>0.42519685039370081</c:v>
                </c:pt>
                <c:pt idx="74">
                  <c:v>0.41732283464566927</c:v>
                </c:pt>
                <c:pt idx="75">
                  <c:v>0.40944881889763779</c:v>
                </c:pt>
                <c:pt idx="76">
                  <c:v>0.40157480314960631</c:v>
                </c:pt>
                <c:pt idx="77">
                  <c:v>0.39370078740157483</c:v>
                </c:pt>
                <c:pt idx="78">
                  <c:v>0.38582677165354329</c:v>
                </c:pt>
                <c:pt idx="79">
                  <c:v>0.37795275590551181</c:v>
                </c:pt>
                <c:pt idx="80">
                  <c:v>0.37007874015748032</c:v>
                </c:pt>
                <c:pt idx="81">
                  <c:v>0.36220472440944884</c:v>
                </c:pt>
                <c:pt idx="82">
                  <c:v>0.3543307086614173</c:v>
                </c:pt>
                <c:pt idx="83">
                  <c:v>0.34645669291338582</c:v>
                </c:pt>
                <c:pt idx="84">
                  <c:v>0.33858267716535434</c:v>
                </c:pt>
                <c:pt idx="85">
                  <c:v>0.33070866141732286</c:v>
                </c:pt>
                <c:pt idx="86">
                  <c:v>0.32283464566929132</c:v>
                </c:pt>
                <c:pt idx="87">
                  <c:v>0.31496062992125984</c:v>
                </c:pt>
                <c:pt idx="88">
                  <c:v>0.30708661417322836</c:v>
                </c:pt>
                <c:pt idx="89">
                  <c:v>0.29921259842519687</c:v>
                </c:pt>
                <c:pt idx="90">
                  <c:v>0.29133858267716534</c:v>
                </c:pt>
                <c:pt idx="91">
                  <c:v>0.28346456692913385</c:v>
                </c:pt>
                <c:pt idx="92">
                  <c:v>0.27559055118110237</c:v>
                </c:pt>
                <c:pt idx="93">
                  <c:v>0.26771653543307089</c:v>
                </c:pt>
                <c:pt idx="94">
                  <c:v>0.25984251968503935</c:v>
                </c:pt>
                <c:pt idx="95">
                  <c:v>0.25196850393700787</c:v>
                </c:pt>
                <c:pt idx="96">
                  <c:v>0.24409448818897639</c:v>
                </c:pt>
                <c:pt idx="97">
                  <c:v>0.23622047244094488</c:v>
                </c:pt>
                <c:pt idx="98">
                  <c:v>0.2283464566929134</c:v>
                </c:pt>
                <c:pt idx="99">
                  <c:v>0.22047244094488189</c:v>
                </c:pt>
                <c:pt idx="100">
                  <c:v>0.2125984251968504</c:v>
                </c:pt>
                <c:pt idx="101">
                  <c:v>0.20472440944881889</c:v>
                </c:pt>
                <c:pt idx="102">
                  <c:v>0.19685039370078741</c:v>
                </c:pt>
                <c:pt idx="103">
                  <c:v>0.1889763779527559</c:v>
                </c:pt>
                <c:pt idx="104">
                  <c:v>0.18110236220472442</c:v>
                </c:pt>
                <c:pt idx="105">
                  <c:v>0.17322834645669291</c:v>
                </c:pt>
                <c:pt idx="106">
                  <c:v>0.16535433070866143</c:v>
                </c:pt>
                <c:pt idx="107">
                  <c:v>0.15748031496062992</c:v>
                </c:pt>
                <c:pt idx="108">
                  <c:v>0.14960629921259844</c:v>
                </c:pt>
                <c:pt idx="109">
                  <c:v>0.14173228346456693</c:v>
                </c:pt>
                <c:pt idx="110">
                  <c:v>0.13385826771653545</c:v>
                </c:pt>
                <c:pt idx="111">
                  <c:v>0.12598425196850394</c:v>
                </c:pt>
                <c:pt idx="112">
                  <c:v>0.11811023622047244</c:v>
                </c:pt>
                <c:pt idx="113">
                  <c:v>0.11023622047244094</c:v>
                </c:pt>
                <c:pt idx="114">
                  <c:v>0.10236220472440945</c:v>
                </c:pt>
                <c:pt idx="115">
                  <c:v>9.4488188976377951E-2</c:v>
                </c:pt>
                <c:pt idx="116">
                  <c:v>8.6614173228346455E-2</c:v>
                </c:pt>
                <c:pt idx="117">
                  <c:v>7.874015748031496E-2</c:v>
                </c:pt>
                <c:pt idx="118">
                  <c:v>7.0866141732283464E-2</c:v>
                </c:pt>
                <c:pt idx="119">
                  <c:v>6.2992125984251968E-2</c:v>
                </c:pt>
                <c:pt idx="120">
                  <c:v>5.5118110236220472E-2</c:v>
                </c:pt>
                <c:pt idx="121">
                  <c:v>4.7244094488188976E-2</c:v>
                </c:pt>
                <c:pt idx="122">
                  <c:v>3.937007874015748E-2</c:v>
                </c:pt>
                <c:pt idx="123">
                  <c:v>3.1496062992125984E-2</c:v>
                </c:pt>
                <c:pt idx="124">
                  <c:v>2.3622047244094488E-2</c:v>
                </c:pt>
                <c:pt idx="125">
                  <c:v>1.5748031496062992E-2</c:v>
                </c:pt>
                <c:pt idx="126">
                  <c:v>7.874015748031496E-3</c:v>
                </c:pt>
                <c:pt idx="127">
                  <c:v>0</c:v>
                </c:pt>
              </c:numCache>
            </c:numRef>
          </c:xVal>
          <c:yVal>
            <c:numRef>
              <c:f>Osc1Level!$G$3:$G$130</c:f>
              <c:numCache>
                <c:formatCode>General</c:formatCode>
                <c:ptCount val="128"/>
                <c:pt idx="0">
                  <c:v>1</c:v>
                </c:pt>
                <c:pt idx="19">
                  <c:v>0.84358288770053469</c:v>
                </c:pt>
                <c:pt idx="31">
                  <c:v>0.74064171122994649</c:v>
                </c:pt>
                <c:pt idx="48">
                  <c:v>0.59893048128342241</c:v>
                </c:pt>
                <c:pt idx="63">
                  <c:v>0.47192513368983957</c:v>
                </c:pt>
                <c:pt idx="79">
                  <c:v>0.32486631016042783</c:v>
                </c:pt>
                <c:pt idx="95">
                  <c:v>0.20588235294117652</c:v>
                </c:pt>
                <c:pt idx="105">
                  <c:v>0.12566844919786094</c:v>
                </c:pt>
                <c:pt idx="111">
                  <c:v>8.155080213903744E-2</c:v>
                </c:pt>
                <c:pt idx="119">
                  <c:v>3.0748663101604276E-2</c:v>
                </c:pt>
                <c:pt idx="127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6778880"/>
        <c:axId val="306780416"/>
      </c:scatterChart>
      <c:valAx>
        <c:axId val="3067788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06780416"/>
        <c:crosses val="autoZero"/>
        <c:crossBetween val="midCat"/>
      </c:valAx>
      <c:valAx>
        <c:axId val="3067804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0677888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Osc1Level!$H$2</c:f>
              <c:strCache>
                <c:ptCount val="1"/>
                <c:pt idx="0">
                  <c:v>AmpNorm</c:v>
                </c:pt>
              </c:strCache>
            </c:strRef>
          </c:tx>
          <c:spPr>
            <a:ln w="28575">
              <a:noFill/>
            </a:ln>
          </c:spPr>
          <c:xVal>
            <c:numRef>
              <c:f>Osc1Level!$F$3:$F$130</c:f>
              <c:numCache>
                <c:formatCode>General</c:formatCode>
                <c:ptCount val="128"/>
                <c:pt idx="0">
                  <c:v>1</c:v>
                </c:pt>
                <c:pt idx="1">
                  <c:v>0.99212598425196852</c:v>
                </c:pt>
                <c:pt idx="2">
                  <c:v>0.98425196850393704</c:v>
                </c:pt>
                <c:pt idx="3">
                  <c:v>0.97637795275590555</c:v>
                </c:pt>
                <c:pt idx="4">
                  <c:v>0.96850393700787396</c:v>
                </c:pt>
                <c:pt idx="5">
                  <c:v>0.96062992125984248</c:v>
                </c:pt>
                <c:pt idx="6">
                  <c:v>0.952755905511811</c:v>
                </c:pt>
                <c:pt idx="7">
                  <c:v>0.94488188976377951</c:v>
                </c:pt>
                <c:pt idx="8">
                  <c:v>0.93700787401574803</c:v>
                </c:pt>
                <c:pt idx="9">
                  <c:v>0.92913385826771655</c:v>
                </c:pt>
                <c:pt idx="10">
                  <c:v>0.92125984251968507</c:v>
                </c:pt>
                <c:pt idx="11">
                  <c:v>0.91338582677165359</c:v>
                </c:pt>
                <c:pt idx="12">
                  <c:v>0.90551181102362199</c:v>
                </c:pt>
                <c:pt idx="13">
                  <c:v>0.89763779527559051</c:v>
                </c:pt>
                <c:pt idx="14">
                  <c:v>0.88976377952755903</c:v>
                </c:pt>
                <c:pt idx="15">
                  <c:v>0.88188976377952755</c:v>
                </c:pt>
                <c:pt idx="16">
                  <c:v>0.87401574803149606</c:v>
                </c:pt>
                <c:pt idx="17">
                  <c:v>0.86614173228346458</c:v>
                </c:pt>
                <c:pt idx="18">
                  <c:v>0.8582677165354331</c:v>
                </c:pt>
                <c:pt idx="19">
                  <c:v>0.85039370078740162</c:v>
                </c:pt>
                <c:pt idx="20">
                  <c:v>0.84251968503937003</c:v>
                </c:pt>
                <c:pt idx="21">
                  <c:v>0.83464566929133854</c:v>
                </c:pt>
                <c:pt idx="22">
                  <c:v>0.82677165354330706</c:v>
                </c:pt>
                <c:pt idx="23">
                  <c:v>0.81889763779527558</c:v>
                </c:pt>
                <c:pt idx="24">
                  <c:v>0.8110236220472441</c:v>
                </c:pt>
                <c:pt idx="25">
                  <c:v>0.80314960629921262</c:v>
                </c:pt>
                <c:pt idx="26">
                  <c:v>0.79527559055118113</c:v>
                </c:pt>
                <c:pt idx="27">
                  <c:v>0.78740157480314965</c:v>
                </c:pt>
                <c:pt idx="28">
                  <c:v>0.77952755905511806</c:v>
                </c:pt>
                <c:pt idx="29">
                  <c:v>0.77165354330708658</c:v>
                </c:pt>
                <c:pt idx="30">
                  <c:v>0.76377952755905509</c:v>
                </c:pt>
                <c:pt idx="31">
                  <c:v>0.75590551181102361</c:v>
                </c:pt>
                <c:pt idx="32">
                  <c:v>0.74803149606299213</c:v>
                </c:pt>
                <c:pt idx="33">
                  <c:v>0.74015748031496065</c:v>
                </c:pt>
                <c:pt idx="34">
                  <c:v>0.73228346456692917</c:v>
                </c:pt>
                <c:pt idx="35">
                  <c:v>0.72440944881889768</c:v>
                </c:pt>
                <c:pt idx="36">
                  <c:v>0.71653543307086609</c:v>
                </c:pt>
                <c:pt idx="37">
                  <c:v>0.70866141732283461</c:v>
                </c:pt>
                <c:pt idx="38">
                  <c:v>0.70078740157480313</c:v>
                </c:pt>
                <c:pt idx="39">
                  <c:v>0.69291338582677164</c:v>
                </c:pt>
                <c:pt idx="40">
                  <c:v>0.68503937007874016</c:v>
                </c:pt>
                <c:pt idx="41">
                  <c:v>0.67716535433070868</c:v>
                </c:pt>
                <c:pt idx="42">
                  <c:v>0.6692913385826772</c:v>
                </c:pt>
                <c:pt idx="43">
                  <c:v>0.66141732283464572</c:v>
                </c:pt>
                <c:pt idx="44">
                  <c:v>0.65354330708661412</c:v>
                </c:pt>
                <c:pt idx="45">
                  <c:v>0.64566929133858264</c:v>
                </c:pt>
                <c:pt idx="46">
                  <c:v>0.63779527559055116</c:v>
                </c:pt>
                <c:pt idx="47">
                  <c:v>0.62992125984251968</c:v>
                </c:pt>
                <c:pt idx="48">
                  <c:v>0.62204724409448819</c:v>
                </c:pt>
                <c:pt idx="49">
                  <c:v>0.61417322834645671</c:v>
                </c:pt>
                <c:pt idx="50">
                  <c:v>0.60629921259842523</c:v>
                </c:pt>
                <c:pt idx="51">
                  <c:v>0.59842519685039375</c:v>
                </c:pt>
                <c:pt idx="52">
                  <c:v>0.59055118110236215</c:v>
                </c:pt>
                <c:pt idx="53">
                  <c:v>0.58267716535433067</c:v>
                </c:pt>
                <c:pt idx="54">
                  <c:v>0.57480314960629919</c:v>
                </c:pt>
                <c:pt idx="55">
                  <c:v>0.56692913385826771</c:v>
                </c:pt>
                <c:pt idx="56">
                  <c:v>0.55905511811023623</c:v>
                </c:pt>
                <c:pt idx="57">
                  <c:v>0.55118110236220474</c:v>
                </c:pt>
                <c:pt idx="58">
                  <c:v>0.54330708661417326</c:v>
                </c:pt>
                <c:pt idx="59">
                  <c:v>0.53543307086614178</c:v>
                </c:pt>
                <c:pt idx="60">
                  <c:v>0.52755905511811019</c:v>
                </c:pt>
                <c:pt idx="61">
                  <c:v>0.51968503937007871</c:v>
                </c:pt>
                <c:pt idx="62">
                  <c:v>0.51181102362204722</c:v>
                </c:pt>
                <c:pt idx="63">
                  <c:v>0.50393700787401574</c:v>
                </c:pt>
                <c:pt idx="64">
                  <c:v>0.49606299212598426</c:v>
                </c:pt>
                <c:pt idx="65">
                  <c:v>0.48818897637795278</c:v>
                </c:pt>
                <c:pt idx="66">
                  <c:v>0.48031496062992124</c:v>
                </c:pt>
                <c:pt idx="67">
                  <c:v>0.47244094488188976</c:v>
                </c:pt>
                <c:pt idx="68">
                  <c:v>0.46456692913385828</c:v>
                </c:pt>
                <c:pt idx="69">
                  <c:v>0.45669291338582679</c:v>
                </c:pt>
                <c:pt idx="70">
                  <c:v>0.44881889763779526</c:v>
                </c:pt>
                <c:pt idx="71">
                  <c:v>0.44094488188976377</c:v>
                </c:pt>
                <c:pt idx="72">
                  <c:v>0.43307086614173229</c:v>
                </c:pt>
                <c:pt idx="73">
                  <c:v>0.42519685039370081</c:v>
                </c:pt>
                <c:pt idx="74">
                  <c:v>0.41732283464566927</c:v>
                </c:pt>
                <c:pt idx="75">
                  <c:v>0.40944881889763779</c:v>
                </c:pt>
                <c:pt idx="76">
                  <c:v>0.40157480314960631</c:v>
                </c:pt>
                <c:pt idx="77">
                  <c:v>0.39370078740157483</c:v>
                </c:pt>
                <c:pt idx="78">
                  <c:v>0.38582677165354329</c:v>
                </c:pt>
                <c:pt idx="79">
                  <c:v>0.37795275590551181</c:v>
                </c:pt>
                <c:pt idx="80">
                  <c:v>0.37007874015748032</c:v>
                </c:pt>
                <c:pt idx="81">
                  <c:v>0.36220472440944884</c:v>
                </c:pt>
                <c:pt idx="82">
                  <c:v>0.3543307086614173</c:v>
                </c:pt>
                <c:pt idx="83">
                  <c:v>0.34645669291338582</c:v>
                </c:pt>
                <c:pt idx="84">
                  <c:v>0.33858267716535434</c:v>
                </c:pt>
                <c:pt idx="85">
                  <c:v>0.33070866141732286</c:v>
                </c:pt>
                <c:pt idx="86">
                  <c:v>0.32283464566929132</c:v>
                </c:pt>
                <c:pt idx="87">
                  <c:v>0.31496062992125984</c:v>
                </c:pt>
                <c:pt idx="88">
                  <c:v>0.30708661417322836</c:v>
                </c:pt>
                <c:pt idx="89">
                  <c:v>0.29921259842519687</c:v>
                </c:pt>
                <c:pt idx="90">
                  <c:v>0.29133858267716534</c:v>
                </c:pt>
                <c:pt idx="91">
                  <c:v>0.28346456692913385</c:v>
                </c:pt>
                <c:pt idx="92">
                  <c:v>0.27559055118110237</c:v>
                </c:pt>
                <c:pt idx="93">
                  <c:v>0.26771653543307089</c:v>
                </c:pt>
                <c:pt idx="94">
                  <c:v>0.25984251968503935</c:v>
                </c:pt>
                <c:pt idx="95">
                  <c:v>0.25196850393700787</c:v>
                </c:pt>
                <c:pt idx="96">
                  <c:v>0.24409448818897639</c:v>
                </c:pt>
                <c:pt idx="97">
                  <c:v>0.23622047244094488</c:v>
                </c:pt>
                <c:pt idx="98">
                  <c:v>0.2283464566929134</c:v>
                </c:pt>
                <c:pt idx="99">
                  <c:v>0.22047244094488189</c:v>
                </c:pt>
                <c:pt idx="100">
                  <c:v>0.2125984251968504</c:v>
                </c:pt>
                <c:pt idx="101">
                  <c:v>0.20472440944881889</c:v>
                </c:pt>
                <c:pt idx="102">
                  <c:v>0.19685039370078741</c:v>
                </c:pt>
                <c:pt idx="103">
                  <c:v>0.1889763779527559</c:v>
                </c:pt>
                <c:pt idx="104">
                  <c:v>0.18110236220472442</c:v>
                </c:pt>
                <c:pt idx="105">
                  <c:v>0.17322834645669291</c:v>
                </c:pt>
                <c:pt idx="106">
                  <c:v>0.16535433070866143</c:v>
                </c:pt>
                <c:pt idx="107">
                  <c:v>0.15748031496062992</c:v>
                </c:pt>
                <c:pt idx="108">
                  <c:v>0.14960629921259844</c:v>
                </c:pt>
                <c:pt idx="109">
                  <c:v>0.14173228346456693</c:v>
                </c:pt>
                <c:pt idx="110">
                  <c:v>0.13385826771653545</c:v>
                </c:pt>
                <c:pt idx="111">
                  <c:v>0.12598425196850394</c:v>
                </c:pt>
                <c:pt idx="112">
                  <c:v>0.11811023622047244</c:v>
                </c:pt>
                <c:pt idx="113">
                  <c:v>0.11023622047244094</c:v>
                </c:pt>
                <c:pt idx="114">
                  <c:v>0.10236220472440945</c:v>
                </c:pt>
                <c:pt idx="115">
                  <c:v>9.4488188976377951E-2</c:v>
                </c:pt>
                <c:pt idx="116">
                  <c:v>8.6614173228346455E-2</c:v>
                </c:pt>
                <c:pt idx="117">
                  <c:v>7.874015748031496E-2</c:v>
                </c:pt>
                <c:pt idx="118">
                  <c:v>7.0866141732283464E-2</c:v>
                </c:pt>
                <c:pt idx="119">
                  <c:v>6.2992125984251968E-2</c:v>
                </c:pt>
                <c:pt idx="120">
                  <c:v>5.5118110236220472E-2</c:v>
                </c:pt>
                <c:pt idx="121">
                  <c:v>4.7244094488188976E-2</c:v>
                </c:pt>
                <c:pt idx="122">
                  <c:v>3.937007874015748E-2</c:v>
                </c:pt>
                <c:pt idx="123">
                  <c:v>3.1496062992125984E-2</c:v>
                </c:pt>
                <c:pt idx="124">
                  <c:v>2.3622047244094488E-2</c:v>
                </c:pt>
                <c:pt idx="125">
                  <c:v>1.5748031496062992E-2</c:v>
                </c:pt>
                <c:pt idx="126">
                  <c:v>7.874015748031496E-3</c:v>
                </c:pt>
                <c:pt idx="127">
                  <c:v>0</c:v>
                </c:pt>
              </c:numCache>
            </c:numRef>
          </c:xVal>
          <c:yVal>
            <c:numRef>
              <c:f>Osc1Level!$H$3:$H$130</c:f>
              <c:numCache>
                <c:formatCode>General</c:formatCode>
                <c:ptCount val="128"/>
                <c:pt idx="0">
                  <c:v>1</c:v>
                </c:pt>
                <c:pt idx="19">
                  <c:v>0.84674329501915713</c:v>
                </c:pt>
                <c:pt idx="31">
                  <c:v>0.7484035759897828</c:v>
                </c:pt>
                <c:pt idx="48">
                  <c:v>0.61174968071519797</c:v>
                </c:pt>
                <c:pt idx="63">
                  <c:v>0.49042145593869729</c:v>
                </c:pt>
                <c:pt idx="79">
                  <c:v>0.36143039591315457</c:v>
                </c:pt>
                <c:pt idx="95">
                  <c:v>0.23371647509578547</c:v>
                </c:pt>
                <c:pt idx="111">
                  <c:v>0.10217113665389527</c:v>
                </c:pt>
                <c:pt idx="119">
                  <c:v>4.3422733077905486E-2</c:v>
                </c:pt>
                <c:pt idx="127">
                  <c:v>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Osc1Level!$I$2</c:f>
              <c:strCache>
                <c:ptCount val="1"/>
                <c:pt idx="0">
                  <c:v>TriNorm</c:v>
                </c:pt>
              </c:strCache>
            </c:strRef>
          </c:tx>
          <c:spPr>
            <a:ln w="28575">
              <a:noFill/>
            </a:ln>
          </c:spPr>
          <c:xVal>
            <c:numRef>
              <c:f>Osc1Level!$F$3:$F$130</c:f>
              <c:numCache>
                <c:formatCode>General</c:formatCode>
                <c:ptCount val="128"/>
                <c:pt idx="0">
                  <c:v>1</c:v>
                </c:pt>
                <c:pt idx="1">
                  <c:v>0.99212598425196852</c:v>
                </c:pt>
                <c:pt idx="2">
                  <c:v>0.98425196850393704</c:v>
                </c:pt>
                <c:pt idx="3">
                  <c:v>0.97637795275590555</c:v>
                </c:pt>
                <c:pt idx="4">
                  <c:v>0.96850393700787396</c:v>
                </c:pt>
                <c:pt idx="5">
                  <c:v>0.96062992125984248</c:v>
                </c:pt>
                <c:pt idx="6">
                  <c:v>0.952755905511811</c:v>
                </c:pt>
                <c:pt idx="7">
                  <c:v>0.94488188976377951</c:v>
                </c:pt>
                <c:pt idx="8">
                  <c:v>0.93700787401574803</c:v>
                </c:pt>
                <c:pt idx="9">
                  <c:v>0.92913385826771655</c:v>
                </c:pt>
                <c:pt idx="10">
                  <c:v>0.92125984251968507</c:v>
                </c:pt>
                <c:pt idx="11">
                  <c:v>0.91338582677165359</c:v>
                </c:pt>
                <c:pt idx="12">
                  <c:v>0.90551181102362199</c:v>
                </c:pt>
                <c:pt idx="13">
                  <c:v>0.89763779527559051</c:v>
                </c:pt>
                <c:pt idx="14">
                  <c:v>0.88976377952755903</c:v>
                </c:pt>
                <c:pt idx="15">
                  <c:v>0.88188976377952755</c:v>
                </c:pt>
                <c:pt idx="16">
                  <c:v>0.87401574803149606</c:v>
                </c:pt>
                <c:pt idx="17">
                  <c:v>0.86614173228346458</c:v>
                </c:pt>
                <c:pt idx="18">
                  <c:v>0.8582677165354331</c:v>
                </c:pt>
                <c:pt idx="19">
                  <c:v>0.85039370078740162</c:v>
                </c:pt>
                <c:pt idx="20">
                  <c:v>0.84251968503937003</c:v>
                </c:pt>
                <c:pt idx="21">
                  <c:v>0.83464566929133854</c:v>
                </c:pt>
                <c:pt idx="22">
                  <c:v>0.82677165354330706</c:v>
                </c:pt>
                <c:pt idx="23">
                  <c:v>0.81889763779527558</c:v>
                </c:pt>
                <c:pt idx="24">
                  <c:v>0.8110236220472441</c:v>
                </c:pt>
                <c:pt idx="25">
                  <c:v>0.80314960629921262</c:v>
                </c:pt>
                <c:pt idx="26">
                  <c:v>0.79527559055118113</c:v>
                </c:pt>
                <c:pt idx="27">
                  <c:v>0.78740157480314965</c:v>
                </c:pt>
                <c:pt idx="28">
                  <c:v>0.77952755905511806</c:v>
                </c:pt>
                <c:pt idx="29">
                  <c:v>0.77165354330708658</c:v>
                </c:pt>
                <c:pt idx="30">
                  <c:v>0.76377952755905509</c:v>
                </c:pt>
                <c:pt idx="31">
                  <c:v>0.75590551181102361</c:v>
                </c:pt>
                <c:pt idx="32">
                  <c:v>0.74803149606299213</c:v>
                </c:pt>
                <c:pt idx="33">
                  <c:v>0.74015748031496065</c:v>
                </c:pt>
                <c:pt idx="34">
                  <c:v>0.73228346456692917</c:v>
                </c:pt>
                <c:pt idx="35">
                  <c:v>0.72440944881889768</c:v>
                </c:pt>
                <c:pt idx="36">
                  <c:v>0.71653543307086609</c:v>
                </c:pt>
                <c:pt idx="37">
                  <c:v>0.70866141732283461</c:v>
                </c:pt>
                <c:pt idx="38">
                  <c:v>0.70078740157480313</c:v>
                </c:pt>
                <c:pt idx="39">
                  <c:v>0.69291338582677164</c:v>
                </c:pt>
                <c:pt idx="40">
                  <c:v>0.68503937007874016</c:v>
                </c:pt>
                <c:pt idx="41">
                  <c:v>0.67716535433070868</c:v>
                </c:pt>
                <c:pt idx="42">
                  <c:v>0.6692913385826772</c:v>
                </c:pt>
                <c:pt idx="43">
                  <c:v>0.66141732283464572</c:v>
                </c:pt>
                <c:pt idx="44">
                  <c:v>0.65354330708661412</c:v>
                </c:pt>
                <c:pt idx="45">
                  <c:v>0.64566929133858264</c:v>
                </c:pt>
                <c:pt idx="46">
                  <c:v>0.63779527559055116</c:v>
                </c:pt>
                <c:pt idx="47">
                  <c:v>0.62992125984251968</c:v>
                </c:pt>
                <c:pt idx="48">
                  <c:v>0.62204724409448819</c:v>
                </c:pt>
                <c:pt idx="49">
                  <c:v>0.61417322834645671</c:v>
                </c:pt>
                <c:pt idx="50">
                  <c:v>0.60629921259842523</c:v>
                </c:pt>
                <c:pt idx="51">
                  <c:v>0.59842519685039375</c:v>
                </c:pt>
                <c:pt idx="52">
                  <c:v>0.59055118110236215</c:v>
                </c:pt>
                <c:pt idx="53">
                  <c:v>0.58267716535433067</c:v>
                </c:pt>
                <c:pt idx="54">
                  <c:v>0.57480314960629919</c:v>
                </c:pt>
                <c:pt idx="55">
                  <c:v>0.56692913385826771</c:v>
                </c:pt>
                <c:pt idx="56">
                  <c:v>0.55905511811023623</c:v>
                </c:pt>
                <c:pt idx="57">
                  <c:v>0.55118110236220474</c:v>
                </c:pt>
                <c:pt idx="58">
                  <c:v>0.54330708661417326</c:v>
                </c:pt>
                <c:pt idx="59">
                  <c:v>0.53543307086614178</c:v>
                </c:pt>
                <c:pt idx="60">
                  <c:v>0.52755905511811019</c:v>
                </c:pt>
                <c:pt idx="61">
                  <c:v>0.51968503937007871</c:v>
                </c:pt>
                <c:pt idx="62">
                  <c:v>0.51181102362204722</c:v>
                </c:pt>
                <c:pt idx="63">
                  <c:v>0.50393700787401574</c:v>
                </c:pt>
                <c:pt idx="64">
                  <c:v>0.49606299212598426</c:v>
                </c:pt>
                <c:pt idx="65">
                  <c:v>0.48818897637795278</c:v>
                </c:pt>
                <c:pt idx="66">
                  <c:v>0.48031496062992124</c:v>
                </c:pt>
                <c:pt idx="67">
                  <c:v>0.47244094488188976</c:v>
                </c:pt>
                <c:pt idx="68">
                  <c:v>0.46456692913385828</c:v>
                </c:pt>
                <c:pt idx="69">
                  <c:v>0.45669291338582679</c:v>
                </c:pt>
                <c:pt idx="70">
                  <c:v>0.44881889763779526</c:v>
                </c:pt>
                <c:pt idx="71">
                  <c:v>0.44094488188976377</c:v>
                </c:pt>
                <c:pt idx="72">
                  <c:v>0.43307086614173229</c:v>
                </c:pt>
                <c:pt idx="73">
                  <c:v>0.42519685039370081</c:v>
                </c:pt>
                <c:pt idx="74">
                  <c:v>0.41732283464566927</c:v>
                </c:pt>
                <c:pt idx="75">
                  <c:v>0.40944881889763779</c:v>
                </c:pt>
                <c:pt idx="76">
                  <c:v>0.40157480314960631</c:v>
                </c:pt>
                <c:pt idx="77">
                  <c:v>0.39370078740157483</c:v>
                </c:pt>
                <c:pt idx="78">
                  <c:v>0.38582677165354329</c:v>
                </c:pt>
                <c:pt idx="79">
                  <c:v>0.37795275590551181</c:v>
                </c:pt>
                <c:pt idx="80">
                  <c:v>0.37007874015748032</c:v>
                </c:pt>
                <c:pt idx="81">
                  <c:v>0.36220472440944884</c:v>
                </c:pt>
                <c:pt idx="82">
                  <c:v>0.3543307086614173</c:v>
                </c:pt>
                <c:pt idx="83">
                  <c:v>0.34645669291338582</c:v>
                </c:pt>
                <c:pt idx="84">
                  <c:v>0.33858267716535434</c:v>
                </c:pt>
                <c:pt idx="85">
                  <c:v>0.33070866141732286</c:v>
                </c:pt>
                <c:pt idx="86">
                  <c:v>0.32283464566929132</c:v>
                </c:pt>
                <c:pt idx="87">
                  <c:v>0.31496062992125984</c:v>
                </c:pt>
                <c:pt idx="88">
                  <c:v>0.30708661417322836</c:v>
                </c:pt>
                <c:pt idx="89">
                  <c:v>0.29921259842519687</c:v>
                </c:pt>
                <c:pt idx="90">
                  <c:v>0.29133858267716534</c:v>
                </c:pt>
                <c:pt idx="91">
                  <c:v>0.28346456692913385</c:v>
                </c:pt>
                <c:pt idx="92">
                  <c:v>0.27559055118110237</c:v>
                </c:pt>
                <c:pt idx="93">
                  <c:v>0.26771653543307089</c:v>
                </c:pt>
                <c:pt idx="94">
                  <c:v>0.25984251968503935</c:v>
                </c:pt>
                <c:pt idx="95">
                  <c:v>0.25196850393700787</c:v>
                </c:pt>
                <c:pt idx="96">
                  <c:v>0.24409448818897639</c:v>
                </c:pt>
                <c:pt idx="97">
                  <c:v>0.23622047244094488</c:v>
                </c:pt>
                <c:pt idx="98">
                  <c:v>0.2283464566929134</c:v>
                </c:pt>
                <c:pt idx="99">
                  <c:v>0.22047244094488189</c:v>
                </c:pt>
                <c:pt idx="100">
                  <c:v>0.2125984251968504</c:v>
                </c:pt>
                <c:pt idx="101">
                  <c:v>0.20472440944881889</c:v>
                </c:pt>
                <c:pt idx="102">
                  <c:v>0.19685039370078741</c:v>
                </c:pt>
                <c:pt idx="103">
                  <c:v>0.1889763779527559</c:v>
                </c:pt>
                <c:pt idx="104">
                  <c:v>0.18110236220472442</c:v>
                </c:pt>
                <c:pt idx="105">
                  <c:v>0.17322834645669291</c:v>
                </c:pt>
                <c:pt idx="106">
                  <c:v>0.16535433070866143</c:v>
                </c:pt>
                <c:pt idx="107">
                  <c:v>0.15748031496062992</c:v>
                </c:pt>
                <c:pt idx="108">
                  <c:v>0.14960629921259844</c:v>
                </c:pt>
                <c:pt idx="109">
                  <c:v>0.14173228346456693</c:v>
                </c:pt>
                <c:pt idx="110">
                  <c:v>0.13385826771653545</c:v>
                </c:pt>
                <c:pt idx="111">
                  <c:v>0.12598425196850394</c:v>
                </c:pt>
                <c:pt idx="112">
                  <c:v>0.11811023622047244</c:v>
                </c:pt>
                <c:pt idx="113">
                  <c:v>0.11023622047244094</c:v>
                </c:pt>
                <c:pt idx="114">
                  <c:v>0.10236220472440945</c:v>
                </c:pt>
                <c:pt idx="115">
                  <c:v>9.4488188976377951E-2</c:v>
                </c:pt>
                <c:pt idx="116">
                  <c:v>8.6614173228346455E-2</c:v>
                </c:pt>
                <c:pt idx="117">
                  <c:v>7.874015748031496E-2</c:v>
                </c:pt>
                <c:pt idx="118">
                  <c:v>7.0866141732283464E-2</c:v>
                </c:pt>
                <c:pt idx="119">
                  <c:v>6.2992125984251968E-2</c:v>
                </c:pt>
                <c:pt idx="120">
                  <c:v>5.5118110236220472E-2</c:v>
                </c:pt>
                <c:pt idx="121">
                  <c:v>4.7244094488188976E-2</c:v>
                </c:pt>
                <c:pt idx="122">
                  <c:v>3.937007874015748E-2</c:v>
                </c:pt>
                <c:pt idx="123">
                  <c:v>3.1496062992125984E-2</c:v>
                </c:pt>
                <c:pt idx="124">
                  <c:v>2.3622047244094488E-2</c:v>
                </c:pt>
                <c:pt idx="125">
                  <c:v>1.5748031496062992E-2</c:v>
                </c:pt>
                <c:pt idx="126">
                  <c:v>7.874015748031496E-3</c:v>
                </c:pt>
                <c:pt idx="127">
                  <c:v>0</c:v>
                </c:pt>
              </c:numCache>
            </c:numRef>
          </c:xVal>
          <c:yVal>
            <c:numRef>
              <c:f>Osc1Level!$I$3:$I$130</c:f>
              <c:numCache>
                <c:formatCode>General</c:formatCode>
                <c:ptCount val="128"/>
                <c:pt idx="0">
                  <c:v>1</c:v>
                </c:pt>
                <c:pt idx="19">
                  <c:v>0.87526881720430094</c:v>
                </c:pt>
                <c:pt idx="31">
                  <c:v>0.73333333333333317</c:v>
                </c:pt>
                <c:pt idx="48">
                  <c:v>0.58709677419354844</c:v>
                </c:pt>
                <c:pt idx="63">
                  <c:v>0.45806451612903226</c:v>
                </c:pt>
                <c:pt idx="79">
                  <c:v>0.31182795698924731</c:v>
                </c:pt>
                <c:pt idx="95">
                  <c:v>0.18709677419354837</c:v>
                </c:pt>
                <c:pt idx="119">
                  <c:v>3.2258064516129031E-2</c:v>
                </c:pt>
                <c:pt idx="127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6805760"/>
        <c:axId val="306832128"/>
      </c:scatterChart>
      <c:valAx>
        <c:axId val="3068057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06832128"/>
        <c:crosses val="autoZero"/>
        <c:crossBetween val="midCat"/>
      </c:valAx>
      <c:valAx>
        <c:axId val="3068321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0680576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178018372703412E-2"/>
          <c:y val="5.1400554097404488E-2"/>
          <c:w val="0.65097572178477692"/>
          <c:h val="0.832619568387284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NoiseLevelCurve!$C$4</c:f>
              <c:strCache>
                <c:ptCount val="1"/>
                <c:pt idx="0">
                  <c:v>NoiseLevel</c:v>
                </c:pt>
              </c:strCache>
            </c:strRef>
          </c:tx>
          <c:spPr>
            <a:ln>
              <a:noFill/>
            </a:ln>
          </c:spPr>
          <c:marker>
            <c:symbol val="square"/>
            <c:size val="2"/>
          </c:marker>
          <c:xVal>
            <c:numRef>
              <c:f>NoiseLevelCurve!$B$5:$B$132</c:f>
              <c:numCache>
                <c:formatCode>General</c:formatCode>
                <c:ptCount val="128"/>
                <c:pt idx="0">
                  <c:v>1</c:v>
                </c:pt>
                <c:pt idx="1">
                  <c:v>0.99212598425196852</c:v>
                </c:pt>
                <c:pt idx="2">
                  <c:v>0.98425196850393704</c:v>
                </c:pt>
                <c:pt idx="3">
                  <c:v>0.97637795275590555</c:v>
                </c:pt>
                <c:pt idx="4">
                  <c:v>0.96850393700787396</c:v>
                </c:pt>
                <c:pt idx="5">
                  <c:v>0.96062992125984248</c:v>
                </c:pt>
                <c:pt idx="6">
                  <c:v>0.952755905511811</c:v>
                </c:pt>
                <c:pt idx="7">
                  <c:v>0.94488188976377951</c:v>
                </c:pt>
                <c:pt idx="8">
                  <c:v>0.93700787401574803</c:v>
                </c:pt>
                <c:pt idx="9">
                  <c:v>0.92913385826771655</c:v>
                </c:pt>
                <c:pt idx="10">
                  <c:v>0.92125984251968507</c:v>
                </c:pt>
                <c:pt idx="11">
                  <c:v>0.91338582677165359</c:v>
                </c:pt>
                <c:pt idx="12">
                  <c:v>0.90551181102362199</c:v>
                </c:pt>
                <c:pt idx="13">
                  <c:v>0.89763779527559051</c:v>
                </c:pt>
                <c:pt idx="14">
                  <c:v>0.88976377952755903</c:v>
                </c:pt>
                <c:pt idx="15">
                  <c:v>0.88188976377952755</c:v>
                </c:pt>
                <c:pt idx="16">
                  <c:v>0.87401574803149606</c:v>
                </c:pt>
                <c:pt idx="17">
                  <c:v>0.86614173228346458</c:v>
                </c:pt>
                <c:pt idx="18">
                  <c:v>0.8582677165354331</c:v>
                </c:pt>
                <c:pt idx="19">
                  <c:v>0.85039370078740162</c:v>
                </c:pt>
                <c:pt idx="20">
                  <c:v>0.84251968503937003</c:v>
                </c:pt>
                <c:pt idx="21">
                  <c:v>0.83464566929133854</c:v>
                </c:pt>
                <c:pt idx="22">
                  <c:v>0.82677165354330706</c:v>
                </c:pt>
                <c:pt idx="23">
                  <c:v>0.81889763779527558</c:v>
                </c:pt>
                <c:pt idx="24">
                  <c:v>0.8110236220472441</c:v>
                </c:pt>
                <c:pt idx="25">
                  <c:v>0.80314960629921262</c:v>
                </c:pt>
                <c:pt idx="26">
                  <c:v>0.79527559055118113</c:v>
                </c:pt>
                <c:pt idx="27">
                  <c:v>0.78740157480314965</c:v>
                </c:pt>
                <c:pt idx="28">
                  <c:v>0.77952755905511806</c:v>
                </c:pt>
                <c:pt idx="29">
                  <c:v>0.77165354330708658</c:v>
                </c:pt>
                <c:pt idx="30">
                  <c:v>0.76377952755905509</c:v>
                </c:pt>
                <c:pt idx="31">
                  <c:v>0.75590551181102361</c:v>
                </c:pt>
                <c:pt idx="32">
                  <c:v>0.74803149606299213</c:v>
                </c:pt>
                <c:pt idx="33">
                  <c:v>0.74015748031496065</c:v>
                </c:pt>
                <c:pt idx="34">
                  <c:v>0.73228346456692917</c:v>
                </c:pt>
                <c:pt idx="35">
                  <c:v>0.72440944881889768</c:v>
                </c:pt>
                <c:pt idx="36">
                  <c:v>0.71653543307086609</c:v>
                </c:pt>
                <c:pt idx="37">
                  <c:v>0.70866141732283461</c:v>
                </c:pt>
                <c:pt idx="38">
                  <c:v>0.70078740157480313</c:v>
                </c:pt>
                <c:pt idx="39">
                  <c:v>0.69291338582677164</c:v>
                </c:pt>
                <c:pt idx="40">
                  <c:v>0.68503937007874016</c:v>
                </c:pt>
                <c:pt idx="41">
                  <c:v>0.67716535433070868</c:v>
                </c:pt>
                <c:pt idx="42">
                  <c:v>0.6692913385826772</c:v>
                </c:pt>
                <c:pt idx="43">
                  <c:v>0.66141732283464572</c:v>
                </c:pt>
                <c:pt idx="44">
                  <c:v>0.65354330708661412</c:v>
                </c:pt>
                <c:pt idx="45">
                  <c:v>0.64566929133858264</c:v>
                </c:pt>
                <c:pt idx="46">
                  <c:v>0.63779527559055116</c:v>
                </c:pt>
                <c:pt idx="47">
                  <c:v>0.62992125984251968</c:v>
                </c:pt>
                <c:pt idx="48">
                  <c:v>0.62204724409448819</c:v>
                </c:pt>
                <c:pt idx="49">
                  <c:v>0.61417322834645671</c:v>
                </c:pt>
                <c:pt idx="50">
                  <c:v>0.60629921259842523</c:v>
                </c:pt>
                <c:pt idx="51">
                  <c:v>0.59842519685039375</c:v>
                </c:pt>
                <c:pt idx="52">
                  <c:v>0.59055118110236215</c:v>
                </c:pt>
                <c:pt idx="53">
                  <c:v>0.58267716535433067</c:v>
                </c:pt>
                <c:pt idx="54">
                  <c:v>0.57480314960629919</c:v>
                </c:pt>
                <c:pt idx="55">
                  <c:v>0.56692913385826771</c:v>
                </c:pt>
                <c:pt idx="56">
                  <c:v>0.55905511811023623</c:v>
                </c:pt>
                <c:pt idx="57">
                  <c:v>0.55118110236220474</c:v>
                </c:pt>
                <c:pt idx="58">
                  <c:v>0.54330708661417326</c:v>
                </c:pt>
                <c:pt idx="59">
                  <c:v>0.53543307086614178</c:v>
                </c:pt>
                <c:pt idx="60">
                  <c:v>0.52755905511811019</c:v>
                </c:pt>
                <c:pt idx="61">
                  <c:v>0.51968503937007871</c:v>
                </c:pt>
                <c:pt idx="62">
                  <c:v>0.51181102362204722</c:v>
                </c:pt>
                <c:pt idx="63">
                  <c:v>0.50393700787401574</c:v>
                </c:pt>
                <c:pt idx="64">
                  <c:v>0.49606299212598426</c:v>
                </c:pt>
                <c:pt idx="65">
                  <c:v>0.48818897637795278</c:v>
                </c:pt>
                <c:pt idx="66">
                  <c:v>0.48031496062992124</c:v>
                </c:pt>
                <c:pt idx="67">
                  <c:v>0.47244094488188976</c:v>
                </c:pt>
                <c:pt idx="68">
                  <c:v>0.46456692913385828</c:v>
                </c:pt>
                <c:pt idx="69">
                  <c:v>0.45669291338582679</c:v>
                </c:pt>
                <c:pt idx="70">
                  <c:v>0.44881889763779526</c:v>
                </c:pt>
                <c:pt idx="71">
                  <c:v>0.44094488188976377</c:v>
                </c:pt>
                <c:pt idx="72">
                  <c:v>0.43307086614173229</c:v>
                </c:pt>
                <c:pt idx="73">
                  <c:v>0.42519685039370081</c:v>
                </c:pt>
                <c:pt idx="74">
                  <c:v>0.41732283464566927</c:v>
                </c:pt>
                <c:pt idx="75">
                  <c:v>0.40944881889763779</c:v>
                </c:pt>
                <c:pt idx="76">
                  <c:v>0.40157480314960631</c:v>
                </c:pt>
                <c:pt idx="77">
                  <c:v>0.39370078740157483</c:v>
                </c:pt>
                <c:pt idx="78">
                  <c:v>0.38582677165354329</c:v>
                </c:pt>
                <c:pt idx="79">
                  <c:v>0.37795275590551181</c:v>
                </c:pt>
                <c:pt idx="80">
                  <c:v>0.37007874015748032</c:v>
                </c:pt>
                <c:pt idx="81">
                  <c:v>0.36220472440944884</c:v>
                </c:pt>
                <c:pt idx="82">
                  <c:v>0.3543307086614173</c:v>
                </c:pt>
                <c:pt idx="83">
                  <c:v>0.34645669291338582</c:v>
                </c:pt>
                <c:pt idx="84">
                  <c:v>0.33858267716535434</c:v>
                </c:pt>
                <c:pt idx="85">
                  <c:v>0.33070866141732286</c:v>
                </c:pt>
                <c:pt idx="86">
                  <c:v>0.32283464566929132</c:v>
                </c:pt>
                <c:pt idx="87">
                  <c:v>0.31496062992125984</c:v>
                </c:pt>
                <c:pt idx="88">
                  <c:v>0.30708661417322836</c:v>
                </c:pt>
                <c:pt idx="89">
                  <c:v>0.29921259842519687</c:v>
                </c:pt>
                <c:pt idx="90">
                  <c:v>0.29133858267716534</c:v>
                </c:pt>
                <c:pt idx="91">
                  <c:v>0.28346456692913385</c:v>
                </c:pt>
                <c:pt idx="92">
                  <c:v>0.27559055118110237</c:v>
                </c:pt>
                <c:pt idx="93">
                  <c:v>0.26771653543307089</c:v>
                </c:pt>
                <c:pt idx="94">
                  <c:v>0.25984251968503935</c:v>
                </c:pt>
                <c:pt idx="95">
                  <c:v>0.25196850393700787</c:v>
                </c:pt>
                <c:pt idx="96">
                  <c:v>0.24409448818897639</c:v>
                </c:pt>
                <c:pt idx="97">
                  <c:v>0.23622047244094488</c:v>
                </c:pt>
                <c:pt idx="98">
                  <c:v>0.2283464566929134</c:v>
                </c:pt>
                <c:pt idx="99">
                  <c:v>0.22047244094488189</c:v>
                </c:pt>
                <c:pt idx="100">
                  <c:v>0.2125984251968504</c:v>
                </c:pt>
                <c:pt idx="101">
                  <c:v>0.20472440944881889</c:v>
                </c:pt>
                <c:pt idx="102">
                  <c:v>0.19685039370078741</c:v>
                </c:pt>
                <c:pt idx="103">
                  <c:v>0.1889763779527559</c:v>
                </c:pt>
                <c:pt idx="104">
                  <c:v>0.18110236220472442</c:v>
                </c:pt>
                <c:pt idx="105">
                  <c:v>0.17322834645669291</c:v>
                </c:pt>
                <c:pt idx="106">
                  <c:v>0.16535433070866143</c:v>
                </c:pt>
                <c:pt idx="107">
                  <c:v>0.15748031496062992</c:v>
                </c:pt>
                <c:pt idx="108">
                  <c:v>0.14960629921259844</c:v>
                </c:pt>
                <c:pt idx="109">
                  <c:v>0.14173228346456693</c:v>
                </c:pt>
                <c:pt idx="110">
                  <c:v>0.13385826771653545</c:v>
                </c:pt>
                <c:pt idx="111">
                  <c:v>0.12598425196850394</c:v>
                </c:pt>
                <c:pt idx="112">
                  <c:v>0.11811023622047244</c:v>
                </c:pt>
                <c:pt idx="113">
                  <c:v>0.11023622047244094</c:v>
                </c:pt>
                <c:pt idx="114">
                  <c:v>0.10236220472440945</c:v>
                </c:pt>
                <c:pt idx="115">
                  <c:v>9.4488188976377951E-2</c:v>
                </c:pt>
                <c:pt idx="116">
                  <c:v>8.6614173228346455E-2</c:v>
                </c:pt>
                <c:pt idx="117">
                  <c:v>7.874015748031496E-2</c:v>
                </c:pt>
                <c:pt idx="118">
                  <c:v>7.0866141732283464E-2</c:v>
                </c:pt>
                <c:pt idx="119">
                  <c:v>6.2992125984251968E-2</c:v>
                </c:pt>
                <c:pt idx="120">
                  <c:v>5.5118110236220472E-2</c:v>
                </c:pt>
                <c:pt idx="121">
                  <c:v>4.7244094488188976E-2</c:v>
                </c:pt>
                <c:pt idx="122">
                  <c:v>3.937007874015748E-2</c:v>
                </c:pt>
                <c:pt idx="123">
                  <c:v>3.1496062992125984E-2</c:v>
                </c:pt>
                <c:pt idx="124">
                  <c:v>2.3622047244094488E-2</c:v>
                </c:pt>
                <c:pt idx="125">
                  <c:v>1.5748031496062992E-2</c:v>
                </c:pt>
                <c:pt idx="126">
                  <c:v>7.874015748031496E-3</c:v>
                </c:pt>
                <c:pt idx="127">
                  <c:v>0</c:v>
                </c:pt>
              </c:numCache>
            </c:numRef>
          </c:xVal>
          <c:yVal>
            <c:numRef>
              <c:f>NoiseLevelCurve!$C$5:$C$132</c:f>
              <c:numCache>
                <c:formatCode>General</c:formatCode>
                <c:ptCount val="128"/>
                <c:pt idx="0">
                  <c:v>1</c:v>
                </c:pt>
                <c:pt idx="1">
                  <c:v>0.99723701127145314</c:v>
                </c:pt>
                <c:pt idx="2">
                  <c:v>0.99445973200201154</c:v>
                </c:pt>
                <c:pt idx="3">
                  <c:v>0.99166797306120169</c:v>
                </c:pt>
                <c:pt idx="4">
                  <c:v>0.98886154126591963</c:v>
                </c:pt>
                <c:pt idx="5">
                  <c:v>0.98604023925984763</c:v>
                </c:pt>
                <c:pt idx="6">
                  <c:v>0.9832038653882611</c:v>
                </c:pt>
                <c:pt idx="7">
                  <c:v>0.98035221356801294</c:v>
                </c:pt>
                <c:pt idx="8">
                  <c:v>0.97748507315246469</c:v>
                </c:pt>
                <c:pt idx="9">
                  <c:v>0.97460222879112524</c:v>
                </c:pt>
                <c:pt idx="10">
                  <c:v>0.97170346028374333</c:v>
                </c:pt>
                <c:pt idx="11">
                  <c:v>0.96878854242858436</c:v>
                </c:pt>
                <c:pt idx="12">
                  <c:v>0.96585724486460789</c:v>
                </c:pt>
                <c:pt idx="13">
                  <c:v>0.96290933190724526</c:v>
                </c:pt>
                <c:pt idx="14">
                  <c:v>0.95994456237745895</c:v>
                </c:pt>
                <c:pt idx="15">
                  <c:v>0.95696268942374763</c:v>
                </c:pt>
                <c:pt idx="16">
                  <c:v>0.95396346033673862</c:v>
                </c:pt>
                <c:pt idx="17">
                  <c:v>0.95094661635599054</c:v>
                </c:pt>
                <c:pt idx="18">
                  <c:v>0.94791189246860441</c:v>
                </c:pt>
                <c:pt idx="19">
                  <c:v>0.94485901719921683</c:v>
                </c:pt>
                <c:pt idx="20">
                  <c:v>0.94178771239092396</c:v>
                </c:pt>
                <c:pt idx="21">
                  <c:v>0.93869769297665473</c:v>
                </c:pt>
                <c:pt idx="22">
                  <c:v>0.9355886667404838</c:v>
                </c:pt>
                <c:pt idx="23">
                  <c:v>0.93246033406834061</c:v>
                </c:pt>
                <c:pt idx="24">
                  <c:v>0.92931238768753632</c:v>
                </c:pt>
                <c:pt idx="25">
                  <c:v>0.9261445123944938</c:v>
                </c:pt>
                <c:pt idx="26">
                  <c:v>0.9229563847700254</c:v>
                </c:pt>
                <c:pt idx="27">
                  <c:v>0.91974767288145798</c:v>
                </c:pt>
                <c:pt idx="28">
                  <c:v>0.91651803597086157</c:v>
                </c:pt>
                <c:pt idx="29">
                  <c:v>0.91326712412858513</c:v>
                </c:pt>
                <c:pt idx="30">
                  <c:v>0.90999457795124883</c:v>
                </c:pt>
                <c:pt idx="31">
                  <c:v>0.9067000281832851</c:v>
                </c:pt>
                <c:pt idx="32">
                  <c:v>0.90338309534105676</c:v>
                </c:pt>
                <c:pt idx="33">
                  <c:v>0.90004338931851224</c:v>
                </c:pt>
                <c:pt idx="34">
                  <c:v>0.89668050897326446</c:v>
                </c:pt>
                <c:pt idx="35">
                  <c:v>0.89329404169189908</c:v>
                </c:pt>
                <c:pt idx="36">
                  <c:v>0.88988356293323267</c:v>
                </c:pt>
                <c:pt idx="37">
                  <c:v>0.88644863574814692</c:v>
                </c:pt>
                <c:pt idx="38">
                  <c:v>0.88298881027452147</c:v>
                </c:pt>
                <c:pt idx="39">
                  <c:v>0.87950362320568021</c:v>
                </c:pt>
                <c:pt idx="40">
                  <c:v>0.87599259723064371</c:v>
                </c:pt>
                <c:pt idx="41">
                  <c:v>0.87245524044434897</c:v>
                </c:pt>
                <c:pt idx="42">
                  <c:v>0.86889104572585574</c:v>
                </c:pt>
                <c:pt idx="43">
                  <c:v>0.86529949008240514</c:v>
                </c:pt>
                <c:pt idx="44">
                  <c:v>0.8616800339570212</c:v>
                </c:pt>
                <c:pt idx="45">
                  <c:v>0.85803212049716637</c:v>
                </c:pt>
                <c:pt idx="46">
                  <c:v>0.8543551747817556</c:v>
                </c:pt>
                <c:pt idx="47">
                  <c:v>0.85064860300361189</c:v>
                </c:pt>
                <c:pt idx="48">
                  <c:v>0.84691179160420382</c:v>
                </c:pt>
                <c:pt idx="49">
                  <c:v>0.84314410635723747</c:v>
                </c:pt>
                <c:pt idx="50">
                  <c:v>0.83934489139738222</c:v>
                </c:pt>
                <c:pt idx="51">
                  <c:v>0.83551346819008709</c:v>
                </c:pt>
                <c:pt idx="52">
                  <c:v>0.83164913443808774</c:v>
                </c:pt>
                <c:pt idx="53">
                  <c:v>0.82775116291981565</c:v>
                </c:pt>
                <c:pt idx="54">
                  <c:v>0.82381880025448373</c:v>
                </c:pt>
                <c:pt idx="55">
                  <c:v>0.81985126558814969</c:v>
                </c:pt>
                <c:pt idx="56">
                  <c:v>0.81584774919452552</c:v>
                </c:pt>
                <c:pt idx="57">
                  <c:v>0.81180741098371667</c:v>
                </c:pt>
                <c:pt idx="58">
                  <c:v>0.80772937891142549</c:v>
                </c:pt>
                <c:pt idx="59">
                  <c:v>0.80361274728042564</c:v>
                </c:pt>
                <c:pt idx="60">
                  <c:v>0.79945657492531563</c:v>
                </c:pt>
                <c:pt idx="61">
                  <c:v>0.79525988327065622</c:v>
                </c:pt>
                <c:pt idx="62">
                  <c:v>0.79102165425159809</c:v>
                </c:pt>
                <c:pt idx="63">
                  <c:v>0.78674082808498536</c:v>
                </c:pt>
                <c:pt idx="64">
                  <c:v>0.78241630087766489</c:v>
                </c:pt>
                <c:pt idx="65">
                  <c:v>0.77804692205732218</c:v>
                </c:pt>
                <c:pt idx="66">
                  <c:v>0.77363149160958378</c:v>
                </c:pt>
                <c:pt idx="67">
                  <c:v>0.7691687571033422</c:v>
                </c:pt>
                <c:pt idx="68">
                  <c:v>0.76465741048424762</c:v>
                </c:pt>
                <c:pt idx="69">
                  <c:v>0.76009608461403888</c:v>
                </c:pt>
                <c:pt idx="70">
                  <c:v>0.75548334953080898</c:v>
                </c:pt>
                <c:pt idx="71">
                  <c:v>0.75081770840237949</c:v>
                </c:pt>
                <c:pt idx="72">
                  <c:v>0.74609759314163226</c:v>
                </c:pt>
                <c:pt idx="73">
                  <c:v>0.74132135964885804</c:v>
                </c:pt>
                <c:pt idx="74">
                  <c:v>0.73648728264184971</c:v>
                </c:pt>
                <c:pt idx="75">
                  <c:v>0.73159355002951187</c:v>
                </c:pt>
                <c:pt idx="76">
                  <c:v>0.72663825677906002</c:v>
                </c:pt>
                <c:pt idx="77">
                  <c:v>0.7216193982203345</c:v>
                </c:pt>
                <c:pt idx="78">
                  <c:v>0.71653486272318589</c:v>
                </c:pt>
                <c:pt idx="79">
                  <c:v>0.71138242367514126</c:v>
                </c:pt>
                <c:pt idx="80">
                  <c:v>0.70615973067639892</c:v>
                </c:pt>
                <c:pt idx="81">
                  <c:v>0.70086429985738108</c:v>
                </c:pt>
                <c:pt idx="82">
                  <c:v>0.69549350321026526</c:v>
                </c:pt>
                <c:pt idx="83">
                  <c:v>0.6900445568097523</c:v>
                </c:pt>
                <c:pt idx="84">
                  <c:v>0.68451450777932232</c:v>
                </c:pt>
                <c:pt idx="85">
                  <c:v>0.67890021983682225</c:v>
                </c:pt>
                <c:pt idx="86">
                  <c:v>0.6731983572267054</c:v>
                </c:pt>
                <c:pt idx="87">
                  <c:v>0.66740536681472007</c:v>
                </c:pt>
                <c:pt idx="88">
                  <c:v>0.66151745808325524</c:v>
                </c:pt>
                <c:pt idx="89">
                  <c:v>0.65553058072050507</c:v>
                </c:pt>
                <c:pt idx="90">
                  <c:v>0.64944039944242993</c:v>
                </c:pt>
                <c:pt idx="91">
                  <c:v>0.64324226562098785</c:v>
                </c:pt>
                <c:pt idx="92">
                  <c:v>0.63693118521255621</c:v>
                </c:pt>
                <c:pt idx="93">
                  <c:v>0.63050178238334231</c:v>
                </c:pt>
                <c:pt idx="94">
                  <c:v>0.62394825810938315</c:v>
                </c:pt>
                <c:pt idx="95">
                  <c:v>0.61726434288160092</c:v>
                </c:pt>
                <c:pt idx="96">
                  <c:v>0.61044324246368775</c:v>
                </c:pt>
                <c:pt idx="97">
                  <c:v>0.60347757542229075</c:v>
                </c:pt>
                <c:pt idx="98">
                  <c:v>0.59635930086175803</c:v>
                </c:pt>
                <c:pt idx="99">
                  <c:v>0.58907963443178657</c:v>
                </c:pt>
                <c:pt idx="100">
                  <c:v>0.58162895021169203</c:v>
                </c:pt>
                <c:pt idx="101">
                  <c:v>0.57399666547698591</c:v>
                </c:pt>
                <c:pt idx="102">
                  <c:v>0.56617110457749731</c:v>
                </c:pt>
                <c:pt idx="103">
                  <c:v>0.55813933713876485</c:v>
                </c:pt>
                <c:pt idx="104">
                  <c:v>0.54988698445164119</c:v>
                </c:pt>
                <c:pt idx="105">
                  <c:v>0.54139798611314272</c:v>
                </c:pt>
                <c:pt idx="106">
                  <c:v>0.532654316542579</c:v>
                </c:pt>
                <c:pt idx="107">
                  <c:v>0.52363563765377719</c:v>
                </c:pt>
                <c:pt idx="108">
                  <c:v>0.5143188693183306</c:v>
                </c:pt>
                <c:pt idx="109">
                  <c:v>0.50467765270130494</c:v>
                </c:pt>
                <c:pt idx="110">
                  <c:v>0.4946816721535281</c:v>
                </c:pt>
                <c:pt idx="111">
                  <c:v>0.48429578762359149</c:v>
                </c:pt>
                <c:pt idx="112">
                  <c:v>0.47347890911361634</c:v>
                </c:pt>
                <c:pt idx="113">
                  <c:v>0.46218251357001094</c:v>
                </c:pt>
                <c:pt idx="114">
                  <c:v>0.45034865597900403</c:v>
                </c:pt>
                <c:pt idx="115">
                  <c:v>0.43790724832970823</c:v>
                </c:pt>
                <c:pt idx="116">
                  <c:v>0.42477225053769774</c:v>
                </c:pt>
                <c:pt idx="117">
                  <c:v>0.4108361943951786</c:v>
                </c:pt>
                <c:pt idx="118">
                  <c:v>0.39596206087330293</c:v>
                </c:pt>
                <c:pt idx="119">
                  <c:v>0.37997077364785192</c:v>
                </c:pt>
                <c:pt idx="120">
                  <c:v>0.36262105047297977</c:v>
                </c:pt>
                <c:pt idx="121">
                  <c:v>0.34357506339321253</c:v>
                </c:pt>
                <c:pt idx="122">
                  <c:v>0.32233554496287536</c:v>
                </c:pt>
                <c:pt idx="123">
                  <c:v>0.29811902666963036</c:v>
                </c:pt>
                <c:pt idx="124">
                  <c:v>0.26956353117218257</c:v>
                </c:pt>
                <c:pt idx="125">
                  <c:v>0.23389944760544931</c:v>
                </c:pt>
                <c:pt idx="126">
                  <c:v>0.18351378709806976</c:v>
                </c:pt>
                <c:pt idx="127">
                  <c:v>0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NoiseLevelCurve!$D$4</c:f>
              <c:strCache>
                <c:ptCount val="1"/>
                <c:pt idx="0">
                  <c:v>log pot</c:v>
                </c:pt>
              </c:strCache>
            </c:strRef>
          </c:tx>
          <c:marker>
            <c:symbol val="circle"/>
            <c:size val="2"/>
          </c:marker>
          <c:trendline>
            <c:trendlineType val="log"/>
            <c:dispRSqr val="0"/>
            <c:dispEq val="1"/>
            <c:trendlineLbl>
              <c:numFmt formatCode="General" sourceLinked="0"/>
            </c:trendlineLbl>
          </c:trendline>
          <c:xVal>
            <c:numRef>
              <c:f>NoiseLevelCurve!$B$5:$B$132</c:f>
              <c:numCache>
                <c:formatCode>General</c:formatCode>
                <c:ptCount val="128"/>
                <c:pt idx="0">
                  <c:v>1</c:v>
                </c:pt>
                <c:pt idx="1">
                  <c:v>0.99212598425196852</c:v>
                </c:pt>
                <c:pt idx="2">
                  <c:v>0.98425196850393704</c:v>
                </c:pt>
                <c:pt idx="3">
                  <c:v>0.97637795275590555</c:v>
                </c:pt>
                <c:pt idx="4">
                  <c:v>0.96850393700787396</c:v>
                </c:pt>
                <c:pt idx="5">
                  <c:v>0.96062992125984248</c:v>
                </c:pt>
                <c:pt idx="6">
                  <c:v>0.952755905511811</c:v>
                </c:pt>
                <c:pt idx="7">
                  <c:v>0.94488188976377951</c:v>
                </c:pt>
                <c:pt idx="8">
                  <c:v>0.93700787401574803</c:v>
                </c:pt>
                <c:pt idx="9">
                  <c:v>0.92913385826771655</c:v>
                </c:pt>
                <c:pt idx="10">
                  <c:v>0.92125984251968507</c:v>
                </c:pt>
                <c:pt idx="11">
                  <c:v>0.91338582677165359</c:v>
                </c:pt>
                <c:pt idx="12">
                  <c:v>0.90551181102362199</c:v>
                </c:pt>
                <c:pt idx="13">
                  <c:v>0.89763779527559051</c:v>
                </c:pt>
                <c:pt idx="14">
                  <c:v>0.88976377952755903</c:v>
                </c:pt>
                <c:pt idx="15">
                  <c:v>0.88188976377952755</c:v>
                </c:pt>
                <c:pt idx="16">
                  <c:v>0.87401574803149606</c:v>
                </c:pt>
                <c:pt idx="17">
                  <c:v>0.86614173228346458</c:v>
                </c:pt>
                <c:pt idx="18">
                  <c:v>0.8582677165354331</c:v>
                </c:pt>
                <c:pt idx="19">
                  <c:v>0.85039370078740162</c:v>
                </c:pt>
                <c:pt idx="20">
                  <c:v>0.84251968503937003</c:v>
                </c:pt>
                <c:pt idx="21">
                  <c:v>0.83464566929133854</c:v>
                </c:pt>
                <c:pt idx="22">
                  <c:v>0.82677165354330706</c:v>
                </c:pt>
                <c:pt idx="23">
                  <c:v>0.81889763779527558</c:v>
                </c:pt>
                <c:pt idx="24">
                  <c:v>0.8110236220472441</c:v>
                </c:pt>
                <c:pt idx="25">
                  <c:v>0.80314960629921262</c:v>
                </c:pt>
                <c:pt idx="26">
                  <c:v>0.79527559055118113</c:v>
                </c:pt>
                <c:pt idx="27">
                  <c:v>0.78740157480314965</c:v>
                </c:pt>
                <c:pt idx="28">
                  <c:v>0.77952755905511806</c:v>
                </c:pt>
                <c:pt idx="29">
                  <c:v>0.77165354330708658</c:v>
                </c:pt>
                <c:pt idx="30">
                  <c:v>0.76377952755905509</c:v>
                </c:pt>
                <c:pt idx="31">
                  <c:v>0.75590551181102361</c:v>
                </c:pt>
                <c:pt idx="32">
                  <c:v>0.74803149606299213</c:v>
                </c:pt>
                <c:pt idx="33">
                  <c:v>0.74015748031496065</c:v>
                </c:pt>
                <c:pt idx="34">
                  <c:v>0.73228346456692917</c:v>
                </c:pt>
                <c:pt idx="35">
                  <c:v>0.72440944881889768</c:v>
                </c:pt>
                <c:pt idx="36">
                  <c:v>0.71653543307086609</c:v>
                </c:pt>
                <c:pt idx="37">
                  <c:v>0.70866141732283461</c:v>
                </c:pt>
                <c:pt idx="38">
                  <c:v>0.70078740157480313</c:v>
                </c:pt>
                <c:pt idx="39">
                  <c:v>0.69291338582677164</c:v>
                </c:pt>
                <c:pt idx="40">
                  <c:v>0.68503937007874016</c:v>
                </c:pt>
                <c:pt idx="41">
                  <c:v>0.67716535433070868</c:v>
                </c:pt>
                <c:pt idx="42">
                  <c:v>0.6692913385826772</c:v>
                </c:pt>
                <c:pt idx="43">
                  <c:v>0.66141732283464572</c:v>
                </c:pt>
                <c:pt idx="44">
                  <c:v>0.65354330708661412</c:v>
                </c:pt>
                <c:pt idx="45">
                  <c:v>0.64566929133858264</c:v>
                </c:pt>
                <c:pt idx="46">
                  <c:v>0.63779527559055116</c:v>
                </c:pt>
                <c:pt idx="47">
                  <c:v>0.62992125984251968</c:v>
                </c:pt>
                <c:pt idx="48">
                  <c:v>0.62204724409448819</c:v>
                </c:pt>
                <c:pt idx="49">
                  <c:v>0.61417322834645671</c:v>
                </c:pt>
                <c:pt idx="50">
                  <c:v>0.60629921259842523</c:v>
                </c:pt>
                <c:pt idx="51">
                  <c:v>0.59842519685039375</c:v>
                </c:pt>
                <c:pt idx="52">
                  <c:v>0.59055118110236215</c:v>
                </c:pt>
                <c:pt idx="53">
                  <c:v>0.58267716535433067</c:v>
                </c:pt>
                <c:pt idx="54">
                  <c:v>0.57480314960629919</c:v>
                </c:pt>
                <c:pt idx="55">
                  <c:v>0.56692913385826771</c:v>
                </c:pt>
                <c:pt idx="56">
                  <c:v>0.55905511811023623</c:v>
                </c:pt>
                <c:pt idx="57">
                  <c:v>0.55118110236220474</c:v>
                </c:pt>
                <c:pt idx="58">
                  <c:v>0.54330708661417326</c:v>
                </c:pt>
                <c:pt idx="59">
                  <c:v>0.53543307086614178</c:v>
                </c:pt>
                <c:pt idx="60">
                  <c:v>0.52755905511811019</c:v>
                </c:pt>
                <c:pt idx="61">
                  <c:v>0.51968503937007871</c:v>
                </c:pt>
                <c:pt idx="62">
                  <c:v>0.51181102362204722</c:v>
                </c:pt>
                <c:pt idx="63">
                  <c:v>0.50393700787401574</c:v>
                </c:pt>
                <c:pt idx="64">
                  <c:v>0.49606299212598426</c:v>
                </c:pt>
                <c:pt idx="65">
                  <c:v>0.48818897637795278</c:v>
                </c:pt>
                <c:pt idx="66">
                  <c:v>0.48031496062992124</c:v>
                </c:pt>
                <c:pt idx="67">
                  <c:v>0.47244094488188976</c:v>
                </c:pt>
                <c:pt idx="68">
                  <c:v>0.46456692913385828</c:v>
                </c:pt>
                <c:pt idx="69">
                  <c:v>0.45669291338582679</c:v>
                </c:pt>
                <c:pt idx="70">
                  <c:v>0.44881889763779526</c:v>
                </c:pt>
                <c:pt idx="71">
                  <c:v>0.44094488188976377</c:v>
                </c:pt>
                <c:pt idx="72">
                  <c:v>0.43307086614173229</c:v>
                </c:pt>
                <c:pt idx="73">
                  <c:v>0.42519685039370081</c:v>
                </c:pt>
                <c:pt idx="74">
                  <c:v>0.41732283464566927</c:v>
                </c:pt>
                <c:pt idx="75">
                  <c:v>0.40944881889763779</c:v>
                </c:pt>
                <c:pt idx="76">
                  <c:v>0.40157480314960631</c:v>
                </c:pt>
                <c:pt idx="77">
                  <c:v>0.39370078740157483</c:v>
                </c:pt>
                <c:pt idx="78">
                  <c:v>0.38582677165354329</c:v>
                </c:pt>
                <c:pt idx="79">
                  <c:v>0.37795275590551181</c:v>
                </c:pt>
                <c:pt idx="80">
                  <c:v>0.37007874015748032</c:v>
                </c:pt>
                <c:pt idx="81">
                  <c:v>0.36220472440944884</c:v>
                </c:pt>
                <c:pt idx="82">
                  <c:v>0.3543307086614173</c:v>
                </c:pt>
                <c:pt idx="83">
                  <c:v>0.34645669291338582</c:v>
                </c:pt>
                <c:pt idx="84">
                  <c:v>0.33858267716535434</c:v>
                </c:pt>
                <c:pt idx="85">
                  <c:v>0.33070866141732286</c:v>
                </c:pt>
                <c:pt idx="86">
                  <c:v>0.32283464566929132</c:v>
                </c:pt>
                <c:pt idx="87">
                  <c:v>0.31496062992125984</c:v>
                </c:pt>
                <c:pt idx="88">
                  <c:v>0.30708661417322836</c:v>
                </c:pt>
                <c:pt idx="89">
                  <c:v>0.29921259842519687</c:v>
                </c:pt>
                <c:pt idx="90">
                  <c:v>0.29133858267716534</c:v>
                </c:pt>
                <c:pt idx="91">
                  <c:v>0.28346456692913385</c:v>
                </c:pt>
                <c:pt idx="92">
                  <c:v>0.27559055118110237</c:v>
                </c:pt>
                <c:pt idx="93">
                  <c:v>0.26771653543307089</c:v>
                </c:pt>
                <c:pt idx="94">
                  <c:v>0.25984251968503935</c:v>
                </c:pt>
                <c:pt idx="95">
                  <c:v>0.25196850393700787</c:v>
                </c:pt>
                <c:pt idx="96">
                  <c:v>0.24409448818897639</c:v>
                </c:pt>
                <c:pt idx="97">
                  <c:v>0.23622047244094488</c:v>
                </c:pt>
                <c:pt idx="98">
                  <c:v>0.2283464566929134</c:v>
                </c:pt>
                <c:pt idx="99">
                  <c:v>0.22047244094488189</c:v>
                </c:pt>
                <c:pt idx="100">
                  <c:v>0.2125984251968504</c:v>
                </c:pt>
                <c:pt idx="101">
                  <c:v>0.20472440944881889</c:v>
                </c:pt>
                <c:pt idx="102">
                  <c:v>0.19685039370078741</c:v>
                </c:pt>
                <c:pt idx="103">
                  <c:v>0.1889763779527559</c:v>
                </c:pt>
                <c:pt idx="104">
                  <c:v>0.18110236220472442</c:v>
                </c:pt>
                <c:pt idx="105">
                  <c:v>0.17322834645669291</c:v>
                </c:pt>
                <c:pt idx="106">
                  <c:v>0.16535433070866143</c:v>
                </c:pt>
                <c:pt idx="107">
                  <c:v>0.15748031496062992</c:v>
                </c:pt>
                <c:pt idx="108">
                  <c:v>0.14960629921259844</c:v>
                </c:pt>
                <c:pt idx="109">
                  <c:v>0.14173228346456693</c:v>
                </c:pt>
                <c:pt idx="110">
                  <c:v>0.13385826771653545</c:v>
                </c:pt>
                <c:pt idx="111">
                  <c:v>0.12598425196850394</c:v>
                </c:pt>
                <c:pt idx="112">
                  <c:v>0.11811023622047244</c:v>
                </c:pt>
                <c:pt idx="113">
                  <c:v>0.11023622047244094</c:v>
                </c:pt>
                <c:pt idx="114">
                  <c:v>0.10236220472440945</c:v>
                </c:pt>
                <c:pt idx="115">
                  <c:v>9.4488188976377951E-2</c:v>
                </c:pt>
                <c:pt idx="116">
                  <c:v>8.6614173228346455E-2</c:v>
                </c:pt>
                <c:pt idx="117">
                  <c:v>7.874015748031496E-2</c:v>
                </c:pt>
                <c:pt idx="118">
                  <c:v>7.0866141732283464E-2</c:v>
                </c:pt>
                <c:pt idx="119">
                  <c:v>6.2992125984251968E-2</c:v>
                </c:pt>
                <c:pt idx="120">
                  <c:v>5.5118110236220472E-2</c:v>
                </c:pt>
                <c:pt idx="121">
                  <c:v>4.7244094488188976E-2</c:v>
                </c:pt>
                <c:pt idx="122">
                  <c:v>3.937007874015748E-2</c:v>
                </c:pt>
                <c:pt idx="123">
                  <c:v>3.1496062992125984E-2</c:v>
                </c:pt>
                <c:pt idx="124">
                  <c:v>2.3622047244094488E-2</c:v>
                </c:pt>
                <c:pt idx="125">
                  <c:v>1.5748031496062992E-2</c:v>
                </c:pt>
                <c:pt idx="126">
                  <c:v>7.874015748031496E-3</c:v>
                </c:pt>
                <c:pt idx="127">
                  <c:v>0</c:v>
                </c:pt>
              </c:numCache>
            </c:numRef>
          </c:xVal>
          <c:yVal>
            <c:numRef>
              <c:f>NoiseLevelCurve!$D$5:$D$132</c:f>
              <c:numCache>
                <c:formatCode>General</c:formatCode>
                <c:ptCount val="128"/>
                <c:pt idx="0">
                  <c:v>1</c:v>
                </c:pt>
                <c:pt idx="1">
                  <c:v>0.9985285695920868</c:v>
                </c:pt>
                <c:pt idx="2">
                  <c:v>0.99702466257249367</c:v>
                </c:pt>
                <c:pt idx="3">
                  <c:v>0.99548756213511091</c:v>
                </c:pt>
                <c:pt idx="4">
                  <c:v>0.99391653565287441</c:v>
                </c:pt>
                <c:pt idx="5">
                  <c:v>0.99231083432857403</c:v>
                </c:pt>
                <c:pt idx="6">
                  <c:v>0.99066969283795447</c:v>
                </c:pt>
                <c:pt idx="7">
                  <c:v>0.98899232896494027</c:v>
                </c:pt>
                <c:pt idx="8">
                  <c:v>0.98727794322880769</c:v>
                </c:pt>
                <c:pt idx="9">
                  <c:v>0.98552571850312953</c:v>
                </c:pt>
                <c:pt idx="10">
                  <c:v>0.98373481962630849</c:v>
                </c:pt>
                <c:pt idx="11">
                  <c:v>0.98190439300351462</c:v>
                </c:pt>
                <c:pt idx="12">
                  <c:v>0.98003356619983728</c:v>
                </c:pt>
                <c:pt idx="13">
                  <c:v>0.97812144752445684</c:v>
                </c:pt>
                <c:pt idx="14">
                  <c:v>0.97616712560563912</c:v>
                </c:pt>
                <c:pt idx="15">
                  <c:v>0.97416966895634838</c:v>
                </c:pt>
                <c:pt idx="16">
                  <c:v>0.97212812553027383</c:v>
                </c:pt>
                <c:pt idx="17">
                  <c:v>0.97004152226805618</c:v>
                </c:pt>
                <c:pt idx="18">
                  <c:v>0.96790886463349934</c:v>
                </c:pt>
                <c:pt idx="19">
                  <c:v>0.96572913613954525</c:v>
                </c:pt>
                <c:pt idx="20">
                  <c:v>0.96350129786378613</c:v>
                </c:pt>
                <c:pt idx="21">
                  <c:v>0.96122428795328407</c:v>
                </c:pt>
                <c:pt idx="22">
                  <c:v>0.95889702111846054</c:v>
                </c:pt>
                <c:pt idx="23">
                  <c:v>0.95651838811581569</c:v>
                </c:pt>
                <c:pt idx="24">
                  <c:v>0.95408725521923043</c:v>
                </c:pt>
                <c:pt idx="25">
                  <c:v>0.95160246367959944</c:v>
                </c:pt>
                <c:pt idx="26">
                  <c:v>0.94906282917253748</c:v>
                </c:pt>
                <c:pt idx="27">
                  <c:v>0.9464671412338953</c:v>
                </c:pt>
                <c:pt idx="28">
                  <c:v>0.94381416268281759</c:v>
                </c:pt>
                <c:pt idx="29">
                  <c:v>0.94110262903206587</c:v>
                </c:pt>
                <c:pt idx="30">
                  <c:v>0.93833124788532718</c:v>
                </c:pt>
                <c:pt idx="31">
                  <c:v>0.93549869832122012</c:v>
                </c:pt>
                <c:pt idx="32">
                  <c:v>0.93260363026370485</c:v>
                </c:pt>
                <c:pt idx="33">
                  <c:v>0.92964466383859756</c:v>
                </c:pt>
                <c:pt idx="34">
                  <c:v>0.9266203887158817</c:v>
                </c:pt>
                <c:pt idx="35">
                  <c:v>0.92352936343750403</c:v>
                </c:pt>
                <c:pt idx="36">
                  <c:v>0.9203701147303327</c:v>
                </c:pt>
                <c:pt idx="37">
                  <c:v>0.91714113680395304</c:v>
                </c:pt>
                <c:pt idx="38">
                  <c:v>0.91384089063296314</c:v>
                </c:pt>
                <c:pt idx="39">
                  <c:v>0.91046780322342935</c:v>
                </c:pt>
                <c:pt idx="40">
                  <c:v>0.9070202668631514</c:v>
                </c:pt>
                <c:pt idx="41">
                  <c:v>0.90349663835537997</c:v>
                </c:pt>
                <c:pt idx="42">
                  <c:v>0.89989523823562068</c:v>
                </c:pt>
                <c:pt idx="43">
                  <c:v>0.89621434997115235</c:v>
                </c:pt>
                <c:pt idx="44">
                  <c:v>0.89245221914287687</c:v>
                </c:pt>
                <c:pt idx="45">
                  <c:v>0.88860705260911232</c:v>
                </c:pt>
                <c:pt idx="46">
                  <c:v>0.88467701765092865</c:v>
                </c:pt>
                <c:pt idx="47">
                  <c:v>0.88066024109862062</c:v>
                </c:pt>
                <c:pt idx="48">
                  <c:v>0.87655480843889966</c:v>
                </c:pt>
                <c:pt idx="49">
                  <c:v>0.87235876290238135</c:v>
                </c:pt>
                <c:pt idx="50">
                  <c:v>0.8680701045309317</c:v>
                </c:pt>
                <c:pt idx="51">
                  <c:v>0.86368678922442865</c:v>
                </c:pt>
                <c:pt idx="52">
                  <c:v>0.85920672776648344</c:v>
                </c:pt>
                <c:pt idx="53">
                  <c:v>0.85462778482866031</c:v>
                </c:pt>
                <c:pt idx="54">
                  <c:v>0.84994777795271503</c:v>
                </c:pt>
                <c:pt idx="55">
                  <c:v>0.84516447651037208</c:v>
                </c:pt>
                <c:pt idx="56">
                  <c:v>0.84027560064014195</c:v>
                </c:pt>
                <c:pt idx="57">
                  <c:v>0.83527882016067223</c:v>
                </c:pt>
                <c:pt idx="58">
                  <c:v>0.83017175346011518</c:v>
                </c:pt>
                <c:pt idx="59">
                  <c:v>0.82495196636098145</c:v>
                </c:pt>
                <c:pt idx="60">
                  <c:v>0.81961697095994024</c:v>
                </c:pt>
                <c:pt idx="61">
                  <c:v>0.81416422444201153</c:v>
                </c:pt>
                <c:pt idx="62">
                  <c:v>0.808591127868586</c:v>
                </c:pt>
                <c:pt idx="63">
                  <c:v>0.8028950249386948</c:v>
                </c:pt>
                <c:pt idx="64">
                  <c:v>0.79707320072293897</c:v>
                </c:pt>
                <c:pt idx="65">
                  <c:v>0.79112288036947431</c:v>
                </c:pt>
                <c:pt idx="66">
                  <c:v>0.78504122778143592</c:v>
                </c:pt>
                <c:pt idx="67">
                  <c:v>0.77882534426517147</c:v>
                </c:pt>
                <c:pt idx="68">
                  <c:v>0.77247226714863881</c:v>
                </c:pt>
                <c:pt idx="69">
                  <c:v>0.76597896836931001</c:v>
                </c:pt>
                <c:pt idx="70">
                  <c:v>0.75934235303090758</c:v>
                </c:pt>
                <c:pt idx="71">
                  <c:v>0.75255925792828693</c:v>
                </c:pt>
                <c:pt idx="72">
                  <c:v>0.74562645003975991</c:v>
                </c:pt>
                <c:pt idx="73">
                  <c:v>0.73854062498614192</c:v>
                </c:pt>
                <c:pt idx="74">
                  <c:v>0.73129840545578806</c:v>
                </c:pt>
                <c:pt idx="75">
                  <c:v>0.7238963395948681</c:v>
                </c:pt>
                <c:pt idx="76">
                  <c:v>0.71633089936211114</c:v>
                </c:pt>
                <c:pt idx="77">
                  <c:v>0.70859847884723837</c:v>
                </c:pt>
                <c:pt idx="78">
                  <c:v>0.70069539255228008</c:v>
                </c:pt>
                <c:pt idx="79">
                  <c:v>0.69261787363496041</c:v>
                </c:pt>
                <c:pt idx="80">
                  <c:v>0.68436207211330924</c:v>
                </c:pt>
                <c:pt idx="81">
                  <c:v>0.67592405303064806</c:v>
                </c:pt>
                <c:pt idx="82">
                  <c:v>0.66729979458007538</c:v>
                </c:pt>
                <c:pt idx="83">
                  <c:v>0.65848518618755447</c:v>
                </c:pt>
                <c:pt idx="84">
                  <c:v>0.64947602655269454</c:v>
                </c:pt>
                <c:pt idx="85">
                  <c:v>0.64026802164628749</c:v>
                </c:pt>
                <c:pt idx="86">
                  <c:v>0.63085678266364797</c:v>
                </c:pt>
                <c:pt idx="87">
                  <c:v>0.62123782393278049</c:v>
                </c:pt>
                <c:pt idx="88">
                  <c:v>0.61140656077637701</c:v>
                </c:pt>
                <c:pt idx="89">
                  <c:v>0.60135830732662576</c:v>
                </c:pt>
                <c:pt idx="90">
                  <c:v>0.59108827429178867</c:v>
                </c:pt>
                <c:pt idx="91">
                  <c:v>0.58059156667348555</c:v>
                </c:pt>
                <c:pt idx="92">
                  <c:v>0.56986318143359438</c:v>
                </c:pt>
                <c:pt idx="93">
                  <c:v>0.55889800510965648</c:v>
                </c:pt>
                <c:pt idx="94">
                  <c:v>0.54769081137765085</c:v>
                </c:pt>
                <c:pt idx="95">
                  <c:v>0.53623625856097568</c:v>
                </c:pt>
                <c:pt idx="96">
                  <c:v>0.52452888708444778</c:v>
                </c:pt>
                <c:pt idx="97">
                  <c:v>0.51256311687211042</c:v>
                </c:pt>
                <c:pt idx="98">
                  <c:v>0.50033324468760509</c:v>
                </c:pt>
                <c:pt idx="99">
                  <c:v>0.48783344141584228</c:v>
                </c:pt>
                <c:pt idx="100">
                  <c:v>0.47505774928467426</c:v>
                </c:pt>
                <c:pt idx="101">
                  <c:v>0.46200007902524709</c:v>
                </c:pt>
                <c:pt idx="102">
                  <c:v>0.44865420696967673</c:v>
                </c:pt>
                <c:pt idx="103">
                  <c:v>0.43501377208466607</c:v>
                </c:pt>
                <c:pt idx="104">
                  <c:v>0.42107227293965088</c:v>
                </c:pt>
                <c:pt idx="105">
                  <c:v>0.40682306460802753</c:v>
                </c:pt>
                <c:pt idx="106">
                  <c:v>0.39225935549998669</c:v>
                </c:pt>
                <c:pt idx="107">
                  <c:v>0.3773742041254422</c:v>
                </c:pt>
                <c:pt idx="108">
                  <c:v>0.36216051578551445</c:v>
                </c:pt>
                <c:pt idx="109">
                  <c:v>0.34661103919098812</c:v>
                </c:pt>
                <c:pt idx="110">
                  <c:v>0.33071836300613711</c:v>
                </c:pt>
                <c:pt idx="111">
                  <c:v>0.31447491231626368</c:v>
                </c:pt>
                <c:pt idx="112">
                  <c:v>0.29787294501727213</c:v>
                </c:pt>
                <c:pt idx="113">
                  <c:v>0.2809045481255571</c:v>
                </c:pt>
                <c:pt idx="114">
                  <c:v>0.26356163400644184</c:v>
                </c:pt>
                <c:pt idx="115">
                  <c:v>0.24583593651937619</c:v>
                </c:pt>
                <c:pt idx="116">
                  <c:v>0.22771900707805137</c:v>
                </c:pt>
                <c:pt idx="117">
                  <c:v>0.20920221062355693</c:v>
                </c:pt>
                <c:pt idx="118">
                  <c:v>0.19027672150865815</c:v>
                </c:pt>
                <c:pt idx="119">
                  <c:v>0.17093351929123513</c:v>
                </c:pt>
                <c:pt idx="120">
                  <c:v>0.15116338443487509</c:v>
                </c:pt>
                <c:pt idx="121">
                  <c:v>0.1309568939145721</c:v>
                </c:pt>
                <c:pt idx="122">
                  <c:v>0.11030441672543734</c:v>
                </c:pt>
                <c:pt idx="123">
                  <c:v>8.9196109292280168E-2</c:v>
                </c:pt>
                <c:pt idx="124">
                  <c:v>6.7621910777872163E-2</c:v>
                </c:pt>
                <c:pt idx="125">
                  <c:v>4.5571538287657365E-2</c:v>
                </c:pt>
                <c:pt idx="126">
                  <c:v>2.3034481968623677E-2</c:v>
                </c:pt>
                <c:pt idx="127">
                  <c:v>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6034944"/>
        <c:axId val="306040832"/>
      </c:scatterChart>
      <c:valAx>
        <c:axId val="3060349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06040832"/>
        <c:crosses val="autoZero"/>
        <c:crossBetween val="midCat"/>
      </c:valAx>
      <c:valAx>
        <c:axId val="3060408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06034944"/>
        <c:crosses val="autoZero"/>
        <c:crossBetween val="midCat"/>
      </c:valAx>
    </c:plotArea>
    <c:legend>
      <c:legendPos val="r"/>
      <c:legendEntry>
        <c:idx val="2"/>
        <c:delete val="1"/>
      </c:legendEntry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DlyLevel!$C$2</c:f>
              <c:strCache>
                <c:ptCount val="1"/>
                <c:pt idx="0">
                  <c:v>DelayLevel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2"/>
          </c:marker>
          <c:xVal>
            <c:numRef>
              <c:f>DlyLevel!$B$3:$B$130</c:f>
              <c:numCache>
                <c:formatCode>General</c:formatCode>
                <c:ptCount val="128"/>
                <c:pt idx="0">
                  <c:v>1</c:v>
                </c:pt>
                <c:pt idx="1">
                  <c:v>0.99212598425196852</c:v>
                </c:pt>
                <c:pt idx="2">
                  <c:v>0.98425196850393704</c:v>
                </c:pt>
                <c:pt idx="3">
                  <c:v>0.97637795275590555</c:v>
                </c:pt>
                <c:pt idx="4">
                  <c:v>0.96850393700787396</c:v>
                </c:pt>
                <c:pt idx="5">
                  <c:v>0.96062992125984248</c:v>
                </c:pt>
                <c:pt idx="6">
                  <c:v>0.952755905511811</c:v>
                </c:pt>
                <c:pt idx="7">
                  <c:v>0.94488188976377951</c:v>
                </c:pt>
                <c:pt idx="8">
                  <c:v>0.93700787401574803</c:v>
                </c:pt>
                <c:pt idx="9">
                  <c:v>0.92913385826771655</c:v>
                </c:pt>
                <c:pt idx="10">
                  <c:v>0.92125984251968507</c:v>
                </c:pt>
                <c:pt idx="11">
                  <c:v>0.91338582677165359</c:v>
                </c:pt>
                <c:pt idx="12">
                  <c:v>0.90551181102362199</c:v>
                </c:pt>
                <c:pt idx="13">
                  <c:v>0.89763779527559051</c:v>
                </c:pt>
                <c:pt idx="14">
                  <c:v>0.88976377952755903</c:v>
                </c:pt>
                <c:pt idx="15">
                  <c:v>0.88188976377952755</c:v>
                </c:pt>
                <c:pt idx="16">
                  <c:v>0.87401574803149606</c:v>
                </c:pt>
                <c:pt idx="17">
                  <c:v>0.86614173228346458</c:v>
                </c:pt>
                <c:pt idx="18">
                  <c:v>0.8582677165354331</c:v>
                </c:pt>
                <c:pt idx="19">
                  <c:v>0.85039370078740162</c:v>
                </c:pt>
                <c:pt idx="20">
                  <c:v>0.84251968503937003</c:v>
                </c:pt>
                <c:pt idx="21">
                  <c:v>0.83464566929133854</c:v>
                </c:pt>
                <c:pt idx="22">
                  <c:v>0.82677165354330706</c:v>
                </c:pt>
                <c:pt idx="23">
                  <c:v>0.81889763779527558</c:v>
                </c:pt>
                <c:pt idx="24">
                  <c:v>0.8110236220472441</c:v>
                </c:pt>
                <c:pt idx="25">
                  <c:v>0.80314960629921262</c:v>
                </c:pt>
                <c:pt idx="26">
                  <c:v>0.79527559055118113</c:v>
                </c:pt>
                <c:pt idx="27">
                  <c:v>0.78740157480314965</c:v>
                </c:pt>
                <c:pt idx="28">
                  <c:v>0.77952755905511806</c:v>
                </c:pt>
                <c:pt idx="29">
                  <c:v>0.77165354330708658</c:v>
                </c:pt>
                <c:pt idx="30">
                  <c:v>0.76377952755905509</c:v>
                </c:pt>
                <c:pt idx="31">
                  <c:v>0.75590551181102361</c:v>
                </c:pt>
                <c:pt idx="32">
                  <c:v>0.74803149606299213</c:v>
                </c:pt>
                <c:pt idx="33">
                  <c:v>0.74015748031496065</c:v>
                </c:pt>
                <c:pt idx="34">
                  <c:v>0.73228346456692917</c:v>
                </c:pt>
                <c:pt idx="35">
                  <c:v>0.72440944881889768</c:v>
                </c:pt>
                <c:pt idx="36">
                  <c:v>0.71653543307086609</c:v>
                </c:pt>
                <c:pt idx="37">
                  <c:v>0.70866141732283461</c:v>
                </c:pt>
                <c:pt idx="38">
                  <c:v>0.70078740157480313</c:v>
                </c:pt>
                <c:pt idx="39">
                  <c:v>0.69291338582677164</c:v>
                </c:pt>
                <c:pt idx="40">
                  <c:v>0.68503937007874016</c:v>
                </c:pt>
                <c:pt idx="41">
                  <c:v>0.67716535433070868</c:v>
                </c:pt>
                <c:pt idx="42">
                  <c:v>0.6692913385826772</c:v>
                </c:pt>
                <c:pt idx="43">
                  <c:v>0.66141732283464572</c:v>
                </c:pt>
                <c:pt idx="44">
                  <c:v>0.65354330708661412</c:v>
                </c:pt>
                <c:pt idx="45">
                  <c:v>0.64566929133858264</c:v>
                </c:pt>
                <c:pt idx="46">
                  <c:v>0.63779527559055116</c:v>
                </c:pt>
                <c:pt idx="47">
                  <c:v>0.62992125984251968</c:v>
                </c:pt>
                <c:pt idx="48">
                  <c:v>0.62204724409448819</c:v>
                </c:pt>
                <c:pt idx="49">
                  <c:v>0.61417322834645671</c:v>
                </c:pt>
                <c:pt idx="50">
                  <c:v>0.60629921259842523</c:v>
                </c:pt>
                <c:pt idx="51">
                  <c:v>0.59842519685039375</c:v>
                </c:pt>
                <c:pt idx="52">
                  <c:v>0.59055118110236215</c:v>
                </c:pt>
                <c:pt idx="53">
                  <c:v>0.58267716535433067</c:v>
                </c:pt>
                <c:pt idx="54">
                  <c:v>0.57480314960629919</c:v>
                </c:pt>
                <c:pt idx="55">
                  <c:v>0.56692913385826771</c:v>
                </c:pt>
                <c:pt idx="56">
                  <c:v>0.55905511811023623</c:v>
                </c:pt>
                <c:pt idx="57">
                  <c:v>0.55118110236220474</c:v>
                </c:pt>
                <c:pt idx="58">
                  <c:v>0.54330708661417326</c:v>
                </c:pt>
                <c:pt idx="59">
                  <c:v>0.53543307086614178</c:v>
                </c:pt>
                <c:pt idx="60">
                  <c:v>0.52755905511811019</c:v>
                </c:pt>
                <c:pt idx="61">
                  <c:v>0.51968503937007871</c:v>
                </c:pt>
                <c:pt idx="62">
                  <c:v>0.51181102362204722</c:v>
                </c:pt>
                <c:pt idx="63">
                  <c:v>0.50393700787401574</c:v>
                </c:pt>
                <c:pt idx="64">
                  <c:v>0.49606299212598426</c:v>
                </c:pt>
                <c:pt idx="65">
                  <c:v>0.48818897637795278</c:v>
                </c:pt>
                <c:pt idx="66">
                  <c:v>0.48031496062992124</c:v>
                </c:pt>
                <c:pt idx="67">
                  <c:v>0.47244094488188976</c:v>
                </c:pt>
                <c:pt idx="68">
                  <c:v>0.46456692913385828</c:v>
                </c:pt>
                <c:pt idx="69">
                  <c:v>0.45669291338582679</c:v>
                </c:pt>
                <c:pt idx="70">
                  <c:v>0.44881889763779526</c:v>
                </c:pt>
                <c:pt idx="71">
                  <c:v>0.44094488188976377</c:v>
                </c:pt>
                <c:pt idx="72">
                  <c:v>0.43307086614173229</c:v>
                </c:pt>
                <c:pt idx="73">
                  <c:v>0.42519685039370081</c:v>
                </c:pt>
                <c:pt idx="74">
                  <c:v>0.41732283464566927</c:v>
                </c:pt>
                <c:pt idx="75">
                  <c:v>0.40944881889763779</c:v>
                </c:pt>
                <c:pt idx="76">
                  <c:v>0.40157480314960631</c:v>
                </c:pt>
                <c:pt idx="77">
                  <c:v>0.39370078740157483</c:v>
                </c:pt>
                <c:pt idx="78">
                  <c:v>0.38582677165354329</c:v>
                </c:pt>
                <c:pt idx="79">
                  <c:v>0.37795275590551181</c:v>
                </c:pt>
                <c:pt idx="80">
                  <c:v>0.37007874015748032</c:v>
                </c:pt>
                <c:pt idx="81">
                  <c:v>0.36220472440944884</c:v>
                </c:pt>
                <c:pt idx="82">
                  <c:v>0.3543307086614173</c:v>
                </c:pt>
                <c:pt idx="83">
                  <c:v>0.34645669291338582</c:v>
                </c:pt>
                <c:pt idx="84">
                  <c:v>0.33858267716535434</c:v>
                </c:pt>
                <c:pt idx="85">
                  <c:v>0.33070866141732286</c:v>
                </c:pt>
                <c:pt idx="86">
                  <c:v>0.32283464566929132</c:v>
                </c:pt>
                <c:pt idx="87">
                  <c:v>0.31496062992125984</c:v>
                </c:pt>
                <c:pt idx="88">
                  <c:v>0.30708661417322836</c:v>
                </c:pt>
                <c:pt idx="89">
                  <c:v>0.29921259842519687</c:v>
                </c:pt>
                <c:pt idx="90">
                  <c:v>0.29133858267716534</c:v>
                </c:pt>
                <c:pt idx="91">
                  <c:v>0.28346456692913385</c:v>
                </c:pt>
                <c:pt idx="92">
                  <c:v>0.27559055118110237</c:v>
                </c:pt>
                <c:pt idx="93">
                  <c:v>0.26771653543307089</c:v>
                </c:pt>
                <c:pt idx="94">
                  <c:v>0.25984251968503935</c:v>
                </c:pt>
                <c:pt idx="95">
                  <c:v>0.25196850393700787</c:v>
                </c:pt>
                <c:pt idx="96">
                  <c:v>0.24409448818897639</c:v>
                </c:pt>
                <c:pt idx="97">
                  <c:v>0.23622047244094488</c:v>
                </c:pt>
                <c:pt idx="98">
                  <c:v>0.2283464566929134</c:v>
                </c:pt>
                <c:pt idx="99">
                  <c:v>0.22047244094488189</c:v>
                </c:pt>
                <c:pt idx="100">
                  <c:v>0.2125984251968504</c:v>
                </c:pt>
                <c:pt idx="101">
                  <c:v>0.20472440944881889</c:v>
                </c:pt>
                <c:pt idx="102">
                  <c:v>0.19685039370078741</c:v>
                </c:pt>
                <c:pt idx="103">
                  <c:v>0.1889763779527559</c:v>
                </c:pt>
                <c:pt idx="104">
                  <c:v>0.18110236220472442</c:v>
                </c:pt>
                <c:pt idx="105">
                  <c:v>0.17322834645669291</c:v>
                </c:pt>
                <c:pt idx="106">
                  <c:v>0.16535433070866143</c:v>
                </c:pt>
                <c:pt idx="107">
                  <c:v>0.15748031496062992</c:v>
                </c:pt>
                <c:pt idx="108">
                  <c:v>0.14960629921259844</c:v>
                </c:pt>
                <c:pt idx="109">
                  <c:v>0.14173228346456693</c:v>
                </c:pt>
                <c:pt idx="110">
                  <c:v>0.13385826771653545</c:v>
                </c:pt>
                <c:pt idx="111">
                  <c:v>0.12598425196850394</c:v>
                </c:pt>
                <c:pt idx="112">
                  <c:v>0.11811023622047244</c:v>
                </c:pt>
                <c:pt idx="113">
                  <c:v>0.11023622047244094</c:v>
                </c:pt>
                <c:pt idx="114">
                  <c:v>0.10236220472440945</c:v>
                </c:pt>
                <c:pt idx="115">
                  <c:v>9.4488188976377951E-2</c:v>
                </c:pt>
                <c:pt idx="116">
                  <c:v>8.6614173228346455E-2</c:v>
                </c:pt>
                <c:pt idx="117">
                  <c:v>7.874015748031496E-2</c:v>
                </c:pt>
                <c:pt idx="118">
                  <c:v>7.0866141732283464E-2</c:v>
                </c:pt>
                <c:pt idx="119">
                  <c:v>6.2992125984251968E-2</c:v>
                </c:pt>
                <c:pt idx="120">
                  <c:v>5.5118110236220472E-2</c:v>
                </c:pt>
                <c:pt idx="121">
                  <c:v>4.7244094488188976E-2</c:v>
                </c:pt>
                <c:pt idx="122">
                  <c:v>3.937007874015748E-2</c:v>
                </c:pt>
                <c:pt idx="123">
                  <c:v>3.1496062992125984E-2</c:v>
                </c:pt>
                <c:pt idx="124">
                  <c:v>2.3622047244094488E-2</c:v>
                </c:pt>
                <c:pt idx="125">
                  <c:v>1.5748031496062992E-2</c:v>
                </c:pt>
                <c:pt idx="126">
                  <c:v>7.874015748031496E-3</c:v>
                </c:pt>
                <c:pt idx="127">
                  <c:v>0</c:v>
                </c:pt>
              </c:numCache>
            </c:numRef>
          </c:xVal>
          <c:yVal>
            <c:numRef>
              <c:f>DlyLevel!$C$3:$C$130</c:f>
              <c:numCache>
                <c:formatCode>General</c:formatCode>
                <c:ptCount val="128"/>
                <c:pt idx="0">
                  <c:v>1</c:v>
                </c:pt>
                <c:pt idx="1">
                  <c:v>0.97656346493795354</c:v>
                </c:pt>
                <c:pt idx="2">
                  <c:v>0.95349600148019209</c:v>
                </c:pt>
                <c:pt idx="3">
                  <c:v>0.93079468048699887</c:v>
                </c:pt>
                <c:pt idx="4">
                  <c:v>0.90845657281865733</c:v>
                </c:pt>
                <c:pt idx="5">
                  <c:v>0.88647874933545134</c:v>
                </c:pt>
                <c:pt idx="6">
                  <c:v>0.86485828089766414</c:v>
                </c:pt>
                <c:pt idx="7">
                  <c:v>0.84359223836557906</c:v>
                </c:pt>
                <c:pt idx="8">
                  <c:v>0.82267769259947976</c:v>
                </c:pt>
                <c:pt idx="9">
                  <c:v>0.80211171445964935</c:v>
                </c:pt>
                <c:pt idx="10">
                  <c:v>0.78189137480637172</c:v>
                </c:pt>
                <c:pt idx="11">
                  <c:v>0.76201374449993009</c:v>
                </c:pt>
                <c:pt idx="12">
                  <c:v>0.74247589440060757</c:v>
                </c:pt>
                <c:pt idx="13">
                  <c:v>0.72327489536868828</c:v>
                </c:pt>
                <c:pt idx="14">
                  <c:v>0.70440781826445531</c:v>
                </c:pt>
                <c:pt idx="15">
                  <c:v>0.68587173394819234</c:v>
                </c:pt>
                <c:pt idx="16">
                  <c:v>0.66766371328018248</c:v>
                </c:pt>
                <c:pt idx="17">
                  <c:v>0.64978082712070939</c:v>
                </c:pt>
                <c:pt idx="18">
                  <c:v>0.63222014633005652</c:v>
                </c:pt>
                <c:pt idx="19">
                  <c:v>0.61497874176850731</c:v>
                </c:pt>
                <c:pt idx="20">
                  <c:v>0.59805368429634487</c:v>
                </c:pt>
                <c:pt idx="21">
                  <c:v>0.58144204477385319</c:v>
                </c:pt>
                <c:pt idx="22">
                  <c:v>0.56514089406131562</c:v>
                </c:pt>
                <c:pt idx="23">
                  <c:v>0.54914730301901549</c:v>
                </c:pt>
                <c:pt idx="24">
                  <c:v>0.53345834250723623</c:v>
                </c:pt>
                <c:pt idx="25">
                  <c:v>0.51807108338626129</c:v>
                </c:pt>
                <c:pt idx="26">
                  <c:v>0.50298259651637423</c:v>
                </c:pt>
                <c:pt idx="27">
                  <c:v>0.48818995275785831</c:v>
                </c:pt>
                <c:pt idx="28">
                  <c:v>0.473690222970997</c:v>
                </c:pt>
                <c:pt idx="29">
                  <c:v>0.45948047801607411</c:v>
                </c:pt>
                <c:pt idx="30">
                  <c:v>0.44555778875337276</c:v>
                </c:pt>
                <c:pt idx="31">
                  <c:v>0.43191922604317645</c:v>
                </c:pt>
                <c:pt idx="32">
                  <c:v>0.41856186074576873</c:v>
                </c:pt>
                <c:pt idx="33">
                  <c:v>0.40548276372143294</c:v>
                </c:pt>
                <c:pt idx="34">
                  <c:v>0.39267900583045262</c:v>
                </c:pt>
                <c:pt idx="35">
                  <c:v>0.38014765793311117</c:v>
                </c:pt>
                <c:pt idx="36">
                  <c:v>0.36788579088969192</c:v>
                </c:pt>
                <c:pt idx="37">
                  <c:v>0.35589047556047865</c:v>
                </c:pt>
                <c:pt idx="38">
                  <c:v>0.34415878280575457</c:v>
                </c:pt>
                <c:pt idx="39">
                  <c:v>0.33268778348580319</c:v>
                </c:pt>
                <c:pt idx="40">
                  <c:v>0.32147454846090795</c:v>
                </c:pt>
                <c:pt idx="41">
                  <c:v>0.31051614859135235</c:v>
                </c:pt>
                <c:pt idx="42">
                  <c:v>0.29980965473741972</c:v>
                </c:pt>
                <c:pt idx="43">
                  <c:v>0.28935213775939367</c:v>
                </c:pt>
                <c:pt idx="44">
                  <c:v>0.27914066851755742</c:v>
                </c:pt>
                <c:pt idx="45">
                  <c:v>0.26917231787219476</c:v>
                </c:pt>
                <c:pt idx="46">
                  <c:v>0.25944415668358894</c:v>
                </c:pt>
                <c:pt idx="47">
                  <c:v>0.24995325581202343</c:v>
                </c:pt>
                <c:pt idx="48">
                  <c:v>0.24069668611778169</c:v>
                </c:pt>
                <c:pt idx="49">
                  <c:v>0.23167151846114717</c:v>
                </c:pt>
                <c:pt idx="50">
                  <c:v>0.22287482370240336</c:v>
                </c:pt>
                <c:pt idx="51">
                  <c:v>0.21430367270183365</c:v>
                </c:pt>
                <c:pt idx="52">
                  <c:v>0.2059551363197214</c:v>
                </c:pt>
                <c:pt idx="53">
                  <c:v>0.19782628541635033</c:v>
                </c:pt>
                <c:pt idx="54">
                  <c:v>0.18991419085200373</c:v>
                </c:pt>
                <c:pt idx="55">
                  <c:v>0.18221592348696508</c:v>
                </c:pt>
                <c:pt idx="56">
                  <c:v>0.17472855418151781</c:v>
                </c:pt>
                <c:pt idx="57">
                  <c:v>0.16744915379594541</c:v>
                </c:pt>
                <c:pt idx="58">
                  <c:v>0.16037479319053127</c:v>
                </c:pt>
                <c:pt idx="59">
                  <c:v>0.15350254322555895</c:v>
                </c:pt>
                <c:pt idx="60">
                  <c:v>0.1468294747613117</c:v>
                </c:pt>
                <c:pt idx="61">
                  <c:v>0.1403526586580732</c:v>
                </c:pt>
                <c:pt idx="62">
                  <c:v>0.13406916577612682</c:v>
                </c:pt>
                <c:pt idx="63">
                  <c:v>0.12797606697575598</c:v>
                </c:pt>
                <c:pt idx="64">
                  <c:v>0.12207043311724419</c:v>
                </c:pt>
                <c:pt idx="65">
                  <c:v>0.11634933506087486</c:v>
                </c:pt>
                <c:pt idx="66">
                  <c:v>0.11080984366693142</c:v>
                </c:pt>
                <c:pt idx="67">
                  <c:v>0.10544902979569738</c:v>
                </c:pt>
                <c:pt idx="68">
                  <c:v>0.10026396430745617</c:v>
                </c:pt>
                <c:pt idx="69">
                  <c:v>9.5251718062491261E-2</c:v>
                </c:pt>
                <c:pt idx="70">
                  <c:v>9.0409361921086034E-2</c:v>
                </c:pt>
                <c:pt idx="71">
                  <c:v>8.5733966743524043E-2</c:v>
                </c:pt>
                <c:pt idx="72">
                  <c:v>8.1222603390088674E-2</c:v>
                </c:pt>
                <c:pt idx="73">
                  <c:v>7.6872342721063414E-2</c:v>
                </c:pt>
                <c:pt idx="74">
                  <c:v>7.2680255596731649E-2</c:v>
                </c:pt>
                <c:pt idx="75">
                  <c:v>6.8643412877376936E-2</c:v>
                </c:pt>
                <c:pt idx="76">
                  <c:v>6.4758885423282661E-2</c:v>
                </c:pt>
                <c:pt idx="77">
                  <c:v>6.1023744094732289E-2</c:v>
                </c:pt>
                <c:pt idx="78">
                  <c:v>5.7435059752009264E-2</c:v>
                </c:pt>
                <c:pt idx="79">
                  <c:v>5.3989903255397056E-2</c:v>
                </c:pt>
                <c:pt idx="80">
                  <c:v>5.0685345465179117E-2</c:v>
                </c:pt>
                <c:pt idx="81">
                  <c:v>4.7518457241638896E-2</c:v>
                </c:pt>
                <c:pt idx="82">
                  <c:v>4.4486309445059831E-2</c:v>
                </c:pt>
                <c:pt idx="83">
                  <c:v>4.1585972935725399E-2</c:v>
                </c:pt>
                <c:pt idx="84">
                  <c:v>3.8814518573919043E-2</c:v>
                </c:pt>
                <c:pt idx="85">
                  <c:v>3.6169017219924209E-2</c:v>
                </c:pt>
                <c:pt idx="86">
                  <c:v>3.3646539734024344E-2</c:v>
                </c:pt>
                <c:pt idx="87">
                  <c:v>3.1244156976502929E-2</c:v>
                </c:pt>
                <c:pt idx="88">
                  <c:v>2.8958939807643396E-2</c:v>
                </c:pt>
                <c:pt idx="89">
                  <c:v>2.6787959087729206E-2</c:v>
                </c:pt>
                <c:pt idx="90">
                  <c:v>2.4728285677043792E-2</c:v>
                </c:pt>
                <c:pt idx="91">
                  <c:v>2.2776990435870635E-2</c:v>
                </c:pt>
                <c:pt idx="92">
                  <c:v>2.0931144224493176E-2</c:v>
                </c:pt>
                <c:pt idx="93">
                  <c:v>1.9187817903194869E-2</c:v>
                </c:pt>
                <c:pt idx="94">
                  <c:v>1.754408233225915E-2</c:v>
                </c:pt>
                <c:pt idx="95">
                  <c:v>1.5997008371969497E-2</c:v>
                </c:pt>
                <c:pt idx="96">
                  <c:v>1.4543666882609357E-2</c:v>
                </c:pt>
                <c:pt idx="97">
                  <c:v>1.3181128724462173E-2</c:v>
                </c:pt>
                <c:pt idx="98">
                  <c:v>1.1906464757811408E-2</c:v>
                </c:pt>
                <c:pt idx="99">
                  <c:v>1.0716745842940505E-2</c:v>
                </c:pt>
                <c:pt idx="100">
                  <c:v>9.6090428401329267E-3</c:v>
                </c:pt>
                <c:pt idx="101">
                  <c:v>8.580426609672117E-3</c:v>
                </c:pt>
                <c:pt idx="102">
                  <c:v>7.6279680118415362E-3</c:v>
                </c:pt>
                <c:pt idx="103">
                  <c:v>6.7487379069246321E-3</c:v>
                </c:pt>
                <c:pt idx="104">
                  <c:v>5.9398071552048621E-3</c:v>
                </c:pt>
                <c:pt idx="105">
                  <c:v>5.1982466169656748E-3</c:v>
                </c:pt>
                <c:pt idx="106">
                  <c:v>4.5211271524905261E-3</c:v>
                </c:pt>
                <c:pt idx="107">
                  <c:v>3.9055196220628662E-3</c:v>
                </c:pt>
                <c:pt idx="108">
                  <c:v>3.3484948859661507E-3</c:v>
                </c:pt>
                <c:pt idx="109">
                  <c:v>2.8471238044838294E-3</c:v>
                </c:pt>
                <c:pt idx="110">
                  <c:v>2.3984772378993586E-3</c:v>
                </c:pt>
                <c:pt idx="111">
                  <c:v>1.9996260464961871E-3</c:v>
                </c:pt>
                <c:pt idx="112">
                  <c:v>1.6476410905577716E-3</c:v>
                </c:pt>
                <c:pt idx="113">
                  <c:v>1.3395932303675632E-3</c:v>
                </c:pt>
                <c:pt idx="114">
                  <c:v>1.0725533262090146E-3</c:v>
                </c:pt>
                <c:pt idx="115">
                  <c:v>8.4359223836557901E-4</c:v>
                </c:pt>
                <c:pt idx="116">
                  <c:v>6.4978082712070936E-4</c:v>
                </c:pt>
                <c:pt idx="117">
                  <c:v>4.8818995275785827E-4</c:v>
                </c:pt>
                <c:pt idx="118">
                  <c:v>3.5589047556047867E-4</c:v>
                </c:pt>
                <c:pt idx="119">
                  <c:v>2.4995325581202339E-4</c:v>
                </c:pt>
                <c:pt idx="120">
                  <c:v>1.674491537959454E-4</c:v>
                </c:pt>
                <c:pt idx="121">
                  <c:v>1.0544902979569738E-4</c:v>
                </c:pt>
                <c:pt idx="122">
                  <c:v>6.1023744094732284E-5</c:v>
                </c:pt>
                <c:pt idx="123">
                  <c:v>3.1244156976502924E-5</c:v>
                </c:pt>
                <c:pt idx="124">
                  <c:v>1.3181128724462172E-5</c:v>
                </c:pt>
                <c:pt idx="125">
                  <c:v>3.9055196220628655E-6</c:v>
                </c:pt>
                <c:pt idx="126">
                  <c:v>4.8818995275785818E-7</c:v>
                </c:pt>
                <c:pt idx="127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3071616"/>
        <c:axId val="303073152"/>
      </c:scatterChart>
      <c:valAx>
        <c:axId val="3030716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03073152"/>
        <c:crosses val="autoZero"/>
        <c:crossBetween val="midCat"/>
      </c:valAx>
      <c:valAx>
        <c:axId val="3030731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0307161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OscClipping!$B$3</c:f>
              <c:strCache>
                <c:ptCount val="1"/>
                <c:pt idx="0">
                  <c:v>tanh(x/k)</c:v>
                </c:pt>
              </c:strCache>
            </c:strRef>
          </c:tx>
          <c:marker>
            <c:symbol val="none"/>
          </c:marker>
          <c:xVal>
            <c:numRef>
              <c:f>OscClipping!$A$4:$A$516</c:f>
              <c:numCache>
                <c:formatCode>General</c:formatCode>
                <c:ptCount val="513"/>
                <c:pt idx="0">
                  <c:v>-1</c:v>
                </c:pt>
                <c:pt idx="1">
                  <c:v>-0.99609375</c:v>
                </c:pt>
                <c:pt idx="2">
                  <c:v>-0.9921875</c:v>
                </c:pt>
                <c:pt idx="3">
                  <c:v>-0.98828125</c:v>
                </c:pt>
                <c:pt idx="4">
                  <c:v>-0.984375</c:v>
                </c:pt>
                <c:pt idx="5">
                  <c:v>-0.98046875</c:v>
                </c:pt>
                <c:pt idx="6">
                  <c:v>-0.9765625</c:v>
                </c:pt>
                <c:pt idx="7">
                  <c:v>-0.97265625</c:v>
                </c:pt>
                <c:pt idx="8">
                  <c:v>-0.96875</c:v>
                </c:pt>
                <c:pt idx="9">
                  <c:v>-0.96484375</c:v>
                </c:pt>
                <c:pt idx="10">
                  <c:v>-0.9609375</c:v>
                </c:pt>
                <c:pt idx="11">
                  <c:v>-0.95703125</c:v>
                </c:pt>
                <c:pt idx="12">
                  <c:v>-0.953125</c:v>
                </c:pt>
                <c:pt idx="13">
                  <c:v>-0.94921875</c:v>
                </c:pt>
                <c:pt idx="14">
                  <c:v>-0.9453125</c:v>
                </c:pt>
                <c:pt idx="15">
                  <c:v>-0.94140625</c:v>
                </c:pt>
                <c:pt idx="16">
                  <c:v>-0.9375</c:v>
                </c:pt>
                <c:pt idx="17">
                  <c:v>-0.93359375</c:v>
                </c:pt>
                <c:pt idx="18">
                  <c:v>-0.9296875</c:v>
                </c:pt>
                <c:pt idx="19">
                  <c:v>-0.92578125</c:v>
                </c:pt>
                <c:pt idx="20">
                  <c:v>-0.921875</c:v>
                </c:pt>
                <c:pt idx="21">
                  <c:v>-0.91796875</c:v>
                </c:pt>
                <c:pt idx="22">
                  <c:v>-0.9140625</c:v>
                </c:pt>
                <c:pt idx="23">
                  <c:v>-0.91015625</c:v>
                </c:pt>
                <c:pt idx="24">
                  <c:v>-0.90625</c:v>
                </c:pt>
                <c:pt idx="25">
                  <c:v>-0.90234375</c:v>
                </c:pt>
                <c:pt idx="26">
                  <c:v>-0.8984375</c:v>
                </c:pt>
                <c:pt idx="27">
                  <c:v>-0.89453125</c:v>
                </c:pt>
                <c:pt idx="28">
                  <c:v>-0.890625</c:v>
                </c:pt>
                <c:pt idx="29">
                  <c:v>-0.88671875</c:v>
                </c:pt>
                <c:pt idx="30">
                  <c:v>-0.8828125</c:v>
                </c:pt>
                <c:pt idx="31">
                  <c:v>-0.87890625</c:v>
                </c:pt>
                <c:pt idx="32">
                  <c:v>-0.875</c:v>
                </c:pt>
                <c:pt idx="33">
                  <c:v>-0.87109375</c:v>
                </c:pt>
                <c:pt idx="34">
                  <c:v>-0.8671875</c:v>
                </c:pt>
                <c:pt idx="35">
                  <c:v>-0.86328125</c:v>
                </c:pt>
                <c:pt idx="36">
                  <c:v>-0.859375</c:v>
                </c:pt>
                <c:pt idx="37">
                  <c:v>-0.85546875</c:v>
                </c:pt>
                <c:pt idx="38">
                  <c:v>-0.8515625</c:v>
                </c:pt>
                <c:pt idx="39">
                  <c:v>-0.84765625</c:v>
                </c:pt>
                <c:pt idx="40">
                  <c:v>-0.84375</c:v>
                </c:pt>
                <c:pt idx="41">
                  <c:v>-0.83984375</c:v>
                </c:pt>
                <c:pt idx="42">
                  <c:v>-0.8359375</c:v>
                </c:pt>
                <c:pt idx="43">
                  <c:v>-0.83203125</c:v>
                </c:pt>
                <c:pt idx="44">
                  <c:v>-0.828125</c:v>
                </c:pt>
                <c:pt idx="45">
                  <c:v>-0.82421875</c:v>
                </c:pt>
                <c:pt idx="46">
                  <c:v>-0.8203125</c:v>
                </c:pt>
                <c:pt idx="47">
                  <c:v>-0.81640625</c:v>
                </c:pt>
                <c:pt idx="48">
                  <c:v>-0.8125</c:v>
                </c:pt>
                <c:pt idx="49">
                  <c:v>-0.80859375</c:v>
                </c:pt>
                <c:pt idx="50">
                  <c:v>-0.8046875</c:v>
                </c:pt>
                <c:pt idx="51">
                  <c:v>-0.80078125</c:v>
                </c:pt>
                <c:pt idx="52">
                  <c:v>-0.796875</c:v>
                </c:pt>
                <c:pt idx="53">
                  <c:v>-0.79296875</c:v>
                </c:pt>
                <c:pt idx="54">
                  <c:v>-0.7890625</c:v>
                </c:pt>
                <c:pt idx="55">
                  <c:v>-0.78515625</c:v>
                </c:pt>
                <c:pt idx="56">
                  <c:v>-0.78125</c:v>
                </c:pt>
                <c:pt idx="57">
                  <c:v>-0.77734375</c:v>
                </c:pt>
                <c:pt idx="58">
                  <c:v>-0.7734375</c:v>
                </c:pt>
                <c:pt idx="59">
                  <c:v>-0.76953125</c:v>
                </c:pt>
                <c:pt idx="60">
                  <c:v>-0.765625</c:v>
                </c:pt>
                <c:pt idx="61">
                  <c:v>-0.76171875</c:v>
                </c:pt>
                <c:pt idx="62">
                  <c:v>-0.7578125</c:v>
                </c:pt>
                <c:pt idx="63">
                  <c:v>-0.75390625</c:v>
                </c:pt>
                <c:pt idx="64">
                  <c:v>-0.75</c:v>
                </c:pt>
                <c:pt idx="65">
                  <c:v>-0.74609375</c:v>
                </c:pt>
                <c:pt idx="66">
                  <c:v>-0.7421875</c:v>
                </c:pt>
                <c:pt idx="67">
                  <c:v>-0.73828125</c:v>
                </c:pt>
                <c:pt idx="68">
                  <c:v>-0.734375</c:v>
                </c:pt>
                <c:pt idx="69">
                  <c:v>-0.73046875</c:v>
                </c:pt>
                <c:pt idx="70">
                  <c:v>-0.7265625</c:v>
                </c:pt>
                <c:pt idx="71">
                  <c:v>-0.72265625</c:v>
                </c:pt>
                <c:pt idx="72">
                  <c:v>-0.71875</c:v>
                </c:pt>
                <c:pt idx="73">
                  <c:v>-0.71484375</c:v>
                </c:pt>
                <c:pt idx="74">
                  <c:v>-0.7109375</c:v>
                </c:pt>
                <c:pt idx="75">
                  <c:v>-0.70703125</c:v>
                </c:pt>
                <c:pt idx="76">
                  <c:v>-0.703125</c:v>
                </c:pt>
                <c:pt idx="77">
                  <c:v>-0.69921875</c:v>
                </c:pt>
                <c:pt idx="78">
                  <c:v>-0.6953125</c:v>
                </c:pt>
                <c:pt idx="79">
                  <c:v>-0.69140625</c:v>
                </c:pt>
                <c:pt idx="80">
                  <c:v>-0.6875</c:v>
                </c:pt>
                <c:pt idx="81">
                  <c:v>-0.68359375</c:v>
                </c:pt>
                <c:pt idx="82">
                  <c:v>-0.6796875</c:v>
                </c:pt>
                <c:pt idx="83">
                  <c:v>-0.67578125</c:v>
                </c:pt>
                <c:pt idx="84">
                  <c:v>-0.671875</c:v>
                </c:pt>
                <c:pt idx="85">
                  <c:v>-0.66796875</c:v>
                </c:pt>
                <c:pt idx="86">
                  <c:v>-0.6640625</c:v>
                </c:pt>
                <c:pt idx="87">
                  <c:v>-0.66015625</c:v>
                </c:pt>
                <c:pt idx="88">
                  <c:v>-0.65625</c:v>
                </c:pt>
                <c:pt idx="89">
                  <c:v>-0.65234375</c:v>
                </c:pt>
                <c:pt idx="90">
                  <c:v>-0.6484375</c:v>
                </c:pt>
                <c:pt idx="91">
                  <c:v>-0.64453125</c:v>
                </c:pt>
                <c:pt idx="92">
                  <c:v>-0.640625</c:v>
                </c:pt>
                <c:pt idx="93">
                  <c:v>-0.63671875</c:v>
                </c:pt>
                <c:pt idx="94">
                  <c:v>-0.6328125</c:v>
                </c:pt>
                <c:pt idx="95">
                  <c:v>-0.62890625</c:v>
                </c:pt>
                <c:pt idx="96">
                  <c:v>-0.625</c:v>
                </c:pt>
                <c:pt idx="97">
                  <c:v>-0.62109375</c:v>
                </c:pt>
                <c:pt idx="98">
                  <c:v>-0.6171875</c:v>
                </c:pt>
                <c:pt idx="99">
                  <c:v>-0.61328125</c:v>
                </c:pt>
                <c:pt idx="100">
                  <c:v>-0.609375</c:v>
                </c:pt>
                <c:pt idx="101">
                  <c:v>-0.60546875</c:v>
                </c:pt>
                <c:pt idx="102">
                  <c:v>-0.6015625</c:v>
                </c:pt>
                <c:pt idx="103">
                  <c:v>-0.59765625</c:v>
                </c:pt>
                <c:pt idx="104">
                  <c:v>-0.59375</c:v>
                </c:pt>
                <c:pt idx="105">
                  <c:v>-0.58984375</c:v>
                </c:pt>
                <c:pt idx="106">
                  <c:v>-0.5859375</c:v>
                </c:pt>
                <c:pt idx="107">
                  <c:v>-0.58203125</c:v>
                </c:pt>
                <c:pt idx="108">
                  <c:v>-0.578125</c:v>
                </c:pt>
                <c:pt idx="109">
                  <c:v>-0.57421875</c:v>
                </c:pt>
                <c:pt idx="110">
                  <c:v>-0.5703125</c:v>
                </c:pt>
                <c:pt idx="111">
                  <c:v>-0.56640625</c:v>
                </c:pt>
                <c:pt idx="112">
                  <c:v>-0.5625</c:v>
                </c:pt>
                <c:pt idx="113">
                  <c:v>-0.55859375</c:v>
                </c:pt>
                <c:pt idx="114">
                  <c:v>-0.5546875</c:v>
                </c:pt>
                <c:pt idx="115">
                  <c:v>-0.55078125</c:v>
                </c:pt>
                <c:pt idx="116">
                  <c:v>-0.546875</c:v>
                </c:pt>
                <c:pt idx="117">
                  <c:v>-0.54296875</c:v>
                </c:pt>
                <c:pt idx="118">
                  <c:v>-0.5390625</c:v>
                </c:pt>
                <c:pt idx="119">
                  <c:v>-0.53515625</c:v>
                </c:pt>
                <c:pt idx="120">
                  <c:v>-0.53125</c:v>
                </c:pt>
                <c:pt idx="121">
                  <c:v>-0.52734375</c:v>
                </c:pt>
                <c:pt idx="122">
                  <c:v>-0.5234375</c:v>
                </c:pt>
                <c:pt idx="123">
                  <c:v>-0.51953125</c:v>
                </c:pt>
                <c:pt idx="124">
                  <c:v>-0.515625</c:v>
                </c:pt>
                <c:pt idx="125">
                  <c:v>-0.51171875</c:v>
                </c:pt>
                <c:pt idx="126">
                  <c:v>-0.5078125</c:v>
                </c:pt>
                <c:pt idx="127">
                  <c:v>-0.50390625</c:v>
                </c:pt>
                <c:pt idx="128">
                  <c:v>-0.5</c:v>
                </c:pt>
                <c:pt idx="129">
                  <c:v>-0.49609375</c:v>
                </c:pt>
                <c:pt idx="130">
                  <c:v>-0.4921875</c:v>
                </c:pt>
                <c:pt idx="131">
                  <c:v>-0.48828125</c:v>
                </c:pt>
                <c:pt idx="132">
                  <c:v>-0.484375</c:v>
                </c:pt>
                <c:pt idx="133">
                  <c:v>-0.48046875</c:v>
                </c:pt>
                <c:pt idx="134">
                  <c:v>-0.4765625</c:v>
                </c:pt>
                <c:pt idx="135">
                  <c:v>-0.47265625</c:v>
                </c:pt>
                <c:pt idx="136">
                  <c:v>-0.46875</c:v>
                </c:pt>
                <c:pt idx="137">
                  <c:v>-0.46484375</c:v>
                </c:pt>
                <c:pt idx="138">
                  <c:v>-0.4609375</c:v>
                </c:pt>
                <c:pt idx="139">
                  <c:v>-0.45703125</c:v>
                </c:pt>
                <c:pt idx="140">
                  <c:v>-0.453125</c:v>
                </c:pt>
                <c:pt idx="141">
                  <c:v>-0.44921875</c:v>
                </c:pt>
                <c:pt idx="142">
                  <c:v>-0.4453125</c:v>
                </c:pt>
                <c:pt idx="143">
                  <c:v>-0.44140625</c:v>
                </c:pt>
                <c:pt idx="144">
                  <c:v>-0.4375</c:v>
                </c:pt>
                <c:pt idx="145">
                  <c:v>-0.43359375</c:v>
                </c:pt>
                <c:pt idx="146">
                  <c:v>-0.4296875</c:v>
                </c:pt>
                <c:pt idx="147">
                  <c:v>-0.42578125</c:v>
                </c:pt>
                <c:pt idx="148">
                  <c:v>-0.421875</c:v>
                </c:pt>
                <c:pt idx="149">
                  <c:v>-0.41796875</c:v>
                </c:pt>
                <c:pt idx="150">
                  <c:v>-0.4140625</c:v>
                </c:pt>
                <c:pt idx="151">
                  <c:v>-0.41015625</c:v>
                </c:pt>
                <c:pt idx="152">
                  <c:v>-0.40625</c:v>
                </c:pt>
                <c:pt idx="153">
                  <c:v>-0.40234375</c:v>
                </c:pt>
                <c:pt idx="154">
                  <c:v>-0.3984375</c:v>
                </c:pt>
                <c:pt idx="155">
                  <c:v>-0.39453125</c:v>
                </c:pt>
                <c:pt idx="156">
                  <c:v>-0.390625</c:v>
                </c:pt>
                <c:pt idx="157">
                  <c:v>-0.38671875</c:v>
                </c:pt>
                <c:pt idx="158">
                  <c:v>-0.3828125</c:v>
                </c:pt>
                <c:pt idx="159">
                  <c:v>-0.37890625</c:v>
                </c:pt>
                <c:pt idx="160">
                  <c:v>-0.375</c:v>
                </c:pt>
                <c:pt idx="161">
                  <c:v>-0.37109375</c:v>
                </c:pt>
                <c:pt idx="162">
                  <c:v>-0.3671875</c:v>
                </c:pt>
                <c:pt idx="163">
                  <c:v>-0.36328125</c:v>
                </c:pt>
                <c:pt idx="164">
                  <c:v>-0.359375</c:v>
                </c:pt>
                <c:pt idx="165">
                  <c:v>-0.35546875</c:v>
                </c:pt>
                <c:pt idx="166">
                  <c:v>-0.3515625</c:v>
                </c:pt>
                <c:pt idx="167">
                  <c:v>-0.34765625</c:v>
                </c:pt>
                <c:pt idx="168">
                  <c:v>-0.34375</c:v>
                </c:pt>
                <c:pt idx="169">
                  <c:v>-0.33984375</c:v>
                </c:pt>
                <c:pt idx="170">
                  <c:v>-0.3359375</c:v>
                </c:pt>
                <c:pt idx="171">
                  <c:v>-0.33203125</c:v>
                </c:pt>
                <c:pt idx="172">
                  <c:v>-0.328125</c:v>
                </c:pt>
                <c:pt idx="173">
                  <c:v>-0.32421875</c:v>
                </c:pt>
                <c:pt idx="174">
                  <c:v>-0.3203125</c:v>
                </c:pt>
                <c:pt idx="175">
                  <c:v>-0.31640625</c:v>
                </c:pt>
                <c:pt idx="176">
                  <c:v>-0.3125</c:v>
                </c:pt>
                <c:pt idx="177">
                  <c:v>-0.30859375</c:v>
                </c:pt>
                <c:pt idx="178">
                  <c:v>-0.3046875</c:v>
                </c:pt>
                <c:pt idx="179">
                  <c:v>-0.30078125</c:v>
                </c:pt>
                <c:pt idx="180">
                  <c:v>-0.296875</c:v>
                </c:pt>
                <c:pt idx="181">
                  <c:v>-0.29296875</c:v>
                </c:pt>
                <c:pt idx="182">
                  <c:v>-0.2890625</c:v>
                </c:pt>
                <c:pt idx="183">
                  <c:v>-0.28515625</c:v>
                </c:pt>
                <c:pt idx="184">
                  <c:v>-0.28125</c:v>
                </c:pt>
                <c:pt idx="185">
                  <c:v>-0.27734375</c:v>
                </c:pt>
                <c:pt idx="186">
                  <c:v>-0.2734375</c:v>
                </c:pt>
                <c:pt idx="187">
                  <c:v>-0.26953125</c:v>
                </c:pt>
                <c:pt idx="188">
                  <c:v>-0.265625</c:v>
                </c:pt>
                <c:pt idx="189">
                  <c:v>-0.26171875</c:v>
                </c:pt>
                <c:pt idx="190">
                  <c:v>-0.2578125</c:v>
                </c:pt>
                <c:pt idx="191">
                  <c:v>-0.25390625</c:v>
                </c:pt>
                <c:pt idx="192">
                  <c:v>-0.25</c:v>
                </c:pt>
                <c:pt idx="193">
                  <c:v>-0.24609375</c:v>
                </c:pt>
                <c:pt idx="194">
                  <c:v>-0.2421875</c:v>
                </c:pt>
                <c:pt idx="195">
                  <c:v>-0.23828125</c:v>
                </c:pt>
                <c:pt idx="196">
                  <c:v>-0.234375</c:v>
                </c:pt>
                <c:pt idx="197">
                  <c:v>-0.23046875</c:v>
                </c:pt>
                <c:pt idx="198">
                  <c:v>-0.2265625</c:v>
                </c:pt>
                <c:pt idx="199">
                  <c:v>-0.22265625</c:v>
                </c:pt>
                <c:pt idx="200">
                  <c:v>-0.21875</c:v>
                </c:pt>
                <c:pt idx="201">
                  <c:v>-0.21484375</c:v>
                </c:pt>
                <c:pt idx="202">
                  <c:v>-0.2109375</c:v>
                </c:pt>
                <c:pt idx="203">
                  <c:v>-0.20703125</c:v>
                </c:pt>
                <c:pt idx="204">
                  <c:v>-0.203125</c:v>
                </c:pt>
                <c:pt idx="205">
                  <c:v>-0.19921875</c:v>
                </c:pt>
                <c:pt idx="206">
                  <c:v>-0.1953125</c:v>
                </c:pt>
                <c:pt idx="207">
                  <c:v>-0.19140625</c:v>
                </c:pt>
                <c:pt idx="208">
                  <c:v>-0.1875</c:v>
                </c:pt>
                <c:pt idx="209">
                  <c:v>-0.18359375</c:v>
                </c:pt>
                <c:pt idx="210">
                  <c:v>-0.1796875</c:v>
                </c:pt>
                <c:pt idx="211">
                  <c:v>-0.17578125</c:v>
                </c:pt>
                <c:pt idx="212">
                  <c:v>-0.171875</c:v>
                </c:pt>
                <c:pt idx="213">
                  <c:v>-0.16796875</c:v>
                </c:pt>
                <c:pt idx="214">
                  <c:v>-0.1640625</c:v>
                </c:pt>
                <c:pt idx="215">
                  <c:v>-0.16015625</c:v>
                </c:pt>
                <c:pt idx="216">
                  <c:v>-0.15625</c:v>
                </c:pt>
                <c:pt idx="217">
                  <c:v>-0.15234375</c:v>
                </c:pt>
                <c:pt idx="218">
                  <c:v>-0.1484375</c:v>
                </c:pt>
                <c:pt idx="219">
                  <c:v>-0.14453125</c:v>
                </c:pt>
                <c:pt idx="220">
                  <c:v>-0.140625</c:v>
                </c:pt>
                <c:pt idx="221">
                  <c:v>-0.13671875</c:v>
                </c:pt>
                <c:pt idx="222">
                  <c:v>-0.1328125</c:v>
                </c:pt>
                <c:pt idx="223">
                  <c:v>-0.12890625</c:v>
                </c:pt>
                <c:pt idx="224">
                  <c:v>-0.125</c:v>
                </c:pt>
                <c:pt idx="225">
                  <c:v>-0.12109375</c:v>
                </c:pt>
                <c:pt idx="226">
                  <c:v>-0.1171875</c:v>
                </c:pt>
                <c:pt idx="227">
                  <c:v>-0.11328125</c:v>
                </c:pt>
                <c:pt idx="228">
                  <c:v>-0.109375</c:v>
                </c:pt>
                <c:pt idx="229">
                  <c:v>-0.10546875</c:v>
                </c:pt>
                <c:pt idx="230">
                  <c:v>-0.1015625</c:v>
                </c:pt>
                <c:pt idx="231">
                  <c:v>-9.765625E-2</c:v>
                </c:pt>
                <c:pt idx="232">
                  <c:v>-9.375E-2</c:v>
                </c:pt>
                <c:pt idx="233">
                  <c:v>-8.984375E-2</c:v>
                </c:pt>
                <c:pt idx="234">
                  <c:v>-8.59375E-2</c:v>
                </c:pt>
                <c:pt idx="235">
                  <c:v>-8.203125E-2</c:v>
                </c:pt>
                <c:pt idx="236">
                  <c:v>-7.8125E-2</c:v>
                </c:pt>
                <c:pt idx="237">
                  <c:v>-7.421875E-2</c:v>
                </c:pt>
                <c:pt idx="238">
                  <c:v>-7.03125E-2</c:v>
                </c:pt>
                <c:pt idx="239">
                  <c:v>-6.640625E-2</c:v>
                </c:pt>
                <c:pt idx="240">
                  <c:v>-6.25E-2</c:v>
                </c:pt>
                <c:pt idx="241">
                  <c:v>-5.859375E-2</c:v>
                </c:pt>
                <c:pt idx="242">
                  <c:v>-5.46875E-2</c:v>
                </c:pt>
                <c:pt idx="243">
                  <c:v>-5.078125E-2</c:v>
                </c:pt>
                <c:pt idx="244">
                  <c:v>-4.6875E-2</c:v>
                </c:pt>
                <c:pt idx="245">
                  <c:v>-4.296875E-2</c:v>
                </c:pt>
                <c:pt idx="246">
                  <c:v>-3.90625E-2</c:v>
                </c:pt>
                <c:pt idx="247">
                  <c:v>-3.515625E-2</c:v>
                </c:pt>
                <c:pt idx="248">
                  <c:v>-3.125E-2</c:v>
                </c:pt>
                <c:pt idx="249">
                  <c:v>-2.734375E-2</c:v>
                </c:pt>
                <c:pt idx="250">
                  <c:v>-2.34375E-2</c:v>
                </c:pt>
                <c:pt idx="251">
                  <c:v>-1.953125E-2</c:v>
                </c:pt>
                <c:pt idx="252">
                  <c:v>-1.5625E-2</c:v>
                </c:pt>
                <c:pt idx="253">
                  <c:v>-1.171875E-2</c:v>
                </c:pt>
                <c:pt idx="254">
                  <c:v>-7.8125E-3</c:v>
                </c:pt>
                <c:pt idx="255">
                  <c:v>-3.90625E-3</c:v>
                </c:pt>
                <c:pt idx="256">
                  <c:v>0</c:v>
                </c:pt>
                <c:pt idx="257">
                  <c:v>3.90625E-3</c:v>
                </c:pt>
                <c:pt idx="258">
                  <c:v>7.8125E-3</c:v>
                </c:pt>
                <c:pt idx="259">
                  <c:v>1.171875E-2</c:v>
                </c:pt>
                <c:pt idx="260">
                  <c:v>1.5625E-2</c:v>
                </c:pt>
                <c:pt idx="261">
                  <c:v>1.953125E-2</c:v>
                </c:pt>
                <c:pt idx="262">
                  <c:v>2.34375E-2</c:v>
                </c:pt>
                <c:pt idx="263">
                  <c:v>2.734375E-2</c:v>
                </c:pt>
                <c:pt idx="264">
                  <c:v>3.125E-2</c:v>
                </c:pt>
                <c:pt idx="265">
                  <c:v>3.515625E-2</c:v>
                </c:pt>
                <c:pt idx="266">
                  <c:v>3.90625E-2</c:v>
                </c:pt>
                <c:pt idx="267">
                  <c:v>4.296875E-2</c:v>
                </c:pt>
                <c:pt idx="268">
                  <c:v>4.6875E-2</c:v>
                </c:pt>
                <c:pt idx="269">
                  <c:v>5.078125E-2</c:v>
                </c:pt>
                <c:pt idx="270">
                  <c:v>5.46875E-2</c:v>
                </c:pt>
                <c:pt idx="271">
                  <c:v>5.859375E-2</c:v>
                </c:pt>
                <c:pt idx="272">
                  <c:v>6.25E-2</c:v>
                </c:pt>
                <c:pt idx="273">
                  <c:v>6.640625E-2</c:v>
                </c:pt>
                <c:pt idx="274">
                  <c:v>7.03125E-2</c:v>
                </c:pt>
                <c:pt idx="275">
                  <c:v>7.421875E-2</c:v>
                </c:pt>
                <c:pt idx="276">
                  <c:v>7.8125E-2</c:v>
                </c:pt>
                <c:pt idx="277">
                  <c:v>8.203125E-2</c:v>
                </c:pt>
                <c:pt idx="278">
                  <c:v>8.59375E-2</c:v>
                </c:pt>
                <c:pt idx="279">
                  <c:v>8.984375E-2</c:v>
                </c:pt>
                <c:pt idx="280">
                  <c:v>9.375E-2</c:v>
                </c:pt>
                <c:pt idx="281">
                  <c:v>9.765625E-2</c:v>
                </c:pt>
                <c:pt idx="282">
                  <c:v>0.1015625</c:v>
                </c:pt>
                <c:pt idx="283">
                  <c:v>0.10546875</c:v>
                </c:pt>
                <c:pt idx="284">
                  <c:v>0.109375</c:v>
                </c:pt>
                <c:pt idx="285">
                  <c:v>0.11328125</c:v>
                </c:pt>
                <c:pt idx="286">
                  <c:v>0.1171875</c:v>
                </c:pt>
                <c:pt idx="287">
                  <c:v>0.12109375</c:v>
                </c:pt>
                <c:pt idx="288">
                  <c:v>0.125</c:v>
                </c:pt>
                <c:pt idx="289">
                  <c:v>0.12890625</c:v>
                </c:pt>
                <c:pt idx="290">
                  <c:v>0.1328125</c:v>
                </c:pt>
                <c:pt idx="291">
                  <c:v>0.13671875</c:v>
                </c:pt>
                <c:pt idx="292">
                  <c:v>0.140625</c:v>
                </c:pt>
                <c:pt idx="293">
                  <c:v>0.14453125</c:v>
                </c:pt>
                <c:pt idx="294">
                  <c:v>0.1484375</c:v>
                </c:pt>
                <c:pt idx="295">
                  <c:v>0.15234375</c:v>
                </c:pt>
                <c:pt idx="296">
                  <c:v>0.15625</c:v>
                </c:pt>
                <c:pt idx="297">
                  <c:v>0.16015625</c:v>
                </c:pt>
                <c:pt idx="298">
                  <c:v>0.1640625</c:v>
                </c:pt>
                <c:pt idx="299">
                  <c:v>0.16796875</c:v>
                </c:pt>
                <c:pt idx="300">
                  <c:v>0.171875</c:v>
                </c:pt>
                <c:pt idx="301">
                  <c:v>0.17578125</c:v>
                </c:pt>
                <c:pt idx="302">
                  <c:v>0.1796875</c:v>
                </c:pt>
                <c:pt idx="303">
                  <c:v>0.18359375</c:v>
                </c:pt>
                <c:pt idx="304">
                  <c:v>0.1875</c:v>
                </c:pt>
                <c:pt idx="305">
                  <c:v>0.19140625</c:v>
                </c:pt>
                <c:pt idx="306">
                  <c:v>0.1953125</c:v>
                </c:pt>
                <c:pt idx="307">
                  <c:v>0.19921875</c:v>
                </c:pt>
                <c:pt idx="308">
                  <c:v>0.203125</c:v>
                </c:pt>
                <c:pt idx="309">
                  <c:v>0.20703125</c:v>
                </c:pt>
                <c:pt idx="310">
                  <c:v>0.2109375</c:v>
                </c:pt>
                <c:pt idx="311">
                  <c:v>0.21484375</c:v>
                </c:pt>
                <c:pt idx="312">
                  <c:v>0.21875</c:v>
                </c:pt>
                <c:pt idx="313">
                  <c:v>0.22265625</c:v>
                </c:pt>
                <c:pt idx="314">
                  <c:v>0.2265625</c:v>
                </c:pt>
                <c:pt idx="315">
                  <c:v>0.23046875</c:v>
                </c:pt>
                <c:pt idx="316">
                  <c:v>0.234375</c:v>
                </c:pt>
                <c:pt idx="317">
                  <c:v>0.23828125</c:v>
                </c:pt>
                <c:pt idx="318">
                  <c:v>0.2421875</c:v>
                </c:pt>
                <c:pt idx="319">
                  <c:v>0.24609375</c:v>
                </c:pt>
                <c:pt idx="320">
                  <c:v>0.25</c:v>
                </c:pt>
                <c:pt idx="321">
                  <c:v>0.25390625</c:v>
                </c:pt>
                <c:pt idx="322">
                  <c:v>0.2578125</c:v>
                </c:pt>
                <c:pt idx="323">
                  <c:v>0.26171875</c:v>
                </c:pt>
                <c:pt idx="324">
                  <c:v>0.265625</c:v>
                </c:pt>
                <c:pt idx="325">
                  <c:v>0.26953125</c:v>
                </c:pt>
                <c:pt idx="326">
                  <c:v>0.2734375</c:v>
                </c:pt>
                <c:pt idx="327">
                  <c:v>0.27734375</c:v>
                </c:pt>
                <c:pt idx="328">
                  <c:v>0.28125</c:v>
                </c:pt>
                <c:pt idx="329">
                  <c:v>0.28515625</c:v>
                </c:pt>
                <c:pt idx="330">
                  <c:v>0.2890625</c:v>
                </c:pt>
                <c:pt idx="331">
                  <c:v>0.29296875</c:v>
                </c:pt>
                <c:pt idx="332">
                  <c:v>0.296875</c:v>
                </c:pt>
                <c:pt idx="333">
                  <c:v>0.30078125</c:v>
                </c:pt>
                <c:pt idx="334">
                  <c:v>0.3046875</c:v>
                </c:pt>
                <c:pt idx="335">
                  <c:v>0.30859375</c:v>
                </c:pt>
                <c:pt idx="336">
                  <c:v>0.3125</c:v>
                </c:pt>
                <c:pt idx="337">
                  <c:v>0.31640625</c:v>
                </c:pt>
                <c:pt idx="338">
                  <c:v>0.3203125</c:v>
                </c:pt>
                <c:pt idx="339">
                  <c:v>0.32421875</c:v>
                </c:pt>
                <c:pt idx="340">
                  <c:v>0.328125</c:v>
                </c:pt>
                <c:pt idx="341">
                  <c:v>0.33203125</c:v>
                </c:pt>
                <c:pt idx="342">
                  <c:v>0.3359375</c:v>
                </c:pt>
                <c:pt idx="343">
                  <c:v>0.33984375</c:v>
                </c:pt>
                <c:pt idx="344">
                  <c:v>0.34375</c:v>
                </c:pt>
                <c:pt idx="345">
                  <c:v>0.34765625</c:v>
                </c:pt>
                <c:pt idx="346">
                  <c:v>0.3515625</c:v>
                </c:pt>
                <c:pt idx="347">
                  <c:v>0.35546875</c:v>
                </c:pt>
                <c:pt idx="348">
                  <c:v>0.359375</c:v>
                </c:pt>
                <c:pt idx="349">
                  <c:v>0.36328125</c:v>
                </c:pt>
                <c:pt idx="350">
                  <c:v>0.3671875</c:v>
                </c:pt>
                <c:pt idx="351">
                  <c:v>0.37109375</c:v>
                </c:pt>
                <c:pt idx="352">
                  <c:v>0.375</c:v>
                </c:pt>
                <c:pt idx="353">
                  <c:v>0.37890625</c:v>
                </c:pt>
                <c:pt idx="354">
                  <c:v>0.3828125</c:v>
                </c:pt>
                <c:pt idx="355">
                  <c:v>0.38671875</c:v>
                </c:pt>
                <c:pt idx="356">
                  <c:v>0.390625</c:v>
                </c:pt>
                <c:pt idx="357">
                  <c:v>0.39453125</c:v>
                </c:pt>
                <c:pt idx="358">
                  <c:v>0.3984375</c:v>
                </c:pt>
                <c:pt idx="359">
                  <c:v>0.40234375</c:v>
                </c:pt>
                <c:pt idx="360">
                  <c:v>0.40625</c:v>
                </c:pt>
                <c:pt idx="361">
                  <c:v>0.41015625</c:v>
                </c:pt>
                <c:pt idx="362">
                  <c:v>0.4140625</c:v>
                </c:pt>
                <c:pt idx="363">
                  <c:v>0.41796875</c:v>
                </c:pt>
                <c:pt idx="364">
                  <c:v>0.421875</c:v>
                </c:pt>
                <c:pt idx="365">
                  <c:v>0.42578125</c:v>
                </c:pt>
                <c:pt idx="366">
                  <c:v>0.4296875</c:v>
                </c:pt>
                <c:pt idx="367">
                  <c:v>0.43359375</c:v>
                </c:pt>
                <c:pt idx="368">
                  <c:v>0.4375</c:v>
                </c:pt>
                <c:pt idx="369">
                  <c:v>0.44140625</c:v>
                </c:pt>
                <c:pt idx="370">
                  <c:v>0.4453125</c:v>
                </c:pt>
                <c:pt idx="371">
                  <c:v>0.44921875</c:v>
                </c:pt>
                <c:pt idx="372">
                  <c:v>0.453125</c:v>
                </c:pt>
                <c:pt idx="373">
                  <c:v>0.45703125</c:v>
                </c:pt>
                <c:pt idx="374">
                  <c:v>0.4609375</c:v>
                </c:pt>
                <c:pt idx="375">
                  <c:v>0.46484375</c:v>
                </c:pt>
                <c:pt idx="376">
                  <c:v>0.46875</c:v>
                </c:pt>
                <c:pt idx="377">
                  <c:v>0.47265625</c:v>
                </c:pt>
                <c:pt idx="378">
                  <c:v>0.4765625</c:v>
                </c:pt>
                <c:pt idx="379">
                  <c:v>0.48046875</c:v>
                </c:pt>
                <c:pt idx="380">
                  <c:v>0.484375</c:v>
                </c:pt>
                <c:pt idx="381">
                  <c:v>0.48828125</c:v>
                </c:pt>
                <c:pt idx="382">
                  <c:v>0.4921875</c:v>
                </c:pt>
                <c:pt idx="383">
                  <c:v>0.49609375</c:v>
                </c:pt>
                <c:pt idx="384">
                  <c:v>0.5</c:v>
                </c:pt>
                <c:pt idx="385">
                  <c:v>0.50390625</c:v>
                </c:pt>
                <c:pt idx="386">
                  <c:v>0.5078125</c:v>
                </c:pt>
                <c:pt idx="387">
                  <c:v>0.51171875</c:v>
                </c:pt>
                <c:pt idx="388">
                  <c:v>0.515625</c:v>
                </c:pt>
                <c:pt idx="389">
                  <c:v>0.51953125</c:v>
                </c:pt>
                <c:pt idx="390">
                  <c:v>0.5234375</c:v>
                </c:pt>
                <c:pt idx="391">
                  <c:v>0.52734375</c:v>
                </c:pt>
                <c:pt idx="392">
                  <c:v>0.53125</c:v>
                </c:pt>
                <c:pt idx="393">
                  <c:v>0.53515625</c:v>
                </c:pt>
                <c:pt idx="394">
                  <c:v>0.5390625</c:v>
                </c:pt>
                <c:pt idx="395">
                  <c:v>0.54296875</c:v>
                </c:pt>
                <c:pt idx="396">
                  <c:v>0.546875</c:v>
                </c:pt>
                <c:pt idx="397">
                  <c:v>0.55078125</c:v>
                </c:pt>
                <c:pt idx="398">
                  <c:v>0.5546875</c:v>
                </c:pt>
                <c:pt idx="399">
                  <c:v>0.55859375</c:v>
                </c:pt>
                <c:pt idx="400">
                  <c:v>0.5625</c:v>
                </c:pt>
                <c:pt idx="401">
                  <c:v>0.56640625</c:v>
                </c:pt>
                <c:pt idx="402">
                  <c:v>0.5703125</c:v>
                </c:pt>
                <c:pt idx="403">
                  <c:v>0.57421875</c:v>
                </c:pt>
                <c:pt idx="404">
                  <c:v>0.578125</c:v>
                </c:pt>
                <c:pt idx="405">
                  <c:v>0.58203125</c:v>
                </c:pt>
                <c:pt idx="406">
                  <c:v>0.5859375</c:v>
                </c:pt>
                <c:pt idx="407">
                  <c:v>0.58984375</c:v>
                </c:pt>
                <c:pt idx="408">
                  <c:v>0.59375</c:v>
                </c:pt>
                <c:pt idx="409">
                  <c:v>0.59765625</c:v>
                </c:pt>
                <c:pt idx="410">
                  <c:v>0.6015625</c:v>
                </c:pt>
                <c:pt idx="411">
                  <c:v>0.60546875</c:v>
                </c:pt>
                <c:pt idx="412">
                  <c:v>0.609375</c:v>
                </c:pt>
                <c:pt idx="413">
                  <c:v>0.61328125</c:v>
                </c:pt>
                <c:pt idx="414">
                  <c:v>0.6171875</c:v>
                </c:pt>
                <c:pt idx="415">
                  <c:v>0.62109375</c:v>
                </c:pt>
                <c:pt idx="416">
                  <c:v>0.625</c:v>
                </c:pt>
                <c:pt idx="417">
                  <c:v>0.62890625</c:v>
                </c:pt>
                <c:pt idx="418">
                  <c:v>0.6328125</c:v>
                </c:pt>
                <c:pt idx="419">
                  <c:v>0.63671875</c:v>
                </c:pt>
                <c:pt idx="420">
                  <c:v>0.640625</c:v>
                </c:pt>
                <c:pt idx="421">
                  <c:v>0.64453125</c:v>
                </c:pt>
                <c:pt idx="422">
                  <c:v>0.6484375</c:v>
                </c:pt>
                <c:pt idx="423">
                  <c:v>0.65234375</c:v>
                </c:pt>
                <c:pt idx="424">
                  <c:v>0.65625</c:v>
                </c:pt>
                <c:pt idx="425">
                  <c:v>0.66015625</c:v>
                </c:pt>
                <c:pt idx="426">
                  <c:v>0.6640625</c:v>
                </c:pt>
                <c:pt idx="427">
                  <c:v>0.66796875</c:v>
                </c:pt>
                <c:pt idx="428">
                  <c:v>0.671875</c:v>
                </c:pt>
                <c:pt idx="429">
                  <c:v>0.67578125</c:v>
                </c:pt>
                <c:pt idx="430">
                  <c:v>0.6796875</c:v>
                </c:pt>
                <c:pt idx="431">
                  <c:v>0.68359375</c:v>
                </c:pt>
                <c:pt idx="432">
                  <c:v>0.6875</c:v>
                </c:pt>
                <c:pt idx="433">
                  <c:v>0.69140625</c:v>
                </c:pt>
                <c:pt idx="434">
                  <c:v>0.6953125</c:v>
                </c:pt>
                <c:pt idx="435">
                  <c:v>0.69921875</c:v>
                </c:pt>
                <c:pt idx="436">
                  <c:v>0.703125</c:v>
                </c:pt>
                <c:pt idx="437">
                  <c:v>0.70703125</c:v>
                </c:pt>
                <c:pt idx="438">
                  <c:v>0.7109375</c:v>
                </c:pt>
                <c:pt idx="439">
                  <c:v>0.71484375</c:v>
                </c:pt>
                <c:pt idx="440">
                  <c:v>0.71875</c:v>
                </c:pt>
                <c:pt idx="441">
                  <c:v>0.72265625</c:v>
                </c:pt>
                <c:pt idx="442">
                  <c:v>0.7265625</c:v>
                </c:pt>
                <c:pt idx="443">
                  <c:v>0.73046875</c:v>
                </c:pt>
                <c:pt idx="444">
                  <c:v>0.734375</c:v>
                </c:pt>
                <c:pt idx="445">
                  <c:v>0.73828125</c:v>
                </c:pt>
                <c:pt idx="446">
                  <c:v>0.7421875</c:v>
                </c:pt>
                <c:pt idx="447">
                  <c:v>0.74609375</c:v>
                </c:pt>
                <c:pt idx="448">
                  <c:v>0.75</c:v>
                </c:pt>
                <c:pt idx="449">
                  <c:v>0.75390625</c:v>
                </c:pt>
                <c:pt idx="450">
                  <c:v>0.7578125</c:v>
                </c:pt>
                <c:pt idx="451">
                  <c:v>0.76171875</c:v>
                </c:pt>
                <c:pt idx="452">
                  <c:v>0.765625</c:v>
                </c:pt>
                <c:pt idx="453">
                  <c:v>0.76953125</c:v>
                </c:pt>
                <c:pt idx="454">
                  <c:v>0.7734375</c:v>
                </c:pt>
                <c:pt idx="455">
                  <c:v>0.77734375</c:v>
                </c:pt>
                <c:pt idx="456">
                  <c:v>0.78125</c:v>
                </c:pt>
                <c:pt idx="457">
                  <c:v>0.78515625</c:v>
                </c:pt>
                <c:pt idx="458">
                  <c:v>0.7890625</c:v>
                </c:pt>
                <c:pt idx="459">
                  <c:v>0.79296875</c:v>
                </c:pt>
                <c:pt idx="460">
                  <c:v>0.796875</c:v>
                </c:pt>
                <c:pt idx="461">
                  <c:v>0.80078125</c:v>
                </c:pt>
                <c:pt idx="462">
                  <c:v>0.8046875</c:v>
                </c:pt>
                <c:pt idx="463">
                  <c:v>0.80859375</c:v>
                </c:pt>
                <c:pt idx="464">
                  <c:v>0.8125</c:v>
                </c:pt>
                <c:pt idx="465">
                  <c:v>0.81640625</c:v>
                </c:pt>
                <c:pt idx="466">
                  <c:v>0.8203125</c:v>
                </c:pt>
                <c:pt idx="467">
                  <c:v>0.82421875</c:v>
                </c:pt>
                <c:pt idx="468">
                  <c:v>0.828125</c:v>
                </c:pt>
                <c:pt idx="469">
                  <c:v>0.83203125</c:v>
                </c:pt>
                <c:pt idx="470">
                  <c:v>0.8359375</c:v>
                </c:pt>
                <c:pt idx="471">
                  <c:v>0.83984375</c:v>
                </c:pt>
                <c:pt idx="472">
                  <c:v>0.84375</c:v>
                </c:pt>
                <c:pt idx="473">
                  <c:v>0.84765625</c:v>
                </c:pt>
                <c:pt idx="474">
                  <c:v>0.8515625</c:v>
                </c:pt>
                <c:pt idx="475">
                  <c:v>0.85546875</c:v>
                </c:pt>
                <c:pt idx="476">
                  <c:v>0.859375</c:v>
                </c:pt>
                <c:pt idx="477">
                  <c:v>0.86328125</c:v>
                </c:pt>
                <c:pt idx="478">
                  <c:v>0.8671875</c:v>
                </c:pt>
                <c:pt idx="479">
                  <c:v>0.87109375</c:v>
                </c:pt>
                <c:pt idx="480">
                  <c:v>0.875</c:v>
                </c:pt>
                <c:pt idx="481">
                  <c:v>0.87890625</c:v>
                </c:pt>
                <c:pt idx="482">
                  <c:v>0.8828125</c:v>
                </c:pt>
                <c:pt idx="483">
                  <c:v>0.88671875</c:v>
                </c:pt>
                <c:pt idx="484">
                  <c:v>0.890625</c:v>
                </c:pt>
                <c:pt idx="485">
                  <c:v>0.89453125</c:v>
                </c:pt>
                <c:pt idx="486">
                  <c:v>0.8984375</c:v>
                </c:pt>
                <c:pt idx="487">
                  <c:v>0.90234375</c:v>
                </c:pt>
                <c:pt idx="488">
                  <c:v>0.90625</c:v>
                </c:pt>
                <c:pt idx="489">
                  <c:v>0.91015625</c:v>
                </c:pt>
                <c:pt idx="490">
                  <c:v>0.9140625</c:v>
                </c:pt>
                <c:pt idx="491">
                  <c:v>0.91796875</c:v>
                </c:pt>
                <c:pt idx="492">
                  <c:v>0.921875</c:v>
                </c:pt>
                <c:pt idx="493">
                  <c:v>0.92578125</c:v>
                </c:pt>
                <c:pt idx="494">
                  <c:v>0.9296875</c:v>
                </c:pt>
                <c:pt idx="495">
                  <c:v>0.93359375</c:v>
                </c:pt>
                <c:pt idx="496">
                  <c:v>0.9375</c:v>
                </c:pt>
                <c:pt idx="497">
                  <c:v>0.94140625</c:v>
                </c:pt>
                <c:pt idx="498">
                  <c:v>0.9453125</c:v>
                </c:pt>
                <c:pt idx="499">
                  <c:v>0.94921875</c:v>
                </c:pt>
                <c:pt idx="500">
                  <c:v>0.953125</c:v>
                </c:pt>
                <c:pt idx="501">
                  <c:v>0.95703125</c:v>
                </c:pt>
                <c:pt idx="502">
                  <c:v>0.9609375</c:v>
                </c:pt>
                <c:pt idx="503">
                  <c:v>0.96484375</c:v>
                </c:pt>
                <c:pt idx="504">
                  <c:v>0.96875</c:v>
                </c:pt>
                <c:pt idx="505">
                  <c:v>0.97265625</c:v>
                </c:pt>
                <c:pt idx="506">
                  <c:v>0.9765625</c:v>
                </c:pt>
                <c:pt idx="507">
                  <c:v>0.98046875</c:v>
                </c:pt>
                <c:pt idx="508">
                  <c:v>0.984375</c:v>
                </c:pt>
                <c:pt idx="509">
                  <c:v>0.98828125</c:v>
                </c:pt>
                <c:pt idx="510">
                  <c:v>0.9921875</c:v>
                </c:pt>
                <c:pt idx="511">
                  <c:v>0.99609375</c:v>
                </c:pt>
                <c:pt idx="512">
                  <c:v>1</c:v>
                </c:pt>
              </c:numCache>
            </c:numRef>
          </c:xVal>
          <c:yVal>
            <c:numRef>
              <c:f>OscClipping!$B$4:$B$516</c:f>
              <c:numCache>
                <c:formatCode>General</c:formatCode>
                <c:ptCount val="513"/>
                <c:pt idx="0">
                  <c:v>-0.98661429815143042</c:v>
                </c:pt>
                <c:pt idx="1">
                  <c:v>-0.98635209042644623</c:v>
                </c:pt>
                <c:pt idx="2">
                  <c:v>-0.98608478238524722</c:v>
                </c:pt>
                <c:pt idx="3">
                  <c:v>-0.98581227624217693</c:v>
                </c:pt>
                <c:pt idx="4">
                  <c:v>-0.98553447239304193</c:v>
                </c:pt>
                <c:pt idx="5">
                  <c:v>-0.98525126938352436</c:v>
                </c:pt>
                <c:pt idx="6">
                  <c:v>-0.98496256387713566</c:v>
                </c:pt>
                <c:pt idx="7">
                  <c:v>-0.98466825062270802</c:v>
                </c:pt>
                <c:pt idx="8">
                  <c:v>-0.98436822242142286</c:v>
                </c:pt>
                <c:pt idx="9">
                  <c:v>-0.98406237009336928</c:v>
                </c:pt>
                <c:pt idx="10">
                  <c:v>-0.98375058244363811</c:v>
                </c:pt>
                <c:pt idx="11">
                  <c:v>-0.98343274622793886</c:v>
                </c:pt>
                <c:pt idx="12">
                  <c:v>-0.98310874611774801</c:v>
                </c:pt>
                <c:pt idx="13">
                  <c:v>-0.98277846466497853</c:v>
                </c:pt>
                <c:pt idx="14">
                  <c:v>-0.98244178226617629</c:v>
                </c:pt>
                <c:pt idx="15">
                  <c:v>-0.98209857712623605</c:v>
                </c:pt>
                <c:pt idx="16">
                  <c:v>-0.98174872522163892</c:v>
                </c:pt>
                <c:pt idx="17">
                  <c:v>-0.98139210026321255</c:v>
                </c:pt>
                <c:pt idx="18">
                  <c:v>-0.98102857365840945</c:v>
                </c:pt>
                <c:pt idx="19">
                  <c:v>-0.98065801447310597</c:v>
                </c:pt>
                <c:pt idx="20">
                  <c:v>-0.98028028939292244</c:v>
                </c:pt>
                <c:pt idx="21">
                  <c:v>-0.97989526268406357</c:v>
                </c:pt>
                <c:pt idx="22">
                  <c:v>-0.97950279615368285</c:v>
                </c:pt>
                <c:pt idx="23">
                  <c:v>-0.97910274910976647</c:v>
                </c:pt>
                <c:pt idx="24">
                  <c:v>-0.97869497832054775</c:v>
                </c:pt>
                <c:pt idx="25">
                  <c:v>-0.97827933797344513</c:v>
                </c:pt>
                <c:pt idx="26">
                  <c:v>-0.97785567963353159</c:v>
                </c:pt>
                <c:pt idx="27">
                  <c:v>-0.97742385220153782</c:v>
                </c:pt>
                <c:pt idx="28">
                  <c:v>-0.97698370187139327</c:v>
                </c:pt>
                <c:pt idx="29">
                  <c:v>-0.97653507208730383</c:v>
                </c:pt>
                <c:pt idx="30">
                  <c:v>-0.97607780350038087</c:v>
                </c:pt>
                <c:pt idx="31">
                  <c:v>-0.97561173392481892</c:v>
                </c:pt>
                <c:pt idx="32">
                  <c:v>-0.97513669829362815</c:v>
                </c:pt>
                <c:pt idx="33">
                  <c:v>-0.9746525286139337</c:v>
                </c:pt>
                <c:pt idx="34">
                  <c:v>-0.97415905392184188</c:v>
                </c:pt>
                <c:pt idx="35">
                  <c:v>-0.97365610023688698</c:v>
                </c:pt>
                <c:pt idx="36">
                  <c:v>-0.97314349051606297</c:v>
                </c:pt>
                <c:pt idx="37">
                  <c:v>-0.97262104460745114</c:v>
                </c:pt>
                <c:pt idx="38">
                  <c:v>-0.97208857920345315</c:v>
                </c:pt>
                <c:pt idx="39">
                  <c:v>-0.97154590779364169</c:v>
                </c:pt>
                <c:pt idx="40">
                  <c:v>-0.9709928406172359</c:v>
                </c:pt>
                <c:pt idx="41">
                  <c:v>-0.97042918461521888</c:v>
                </c:pt>
                <c:pt idx="42">
                  <c:v>-0.96985474338210875</c:v>
                </c:pt>
                <c:pt idx="43">
                  <c:v>-0.9692693171173955</c:v>
                </c:pt>
                <c:pt idx="44">
                  <c:v>-0.96867270257666327</c:v>
                </c:pt>
                <c:pt idx="45">
                  <c:v>-0.96806469302240794</c:v>
                </c:pt>
                <c:pt idx="46">
                  <c:v>-0.96744507817457304</c:v>
                </c:pt>
                <c:pt idx="47">
                  <c:v>-0.96681364416081916</c:v>
                </c:pt>
                <c:pt idx="48">
                  <c:v>-0.96617017346654699</c:v>
                </c:pt>
                <c:pt idx="49">
                  <c:v>-0.96551444488469429</c:v>
                </c:pt>
                <c:pt idx="50">
                  <c:v>-0.96484623346532816</c:v>
                </c:pt>
                <c:pt idx="51">
                  <c:v>-0.96416531046505738</c:v>
                </c:pt>
                <c:pt idx="52">
                  <c:v>-0.96347144329628598</c:v>
                </c:pt>
                <c:pt idx="53">
                  <c:v>-0.96276439547633652</c:v>
                </c:pt>
                <c:pt idx="54">
                  <c:v>-0.96204392657646864</c:v>
                </c:pt>
                <c:pt idx="55">
                  <c:v>-0.96130979217082102</c:v>
                </c:pt>
                <c:pt idx="56">
                  <c:v>-0.96056174378530668</c:v>
                </c:pt>
                <c:pt idx="57">
                  <c:v>-0.95979952884649589</c:v>
                </c:pt>
                <c:pt idx="58">
                  <c:v>-0.95902289063051238</c:v>
                </c:pt>
                <c:pt idx="59">
                  <c:v>-0.95823156821198718</c:v>
                </c:pt>
                <c:pt idx="60">
                  <c:v>-0.95742529641309804</c:v>
                </c:pt>
                <c:pt idx="61">
                  <c:v>-0.95660380575273607</c:v>
                </c:pt>
                <c:pt idx="62">
                  <c:v>-0.95576682239584099</c:v>
                </c:pt>
                <c:pt idx="63">
                  <c:v>-0.9549140681029411</c:v>
                </c:pt>
                <c:pt idx="64">
                  <c:v>-0.95404526017994873</c:v>
                </c:pt>
                <c:pt idx="65">
                  <c:v>-0.95316011142824941</c:v>
                </c:pt>
                <c:pt idx="66">
                  <c:v>-0.95225833009513827</c:v>
                </c:pt>
                <c:pt idx="67">
                  <c:v>-0.95133961982464854</c:v>
                </c:pt>
                <c:pt idx="68">
                  <c:v>-0.95040367960882866</c:v>
                </c:pt>
                <c:pt idx="69">
                  <c:v>-0.94945020373951461</c:v>
                </c:pt>
                <c:pt idx="70">
                  <c:v>-0.94847888176066286</c:v>
                </c:pt>
                <c:pt idx="71">
                  <c:v>-0.94748939842129432</c:v>
                </c:pt>
                <c:pt idx="72">
                  <c:v>-0.94648143362911374</c:v>
                </c:pt>
                <c:pt idx="73">
                  <c:v>-0.94545466240486853</c:v>
                </c:pt>
                <c:pt idx="74">
                  <c:v>-0.94440875483750997</c:v>
                </c:pt>
                <c:pt idx="75">
                  <c:v>-0.94334337604022733</c:v>
                </c:pt>
                <c:pt idx="76">
                  <c:v>-0.94225818610742429</c:v>
                </c:pt>
                <c:pt idx="77">
                  <c:v>-0.94115284007271249</c:v>
                </c:pt>
                <c:pt idx="78">
                  <c:v>-0.94002698786799688</c:v>
                </c:pt>
                <c:pt idx="79">
                  <c:v>-0.93888027428373422</c:v>
                </c:pt>
                <c:pt idx="80">
                  <c:v>-0.93771233893044315</c:v>
                </c:pt>
                <c:pt idx="81">
                  <c:v>-0.93652281620155409</c:v>
                </c:pt>
                <c:pt idx="82">
                  <c:v>-0.93531133523768573</c:v>
                </c:pt>
                <c:pt idx="83">
                  <c:v>-0.93407751989243748</c:v>
                </c:pt>
                <c:pt idx="84">
                  <c:v>-0.93282098869979191</c:v>
                </c:pt>
                <c:pt idx="85">
                  <c:v>-0.93154135484322886</c:v>
                </c:pt>
                <c:pt idx="86">
                  <c:v>-0.93023822612664153</c:v>
                </c:pt>
                <c:pt idx="87">
                  <c:v>-0.92891120494717039</c:v>
                </c:pt>
                <c:pt idx="88">
                  <c:v>-0.92755988827005054</c:v>
                </c:pt>
                <c:pt idx="89">
                  <c:v>-0.92618386760558979</c:v>
                </c:pt>
                <c:pt idx="90">
                  <c:v>-0.92478272898838698</c:v>
                </c:pt>
                <c:pt idx="91">
                  <c:v>-0.92335605295890888</c:v>
                </c:pt>
                <c:pt idx="92">
                  <c:v>-0.92190341454754732</c:v>
                </c:pt>
                <c:pt idx="93">
                  <c:v>-0.92042438326127507</c:v>
                </c:pt>
                <c:pt idx="94">
                  <c:v>-0.91891852307303634</c:v>
                </c:pt>
                <c:pt idx="95">
                  <c:v>-0.91738539241399131</c:v>
                </c:pt>
                <c:pt idx="96">
                  <c:v>-0.91582454416876236</c:v>
                </c:pt>
                <c:pt idx="97">
                  <c:v>-0.91423552567380584</c:v>
                </c:pt>
                <c:pt idx="98">
                  <c:v>-0.91261787871906375</c:v>
                </c:pt>
                <c:pt idx="99">
                  <c:v>-0.91097113955303022</c:v>
                </c:pt>
                <c:pt idx="100">
                  <c:v>-0.90929483889138707</c:v>
                </c:pt>
                <c:pt idx="101">
                  <c:v>-0.90758850192936102</c:v>
                </c:pt>
                <c:pt idx="102">
                  <c:v>-0.90585164835795184</c:v>
                </c:pt>
                <c:pt idx="103">
                  <c:v>-0.90408379238420045</c:v>
                </c:pt>
                <c:pt idx="104">
                  <c:v>-0.90228444275565034</c:v>
                </c:pt>
                <c:pt idx="105">
                  <c:v>-0.90045310278917501</c:v>
                </c:pt>
                <c:pt idx="106">
                  <c:v>-0.89858927040433911</c:v>
                </c:pt>
                <c:pt idx="107">
                  <c:v>-0.89669243816146249</c:v>
                </c:pt>
                <c:pt idx="108">
                  <c:v>-0.89476209330457257</c:v>
                </c:pt>
                <c:pt idx="109">
                  <c:v>-0.89279771780941164</c:v>
                </c:pt>
                <c:pt idx="110">
                  <c:v>-0.89079878843669513</c:v>
                </c:pt>
                <c:pt idx="111">
                  <c:v>-0.88876477679079691</c:v>
                </c:pt>
                <c:pt idx="112">
                  <c:v>-0.88669514938405225</c:v>
                </c:pt>
                <c:pt idx="113">
                  <c:v>-0.88458936770687335</c:v>
                </c:pt>
                <c:pt idx="114">
                  <c:v>-0.88244688830386631</c:v>
                </c:pt>
                <c:pt idx="115">
                  <c:v>-0.8802671628561497</c:v>
                </c:pt>
                <c:pt idx="116">
                  <c:v>-0.87804963827007032</c:v>
                </c:pt>
                <c:pt idx="117">
                  <c:v>-0.87579375677252014</c:v>
                </c:pt>
                <c:pt idx="118">
                  <c:v>-0.87349895601305361</c:v>
                </c:pt>
                <c:pt idx="119">
                  <c:v>-0.87116466917301194</c:v>
                </c:pt>
                <c:pt idx="120">
                  <c:v>-0.86879032508186149</c:v>
                </c:pt>
                <c:pt idx="121">
                  <c:v>-0.86637534834094809</c:v>
                </c:pt>
                <c:pt idx="122">
                  <c:v>-0.86391915945488207</c:v>
                </c:pt>
                <c:pt idx="123">
                  <c:v>-0.86142117497075688</c:v>
                </c:pt>
                <c:pt idx="124">
                  <c:v>-0.85888080762541397</c:v>
                </c:pt>
                <c:pt idx="125">
                  <c:v>-0.85629746650096139</c:v>
                </c:pt>
                <c:pt idx="126">
                  <c:v>-0.85367055718875329</c:v>
                </c:pt>
                <c:pt idx="127">
                  <c:v>-0.85099948196204367</c:v>
                </c:pt>
                <c:pt idx="128">
                  <c:v>-0.84828363995751288</c:v>
                </c:pt>
                <c:pt idx="129">
                  <c:v>-0.84552242736587946</c:v>
                </c:pt>
                <c:pt idx="130">
                  <c:v>-0.84271523763179712</c:v>
                </c:pt>
                <c:pt idx="131">
                  <c:v>-0.83986146166323838</c:v>
                </c:pt>
                <c:pt idx="132">
                  <c:v>-0.83696048805056222</c:v>
                </c:pt>
                <c:pt idx="133">
                  <c:v>-0.83401170329546193</c:v>
                </c:pt>
                <c:pt idx="134">
                  <c:v>-0.83101449204998157</c:v>
                </c:pt>
                <c:pt idx="135">
                  <c:v>-0.82796823736578862</c:v>
                </c:pt>
                <c:pt idx="136">
                  <c:v>-0.82487232095388274</c:v>
                </c:pt>
                <c:pt idx="137">
                  <c:v>-0.82172612345491691</c:v>
                </c:pt>
                <c:pt idx="138">
                  <c:v>-0.81852902472029798</c:v>
                </c:pt>
                <c:pt idx="139">
                  <c:v>-0.81528040410423019</c:v>
                </c:pt>
                <c:pt idx="140">
                  <c:v>-0.81197964076685547</c:v>
                </c:pt>
                <c:pt idx="141">
                  <c:v>-0.80862611398863382</c:v>
                </c:pt>
                <c:pt idx="142">
                  <c:v>-0.80521920349610432</c:v>
                </c:pt>
                <c:pt idx="143">
                  <c:v>-0.80175828979915076</c:v>
                </c:pt>
                <c:pt idx="144">
                  <c:v>-0.79824275453988702</c:v>
                </c:pt>
                <c:pt idx="145">
                  <c:v>-0.79467198085326907</c:v>
                </c:pt>
                <c:pt idx="146">
                  <c:v>-0.791045353739526</c:v>
                </c:pt>
                <c:pt idx="147">
                  <c:v>-0.78736226044848479</c:v>
                </c:pt>
                <c:pt idx="148">
                  <c:v>-0.78362209087585943</c:v>
                </c:pt>
                <c:pt idx="149">
                  <c:v>-0.7798242379715502</c:v>
                </c:pt>
                <c:pt idx="150">
                  <c:v>-0.77596809815999268</c:v>
                </c:pt>
                <c:pt idx="151">
                  <c:v>-0.77205307177256532</c:v>
                </c:pt>
                <c:pt idx="152">
                  <c:v>-0.76807856349206649</c:v>
                </c:pt>
                <c:pt idx="153">
                  <c:v>-0.76404398280923469</c:v>
                </c:pt>
                <c:pt idx="154">
                  <c:v>-0.75994874449127725</c:v>
                </c:pt>
                <c:pt idx="155">
                  <c:v>-0.75579226906234709</c:v>
                </c:pt>
                <c:pt idx="156">
                  <c:v>-0.7515739832958932</c:v>
                </c:pt>
                <c:pt idx="157">
                  <c:v>-0.74729332071877341</c:v>
                </c:pt>
                <c:pt idx="158">
                  <c:v>-0.74294972212701371</c:v>
                </c:pt>
                <c:pt idx="159">
                  <c:v>-0.73854263611305937</c:v>
                </c:pt>
                <c:pt idx="160">
                  <c:v>-0.73407151960434147</c:v>
                </c:pt>
                <c:pt idx="161">
                  <c:v>-0.72953583841296432</c:v>
                </c:pt>
                <c:pt idx="162">
                  <c:v>-0.72493506779627825</c:v>
                </c:pt>
                <c:pt idx="163">
                  <c:v>-0.72026869302808794</c:v>
                </c:pt>
                <c:pt idx="164">
                  <c:v>-0.71553620998020739</c:v>
                </c:pt>
                <c:pt idx="165">
                  <c:v>-0.71073712571404946</c:v>
                </c:pt>
                <c:pt idx="166">
                  <c:v>-0.70587095908190456</c:v>
                </c:pt>
                <c:pt idx="167">
                  <c:v>-0.70093724133753099</c:v>
                </c:pt>
                <c:pt idx="168">
                  <c:v>-0.69593551675565157</c:v>
                </c:pt>
                <c:pt idx="169">
                  <c:v>-0.69086534325991167</c:v>
                </c:pt>
                <c:pt idx="170">
                  <c:v>-0.68572629305882882</c:v>
                </c:pt>
                <c:pt idx="171">
                  <c:v>-0.68051795328922171</c:v>
                </c:pt>
                <c:pt idx="172">
                  <c:v>-0.67523992666657828</c:v>
                </c:pt>
                <c:pt idx="173">
                  <c:v>-0.66989183214178472</c:v>
                </c:pt>
                <c:pt idx="174">
                  <c:v>-0.66447330556360162</c:v>
                </c:pt>
                <c:pt idx="175">
                  <c:v>-0.65898400034623894</c:v>
                </c:pt>
                <c:pt idx="176">
                  <c:v>-0.65342358814134671</c:v>
                </c:pt>
                <c:pt idx="177">
                  <c:v>-0.64779175951369805</c:v>
                </c:pt>
                <c:pt idx="178">
                  <c:v>-0.64208822461980908</c:v>
                </c:pt>
                <c:pt idx="179">
                  <c:v>-0.63631271388870492</c:v>
                </c:pt>
                <c:pt idx="180">
                  <c:v>-0.63046497870399987</c:v>
                </c:pt>
                <c:pt idx="181">
                  <c:v>-0.6245447920864291</c:v>
                </c:pt>
                <c:pt idx="182">
                  <c:v>-0.61855194937593261</c:v>
                </c:pt>
                <c:pt idx="183">
                  <c:v>-0.61248626891235636</c:v>
                </c:pt>
                <c:pt idx="184">
                  <c:v>-0.60634759271380301</c:v>
                </c:pt>
                <c:pt idx="185">
                  <c:v>-0.60013578715162996</c:v>
                </c:pt>
                <c:pt idx="186">
                  <c:v>-0.59385074362105961</c:v>
                </c:pt>
                <c:pt idx="187">
                  <c:v>-0.58749237920633912</c:v>
                </c:pt>
                <c:pt idx="188">
                  <c:v>-0.58106063733934943</c:v>
                </c:pt>
                <c:pt idx="189">
                  <c:v>-0.57455548845054227</c:v>
                </c:pt>
                <c:pt idx="190">
                  <c:v>-0.56797693061105037</c:v>
                </c:pt>
                <c:pt idx="191">
                  <c:v>-0.5613249901647942</c:v>
                </c:pt>
                <c:pt idx="192">
                  <c:v>-0.55459972234938226</c:v>
                </c:pt>
                <c:pt idx="193">
                  <c:v>-0.54780121190457853</c:v>
                </c:pt>
                <c:pt idx="194">
                  <c:v>-0.54092957366709515</c:v>
                </c:pt>
                <c:pt idx="195">
                  <c:v>-0.53398495315044636</c:v>
                </c:pt>
                <c:pt idx="196">
                  <c:v>-0.52696752710858474</c:v>
                </c:pt>
                <c:pt idx="197">
                  <c:v>-0.51987750408203015</c:v>
                </c:pt>
                <c:pt idx="198">
                  <c:v>-0.51271512492518734</c:v>
                </c:pt>
                <c:pt idx="199">
                  <c:v>-0.50548066331354735</c:v>
                </c:pt>
                <c:pt idx="200">
                  <c:v>-0.49817442622945513</c:v>
                </c:pt>
                <c:pt idx="201">
                  <c:v>-0.4907967544251296</c:v>
                </c:pt>
                <c:pt idx="202">
                  <c:v>-0.48334802286162554</c:v>
                </c:pt>
                <c:pt idx="203">
                  <c:v>-0.47582864112242579</c:v>
                </c:pt>
                <c:pt idx="204">
                  <c:v>-0.46823905380036612</c:v>
                </c:pt>
                <c:pt idx="205">
                  <c:v>-0.46057974085660758</c:v>
                </c:pt>
                <c:pt idx="206">
                  <c:v>-0.45285121795038108</c:v>
                </c:pt>
                <c:pt idx="207">
                  <c:v>-0.44505403673825755</c:v>
                </c:pt>
                <c:pt idx="208">
                  <c:v>-0.43718878514171222</c:v>
                </c:pt>
                <c:pt idx="209">
                  <c:v>-0.42925608758178652</c:v>
                </c:pt>
                <c:pt idx="210">
                  <c:v>-0.42125660517967356</c:v>
                </c:pt>
                <c:pt idx="211">
                  <c:v>-0.41319103592210077</c:v>
                </c:pt>
                <c:pt idx="212">
                  <c:v>-0.40506011479041054</c:v>
                </c:pt>
                <c:pt idx="213">
                  <c:v>-0.39686461385229149</c:v>
                </c:pt>
                <c:pt idx="214">
                  <c:v>-0.38860534231515709</c:v>
                </c:pt>
                <c:pt idx="215">
                  <c:v>-0.38028314654022305</c:v>
                </c:pt>
                <c:pt idx="216">
                  <c:v>-0.37189891001638509</c:v>
                </c:pt>
                <c:pt idx="217">
                  <c:v>-0.36345355329306545</c:v>
                </c:pt>
                <c:pt idx="218">
                  <c:v>-0.35494803387125462</c:v>
                </c:pt>
                <c:pt idx="219">
                  <c:v>-0.34638334605204391</c:v>
                </c:pt>
                <c:pt idx="220">
                  <c:v>-0.33776052074201712</c:v>
                </c:pt>
                <c:pt idx="221">
                  <c:v>-0.32908062521494014</c:v>
                </c:pt>
                <c:pt idx="222">
                  <c:v>-0.32034476282927049</c:v>
                </c:pt>
                <c:pt idx="223">
                  <c:v>-0.31155407270108448</c:v>
                </c:pt>
                <c:pt idx="224">
                  <c:v>-0.30270972933210849</c:v>
                </c:pt>
                <c:pt idx="225">
                  <c:v>-0.29381294219262516</c:v>
                </c:pt>
                <c:pt idx="226">
                  <c:v>-0.28486495525911637</c:v>
                </c:pt>
                <c:pt idx="227">
                  <c:v>-0.27586704650659583</c:v>
                </c:pt>
                <c:pt idx="228">
                  <c:v>-0.26682052735568029</c:v>
                </c:pt>
                <c:pt idx="229">
                  <c:v>-0.25772674207454177</c:v>
                </c:pt>
                <c:pt idx="230">
                  <c:v>-0.24858706713598414</c:v>
                </c:pt>
                <c:pt idx="231">
                  <c:v>-0.23940291052998319</c:v>
                </c:pt>
                <c:pt idx="232">
                  <c:v>-0.230175711032133</c:v>
                </c:pt>
                <c:pt idx="233">
                  <c:v>-0.2209069374285372</c:v>
                </c:pt>
                <c:pt idx="234">
                  <c:v>-0.21159808769779129</c:v>
                </c:pt>
                <c:pt idx="235">
                  <c:v>-0.20225068815079633</c:v>
                </c:pt>
                <c:pt idx="236">
                  <c:v>-0.19286629252925089</c:v>
                </c:pt>
                <c:pt idx="237">
                  <c:v>-0.18344648106376396</c:v>
                </c:pt>
                <c:pt idx="238">
                  <c:v>-0.17399285949263318</c:v>
                </c:pt>
                <c:pt idx="239">
                  <c:v>-0.16450705804242946</c:v>
                </c:pt>
                <c:pt idx="240">
                  <c:v>-0.15499073037162348</c:v>
                </c:pt>
                <c:pt idx="241">
                  <c:v>-0.14544555247858676</c:v>
                </c:pt>
                <c:pt idx="242">
                  <c:v>-0.1358732215753865</c:v>
                </c:pt>
                <c:pt idx="243">
                  <c:v>-0.12627545492888667</c:v>
                </c:pt>
                <c:pt idx="244">
                  <c:v>-0.11665398867074886</c:v>
                </c:pt>
                <c:pt idx="245">
                  <c:v>-0.10701057657801066</c:v>
                </c:pt>
                <c:pt idx="246">
                  <c:v>-9.7346988825996877E-2</c:v>
                </c:pt>
                <c:pt idx="247">
                  <c:v>-8.7665010715391331E-2</c:v>
                </c:pt>
                <c:pt idx="248">
                  <c:v>-7.7966441375368192E-2</c:v>
                </c:pt>
                <c:pt idx="249">
                  <c:v>-6.825309244474452E-2</c:v>
                </c:pt>
                <c:pt idx="250">
                  <c:v>-5.8526786733177197E-2</c:v>
                </c:pt>
                <c:pt idx="251">
                  <c:v>-4.8789356864479792E-2</c:v>
                </c:pt>
                <c:pt idx="252">
                  <c:v>-3.9042643904185922E-2</c:v>
                </c:pt>
                <c:pt idx="253">
                  <c:v>-2.9288495973527149E-2</c:v>
                </c:pt>
                <c:pt idx="254">
                  <c:v>-1.9528766852031979E-2</c:v>
                </c:pt>
                <c:pt idx="255">
                  <c:v>-9.7653145709837175E-3</c:v>
                </c:pt>
                <c:pt idx="256">
                  <c:v>0</c:v>
                </c:pt>
                <c:pt idx="257">
                  <c:v>9.7653145709837175E-3</c:v>
                </c:pt>
                <c:pt idx="258">
                  <c:v>1.9528766852031979E-2</c:v>
                </c:pt>
                <c:pt idx="259">
                  <c:v>2.9288495973527149E-2</c:v>
                </c:pt>
                <c:pt idx="260">
                  <c:v>3.9042643904185922E-2</c:v>
                </c:pt>
                <c:pt idx="261">
                  <c:v>4.8789356864479792E-2</c:v>
                </c:pt>
                <c:pt idx="262">
                  <c:v>5.8526786733177197E-2</c:v>
                </c:pt>
                <c:pt idx="263">
                  <c:v>6.825309244474452E-2</c:v>
                </c:pt>
                <c:pt idx="264">
                  <c:v>7.7966441375368192E-2</c:v>
                </c:pt>
                <c:pt idx="265">
                  <c:v>8.7665010715391331E-2</c:v>
                </c:pt>
                <c:pt idx="266">
                  <c:v>9.7346988825996877E-2</c:v>
                </c:pt>
                <c:pt idx="267">
                  <c:v>0.10701057657801066</c:v>
                </c:pt>
                <c:pt idx="268">
                  <c:v>0.11665398867074886</c:v>
                </c:pt>
                <c:pt idx="269">
                  <c:v>0.12627545492888667</c:v>
                </c:pt>
                <c:pt idx="270">
                  <c:v>0.1358732215753865</c:v>
                </c:pt>
                <c:pt idx="271">
                  <c:v>0.14544555247858676</c:v>
                </c:pt>
                <c:pt idx="272">
                  <c:v>0.15499073037162348</c:v>
                </c:pt>
                <c:pt idx="273">
                  <c:v>0.16450705804242946</c:v>
                </c:pt>
                <c:pt idx="274">
                  <c:v>0.17399285949263318</c:v>
                </c:pt>
                <c:pt idx="275">
                  <c:v>0.18344648106376396</c:v>
                </c:pt>
                <c:pt idx="276">
                  <c:v>0.19286629252925089</c:v>
                </c:pt>
                <c:pt idx="277">
                  <c:v>0.20225068815079633</c:v>
                </c:pt>
                <c:pt idx="278">
                  <c:v>0.21159808769779129</c:v>
                </c:pt>
                <c:pt idx="279">
                  <c:v>0.2209069374285372</c:v>
                </c:pt>
                <c:pt idx="280">
                  <c:v>0.230175711032133</c:v>
                </c:pt>
                <c:pt idx="281">
                  <c:v>0.23940291052998319</c:v>
                </c:pt>
                <c:pt idx="282">
                  <c:v>0.24858706713598414</c:v>
                </c:pt>
                <c:pt idx="283">
                  <c:v>0.25772674207454177</c:v>
                </c:pt>
                <c:pt idx="284">
                  <c:v>0.26682052735568029</c:v>
                </c:pt>
                <c:pt idx="285">
                  <c:v>0.27586704650659583</c:v>
                </c:pt>
                <c:pt idx="286">
                  <c:v>0.28486495525911637</c:v>
                </c:pt>
                <c:pt idx="287">
                  <c:v>0.29381294219262516</c:v>
                </c:pt>
                <c:pt idx="288">
                  <c:v>0.30270972933210849</c:v>
                </c:pt>
                <c:pt idx="289">
                  <c:v>0.31155407270108448</c:v>
                </c:pt>
                <c:pt idx="290">
                  <c:v>0.32034476282927049</c:v>
                </c:pt>
                <c:pt idx="291">
                  <c:v>0.32908062521494014</c:v>
                </c:pt>
                <c:pt idx="292">
                  <c:v>0.33776052074201712</c:v>
                </c:pt>
                <c:pt idx="293">
                  <c:v>0.34638334605204391</c:v>
                </c:pt>
                <c:pt idx="294">
                  <c:v>0.35494803387125462</c:v>
                </c:pt>
                <c:pt idx="295">
                  <c:v>0.36345355329306545</c:v>
                </c:pt>
                <c:pt idx="296">
                  <c:v>0.37189891001638509</c:v>
                </c:pt>
                <c:pt idx="297">
                  <c:v>0.38028314654022305</c:v>
                </c:pt>
                <c:pt idx="298">
                  <c:v>0.38860534231515709</c:v>
                </c:pt>
                <c:pt idx="299">
                  <c:v>0.39686461385229149</c:v>
                </c:pt>
                <c:pt idx="300">
                  <c:v>0.40506011479041054</c:v>
                </c:pt>
                <c:pt idx="301">
                  <c:v>0.41319103592210077</c:v>
                </c:pt>
                <c:pt idx="302">
                  <c:v>0.42125660517967356</c:v>
                </c:pt>
                <c:pt idx="303">
                  <c:v>0.42925608758178652</c:v>
                </c:pt>
                <c:pt idx="304">
                  <c:v>0.43718878514171222</c:v>
                </c:pt>
                <c:pt idx="305">
                  <c:v>0.44505403673825755</c:v>
                </c:pt>
                <c:pt idx="306">
                  <c:v>0.45285121795038108</c:v>
                </c:pt>
                <c:pt idx="307">
                  <c:v>0.46057974085660758</c:v>
                </c:pt>
                <c:pt idx="308">
                  <c:v>0.46823905380036612</c:v>
                </c:pt>
                <c:pt idx="309">
                  <c:v>0.47582864112242579</c:v>
                </c:pt>
                <c:pt idx="310">
                  <c:v>0.48334802286162554</c:v>
                </c:pt>
                <c:pt idx="311">
                  <c:v>0.4907967544251296</c:v>
                </c:pt>
                <c:pt idx="312">
                  <c:v>0.49817442622945513</c:v>
                </c:pt>
                <c:pt idx="313">
                  <c:v>0.50548066331354735</c:v>
                </c:pt>
                <c:pt idx="314">
                  <c:v>0.51271512492518734</c:v>
                </c:pt>
                <c:pt idx="315">
                  <c:v>0.51987750408203015</c:v>
                </c:pt>
                <c:pt idx="316">
                  <c:v>0.52696752710858474</c:v>
                </c:pt>
                <c:pt idx="317">
                  <c:v>0.53398495315044636</c:v>
                </c:pt>
                <c:pt idx="318">
                  <c:v>0.54092957366709515</c:v>
                </c:pt>
                <c:pt idx="319">
                  <c:v>0.54780121190457853</c:v>
                </c:pt>
                <c:pt idx="320">
                  <c:v>0.55459972234938226</c:v>
                </c:pt>
                <c:pt idx="321">
                  <c:v>0.5613249901647942</c:v>
                </c:pt>
                <c:pt idx="322">
                  <c:v>0.56797693061105037</c:v>
                </c:pt>
                <c:pt idx="323">
                  <c:v>0.57455548845054227</c:v>
                </c:pt>
                <c:pt idx="324">
                  <c:v>0.58106063733934943</c:v>
                </c:pt>
                <c:pt idx="325">
                  <c:v>0.58749237920633912</c:v>
                </c:pt>
                <c:pt idx="326">
                  <c:v>0.59385074362105961</c:v>
                </c:pt>
                <c:pt idx="327">
                  <c:v>0.60013578715162996</c:v>
                </c:pt>
                <c:pt idx="328">
                  <c:v>0.60634759271380301</c:v>
                </c:pt>
                <c:pt idx="329">
                  <c:v>0.61248626891235636</c:v>
                </c:pt>
                <c:pt idx="330">
                  <c:v>0.61855194937593261</c:v>
                </c:pt>
                <c:pt idx="331">
                  <c:v>0.6245447920864291</c:v>
                </c:pt>
                <c:pt idx="332">
                  <c:v>0.63046497870399987</c:v>
                </c:pt>
                <c:pt idx="333">
                  <c:v>0.63631271388870492</c:v>
                </c:pt>
                <c:pt idx="334">
                  <c:v>0.64208822461980908</c:v>
                </c:pt>
                <c:pt idx="335">
                  <c:v>0.64779175951369805</c:v>
                </c:pt>
                <c:pt idx="336">
                  <c:v>0.65342358814134671</c:v>
                </c:pt>
                <c:pt idx="337">
                  <c:v>0.65898400034623894</c:v>
                </c:pt>
                <c:pt idx="338">
                  <c:v>0.66447330556360162</c:v>
                </c:pt>
                <c:pt idx="339">
                  <c:v>0.66989183214178472</c:v>
                </c:pt>
                <c:pt idx="340">
                  <c:v>0.67523992666657828</c:v>
                </c:pt>
                <c:pt idx="341">
                  <c:v>0.68051795328922171</c:v>
                </c:pt>
                <c:pt idx="342">
                  <c:v>0.68572629305882882</c:v>
                </c:pt>
                <c:pt idx="343">
                  <c:v>0.69086534325991167</c:v>
                </c:pt>
                <c:pt idx="344">
                  <c:v>0.69593551675565157</c:v>
                </c:pt>
                <c:pt idx="345">
                  <c:v>0.70093724133753099</c:v>
                </c:pt>
                <c:pt idx="346">
                  <c:v>0.70587095908190456</c:v>
                </c:pt>
                <c:pt idx="347">
                  <c:v>0.71073712571404946</c:v>
                </c:pt>
                <c:pt idx="348">
                  <c:v>0.71553620998020739</c:v>
                </c:pt>
                <c:pt idx="349">
                  <c:v>0.72026869302808794</c:v>
                </c:pt>
                <c:pt idx="350">
                  <c:v>0.72493506779627825</c:v>
                </c:pt>
                <c:pt idx="351">
                  <c:v>0.72953583841296432</c:v>
                </c:pt>
                <c:pt idx="352">
                  <c:v>0.73407151960434147</c:v>
                </c:pt>
                <c:pt idx="353">
                  <c:v>0.73854263611305937</c:v>
                </c:pt>
                <c:pt idx="354">
                  <c:v>0.74294972212701371</c:v>
                </c:pt>
                <c:pt idx="355">
                  <c:v>0.74729332071877341</c:v>
                </c:pt>
                <c:pt idx="356">
                  <c:v>0.7515739832958932</c:v>
                </c:pt>
                <c:pt idx="357">
                  <c:v>0.75579226906234709</c:v>
                </c:pt>
                <c:pt idx="358">
                  <c:v>0.75994874449127725</c:v>
                </c:pt>
                <c:pt idx="359">
                  <c:v>0.76404398280923469</c:v>
                </c:pt>
                <c:pt idx="360">
                  <c:v>0.76807856349206649</c:v>
                </c:pt>
                <c:pt idx="361">
                  <c:v>0.77205307177256532</c:v>
                </c:pt>
                <c:pt idx="362">
                  <c:v>0.77596809815999268</c:v>
                </c:pt>
                <c:pt idx="363">
                  <c:v>0.7798242379715502</c:v>
                </c:pt>
                <c:pt idx="364">
                  <c:v>0.78362209087585943</c:v>
                </c:pt>
                <c:pt idx="365">
                  <c:v>0.78736226044848479</c:v>
                </c:pt>
                <c:pt idx="366">
                  <c:v>0.791045353739526</c:v>
                </c:pt>
                <c:pt idx="367">
                  <c:v>0.79467198085326907</c:v>
                </c:pt>
                <c:pt idx="368">
                  <c:v>0.79824275453988702</c:v>
                </c:pt>
                <c:pt idx="369">
                  <c:v>0.80175828979915076</c:v>
                </c:pt>
                <c:pt idx="370">
                  <c:v>0.80521920349610432</c:v>
                </c:pt>
                <c:pt idx="371">
                  <c:v>0.80862611398863382</c:v>
                </c:pt>
                <c:pt idx="372">
                  <c:v>0.81197964076685547</c:v>
                </c:pt>
                <c:pt idx="373">
                  <c:v>0.81528040410423019</c:v>
                </c:pt>
                <c:pt idx="374">
                  <c:v>0.81852902472029798</c:v>
                </c:pt>
                <c:pt idx="375">
                  <c:v>0.82172612345491691</c:v>
                </c:pt>
                <c:pt idx="376">
                  <c:v>0.82487232095388274</c:v>
                </c:pt>
                <c:pt idx="377">
                  <c:v>0.82796823736578862</c:v>
                </c:pt>
                <c:pt idx="378">
                  <c:v>0.83101449204998157</c:v>
                </c:pt>
                <c:pt idx="379">
                  <c:v>0.83401170329546193</c:v>
                </c:pt>
                <c:pt idx="380">
                  <c:v>0.83696048805056222</c:v>
                </c:pt>
                <c:pt idx="381">
                  <c:v>0.83986146166323838</c:v>
                </c:pt>
                <c:pt idx="382">
                  <c:v>0.84271523763179712</c:v>
                </c:pt>
                <c:pt idx="383">
                  <c:v>0.84552242736587946</c:v>
                </c:pt>
                <c:pt idx="384">
                  <c:v>0.84828363995751288</c:v>
                </c:pt>
                <c:pt idx="385">
                  <c:v>0.85099948196204367</c:v>
                </c:pt>
                <c:pt idx="386">
                  <c:v>0.85367055718875329</c:v>
                </c:pt>
                <c:pt idx="387">
                  <c:v>0.85629746650096139</c:v>
                </c:pt>
                <c:pt idx="388">
                  <c:v>0.85888080762541397</c:v>
                </c:pt>
                <c:pt idx="389">
                  <c:v>0.86142117497075688</c:v>
                </c:pt>
                <c:pt idx="390">
                  <c:v>0.86391915945488207</c:v>
                </c:pt>
                <c:pt idx="391">
                  <c:v>0.86637534834094809</c:v>
                </c:pt>
                <c:pt idx="392">
                  <c:v>0.86879032508186149</c:v>
                </c:pt>
                <c:pt idx="393">
                  <c:v>0.87116466917301194</c:v>
                </c:pt>
                <c:pt idx="394">
                  <c:v>0.87349895601305361</c:v>
                </c:pt>
                <c:pt idx="395">
                  <c:v>0.87579375677252014</c:v>
                </c:pt>
                <c:pt idx="396">
                  <c:v>0.87804963827007032</c:v>
                </c:pt>
                <c:pt idx="397">
                  <c:v>0.8802671628561497</c:v>
                </c:pt>
                <c:pt idx="398">
                  <c:v>0.88244688830386631</c:v>
                </c:pt>
                <c:pt idx="399">
                  <c:v>0.88458936770687335</c:v>
                </c:pt>
                <c:pt idx="400">
                  <c:v>0.88669514938405225</c:v>
                </c:pt>
                <c:pt idx="401">
                  <c:v>0.88876477679079691</c:v>
                </c:pt>
                <c:pt idx="402">
                  <c:v>0.89079878843669513</c:v>
                </c:pt>
                <c:pt idx="403">
                  <c:v>0.89279771780941164</c:v>
                </c:pt>
                <c:pt idx="404">
                  <c:v>0.89476209330457257</c:v>
                </c:pt>
                <c:pt idx="405">
                  <c:v>0.89669243816146249</c:v>
                </c:pt>
                <c:pt idx="406">
                  <c:v>0.89858927040433911</c:v>
                </c:pt>
                <c:pt idx="407">
                  <c:v>0.90045310278917501</c:v>
                </c:pt>
                <c:pt idx="408">
                  <c:v>0.90228444275565034</c:v>
                </c:pt>
                <c:pt idx="409">
                  <c:v>0.90408379238420045</c:v>
                </c:pt>
                <c:pt idx="410">
                  <c:v>0.90585164835795184</c:v>
                </c:pt>
                <c:pt idx="411">
                  <c:v>0.90758850192936102</c:v>
                </c:pt>
                <c:pt idx="412">
                  <c:v>0.90929483889138707</c:v>
                </c:pt>
                <c:pt idx="413">
                  <c:v>0.91097113955303022</c:v>
                </c:pt>
                <c:pt idx="414">
                  <c:v>0.91261787871906375</c:v>
                </c:pt>
                <c:pt idx="415">
                  <c:v>0.91423552567380584</c:v>
                </c:pt>
                <c:pt idx="416">
                  <c:v>0.91582454416876236</c:v>
                </c:pt>
                <c:pt idx="417">
                  <c:v>0.91738539241399131</c:v>
                </c:pt>
                <c:pt idx="418">
                  <c:v>0.91891852307303634</c:v>
                </c:pt>
                <c:pt idx="419">
                  <c:v>0.92042438326127507</c:v>
                </c:pt>
                <c:pt idx="420">
                  <c:v>0.92190341454754732</c:v>
                </c:pt>
                <c:pt idx="421">
                  <c:v>0.92335605295890888</c:v>
                </c:pt>
                <c:pt idx="422">
                  <c:v>0.92478272898838698</c:v>
                </c:pt>
                <c:pt idx="423">
                  <c:v>0.92618386760558979</c:v>
                </c:pt>
                <c:pt idx="424">
                  <c:v>0.92755988827005054</c:v>
                </c:pt>
                <c:pt idx="425">
                  <c:v>0.92891120494717039</c:v>
                </c:pt>
                <c:pt idx="426">
                  <c:v>0.93023822612664153</c:v>
                </c:pt>
                <c:pt idx="427">
                  <c:v>0.93154135484322886</c:v>
                </c:pt>
                <c:pt idx="428">
                  <c:v>0.93282098869979191</c:v>
                </c:pt>
                <c:pt idx="429">
                  <c:v>0.93407751989243748</c:v>
                </c:pt>
                <c:pt idx="430">
                  <c:v>0.93531133523768573</c:v>
                </c:pt>
                <c:pt idx="431">
                  <c:v>0.93652281620155409</c:v>
                </c:pt>
                <c:pt idx="432">
                  <c:v>0.93771233893044315</c:v>
                </c:pt>
                <c:pt idx="433">
                  <c:v>0.93888027428373422</c:v>
                </c:pt>
                <c:pt idx="434">
                  <c:v>0.94002698786799688</c:v>
                </c:pt>
                <c:pt idx="435">
                  <c:v>0.94115284007271249</c:v>
                </c:pt>
                <c:pt idx="436">
                  <c:v>0.94225818610742429</c:v>
                </c:pt>
                <c:pt idx="437">
                  <c:v>0.94334337604022733</c:v>
                </c:pt>
                <c:pt idx="438">
                  <c:v>0.94440875483750997</c:v>
                </c:pt>
                <c:pt idx="439">
                  <c:v>0.94545466240486853</c:v>
                </c:pt>
                <c:pt idx="440">
                  <c:v>0.94648143362911374</c:v>
                </c:pt>
                <c:pt idx="441">
                  <c:v>0.94748939842129432</c:v>
                </c:pt>
                <c:pt idx="442">
                  <c:v>0.94847888176066286</c:v>
                </c:pt>
                <c:pt idx="443">
                  <c:v>0.94945020373951461</c:v>
                </c:pt>
                <c:pt idx="444">
                  <c:v>0.95040367960882866</c:v>
                </c:pt>
                <c:pt idx="445">
                  <c:v>0.95133961982464854</c:v>
                </c:pt>
                <c:pt idx="446">
                  <c:v>0.95225833009513827</c:v>
                </c:pt>
                <c:pt idx="447">
                  <c:v>0.95316011142824941</c:v>
                </c:pt>
                <c:pt idx="448">
                  <c:v>0.95404526017994873</c:v>
                </c:pt>
                <c:pt idx="449">
                  <c:v>0.9549140681029411</c:v>
                </c:pt>
                <c:pt idx="450">
                  <c:v>0.95576682239584099</c:v>
                </c:pt>
                <c:pt idx="451">
                  <c:v>0.95660380575273607</c:v>
                </c:pt>
                <c:pt idx="452">
                  <c:v>0.95742529641309804</c:v>
                </c:pt>
                <c:pt idx="453">
                  <c:v>0.95823156821198718</c:v>
                </c:pt>
                <c:pt idx="454">
                  <c:v>0.95902289063051238</c:v>
                </c:pt>
                <c:pt idx="455">
                  <c:v>0.95979952884649589</c:v>
                </c:pt>
                <c:pt idx="456">
                  <c:v>0.96056174378530668</c:v>
                </c:pt>
                <c:pt idx="457">
                  <c:v>0.96130979217082102</c:v>
                </c:pt>
                <c:pt idx="458">
                  <c:v>0.96204392657646864</c:v>
                </c:pt>
                <c:pt idx="459">
                  <c:v>0.96276439547633652</c:v>
                </c:pt>
                <c:pt idx="460">
                  <c:v>0.96347144329628598</c:v>
                </c:pt>
                <c:pt idx="461">
                  <c:v>0.96416531046505738</c:v>
                </c:pt>
                <c:pt idx="462">
                  <c:v>0.96484623346532816</c:v>
                </c:pt>
                <c:pt idx="463">
                  <c:v>0.96551444488469429</c:v>
                </c:pt>
                <c:pt idx="464">
                  <c:v>0.96617017346654699</c:v>
                </c:pt>
                <c:pt idx="465">
                  <c:v>0.96681364416081916</c:v>
                </c:pt>
                <c:pt idx="466">
                  <c:v>0.96744507817457304</c:v>
                </c:pt>
                <c:pt idx="467">
                  <c:v>0.96806469302240794</c:v>
                </c:pt>
                <c:pt idx="468">
                  <c:v>0.96867270257666327</c:v>
                </c:pt>
                <c:pt idx="469">
                  <c:v>0.9692693171173955</c:v>
                </c:pt>
                <c:pt idx="470">
                  <c:v>0.96985474338210875</c:v>
                </c:pt>
                <c:pt idx="471">
                  <c:v>0.97042918461521888</c:v>
                </c:pt>
                <c:pt idx="472">
                  <c:v>0.9709928406172359</c:v>
                </c:pt>
                <c:pt idx="473">
                  <c:v>0.97154590779364169</c:v>
                </c:pt>
                <c:pt idx="474">
                  <c:v>0.97208857920345315</c:v>
                </c:pt>
                <c:pt idx="475">
                  <c:v>0.97262104460745114</c:v>
                </c:pt>
                <c:pt idx="476">
                  <c:v>0.97314349051606297</c:v>
                </c:pt>
                <c:pt idx="477">
                  <c:v>0.97365610023688698</c:v>
                </c:pt>
                <c:pt idx="478">
                  <c:v>0.97415905392184188</c:v>
                </c:pt>
                <c:pt idx="479">
                  <c:v>0.9746525286139337</c:v>
                </c:pt>
                <c:pt idx="480">
                  <c:v>0.97513669829362815</c:v>
                </c:pt>
                <c:pt idx="481">
                  <c:v>0.97561173392481892</c:v>
                </c:pt>
                <c:pt idx="482">
                  <c:v>0.97607780350038087</c:v>
                </c:pt>
                <c:pt idx="483">
                  <c:v>0.97653507208730383</c:v>
                </c:pt>
                <c:pt idx="484">
                  <c:v>0.97698370187139327</c:v>
                </c:pt>
                <c:pt idx="485">
                  <c:v>0.97742385220153782</c:v>
                </c:pt>
                <c:pt idx="486">
                  <c:v>0.97785567963353159</c:v>
                </c:pt>
                <c:pt idx="487">
                  <c:v>0.97827933797344513</c:v>
                </c:pt>
                <c:pt idx="488">
                  <c:v>0.97869497832054775</c:v>
                </c:pt>
                <c:pt idx="489">
                  <c:v>0.97910274910976647</c:v>
                </c:pt>
                <c:pt idx="490">
                  <c:v>0.97950279615368285</c:v>
                </c:pt>
                <c:pt idx="491">
                  <c:v>0.97989526268406357</c:v>
                </c:pt>
                <c:pt idx="492">
                  <c:v>0.98028028939292244</c:v>
                </c:pt>
                <c:pt idx="493">
                  <c:v>0.98065801447310597</c:v>
                </c:pt>
                <c:pt idx="494">
                  <c:v>0.98102857365840945</c:v>
                </c:pt>
                <c:pt idx="495">
                  <c:v>0.98139210026321255</c:v>
                </c:pt>
                <c:pt idx="496">
                  <c:v>0.98174872522163892</c:v>
                </c:pt>
                <c:pt idx="497">
                  <c:v>0.98209857712623605</c:v>
                </c:pt>
                <c:pt idx="498">
                  <c:v>0.98244178226617629</c:v>
                </c:pt>
                <c:pt idx="499">
                  <c:v>0.98277846466497853</c:v>
                </c:pt>
                <c:pt idx="500">
                  <c:v>0.98310874611774801</c:v>
                </c:pt>
                <c:pt idx="501">
                  <c:v>0.98343274622793886</c:v>
                </c:pt>
                <c:pt idx="502">
                  <c:v>0.98375058244363811</c:v>
                </c:pt>
                <c:pt idx="503">
                  <c:v>0.98406237009336928</c:v>
                </c:pt>
                <c:pt idx="504">
                  <c:v>0.98436822242142286</c:v>
                </c:pt>
                <c:pt idx="505">
                  <c:v>0.98466825062270802</c:v>
                </c:pt>
                <c:pt idx="506">
                  <c:v>0.98496256387713566</c:v>
                </c:pt>
                <c:pt idx="507">
                  <c:v>0.98525126938352436</c:v>
                </c:pt>
                <c:pt idx="508">
                  <c:v>0.98553447239304193</c:v>
                </c:pt>
                <c:pt idx="509">
                  <c:v>0.98581227624217693</c:v>
                </c:pt>
                <c:pt idx="510">
                  <c:v>0.98608478238524722</c:v>
                </c:pt>
                <c:pt idx="511">
                  <c:v>0.98635209042644623</c:v>
                </c:pt>
                <c:pt idx="512">
                  <c:v>0.98661429815143042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OscClipping!$F$3</c:f>
              <c:strCache>
                <c:ptCount val="1"/>
                <c:pt idx="0">
                  <c:v>cubic</c:v>
                </c:pt>
              </c:strCache>
            </c:strRef>
          </c:tx>
          <c:marker>
            <c:symbol val="none"/>
          </c:marker>
          <c:xVal>
            <c:numRef>
              <c:f>OscClipping!$A$4:$A$516</c:f>
              <c:numCache>
                <c:formatCode>General</c:formatCode>
                <c:ptCount val="513"/>
                <c:pt idx="0">
                  <c:v>-1</c:v>
                </c:pt>
                <c:pt idx="1">
                  <c:v>-0.99609375</c:v>
                </c:pt>
                <c:pt idx="2">
                  <c:v>-0.9921875</c:v>
                </c:pt>
                <c:pt idx="3">
                  <c:v>-0.98828125</c:v>
                </c:pt>
                <c:pt idx="4">
                  <c:v>-0.984375</c:v>
                </c:pt>
                <c:pt idx="5">
                  <c:v>-0.98046875</c:v>
                </c:pt>
                <c:pt idx="6">
                  <c:v>-0.9765625</c:v>
                </c:pt>
                <c:pt idx="7">
                  <c:v>-0.97265625</c:v>
                </c:pt>
                <c:pt idx="8">
                  <c:v>-0.96875</c:v>
                </c:pt>
                <c:pt idx="9">
                  <c:v>-0.96484375</c:v>
                </c:pt>
                <c:pt idx="10">
                  <c:v>-0.9609375</c:v>
                </c:pt>
                <c:pt idx="11">
                  <c:v>-0.95703125</c:v>
                </c:pt>
                <c:pt idx="12">
                  <c:v>-0.953125</c:v>
                </c:pt>
                <c:pt idx="13">
                  <c:v>-0.94921875</c:v>
                </c:pt>
                <c:pt idx="14">
                  <c:v>-0.9453125</c:v>
                </c:pt>
                <c:pt idx="15">
                  <c:v>-0.94140625</c:v>
                </c:pt>
                <c:pt idx="16">
                  <c:v>-0.9375</c:v>
                </c:pt>
                <c:pt idx="17">
                  <c:v>-0.93359375</c:v>
                </c:pt>
                <c:pt idx="18">
                  <c:v>-0.9296875</c:v>
                </c:pt>
                <c:pt idx="19">
                  <c:v>-0.92578125</c:v>
                </c:pt>
                <c:pt idx="20">
                  <c:v>-0.921875</c:v>
                </c:pt>
                <c:pt idx="21">
                  <c:v>-0.91796875</c:v>
                </c:pt>
                <c:pt idx="22">
                  <c:v>-0.9140625</c:v>
                </c:pt>
                <c:pt idx="23">
                  <c:v>-0.91015625</c:v>
                </c:pt>
                <c:pt idx="24">
                  <c:v>-0.90625</c:v>
                </c:pt>
                <c:pt idx="25">
                  <c:v>-0.90234375</c:v>
                </c:pt>
                <c:pt idx="26">
                  <c:v>-0.8984375</c:v>
                </c:pt>
                <c:pt idx="27">
                  <c:v>-0.89453125</c:v>
                </c:pt>
                <c:pt idx="28">
                  <c:v>-0.890625</c:v>
                </c:pt>
                <c:pt idx="29">
                  <c:v>-0.88671875</c:v>
                </c:pt>
                <c:pt idx="30">
                  <c:v>-0.8828125</c:v>
                </c:pt>
                <c:pt idx="31">
                  <c:v>-0.87890625</c:v>
                </c:pt>
                <c:pt idx="32">
                  <c:v>-0.875</c:v>
                </c:pt>
                <c:pt idx="33">
                  <c:v>-0.87109375</c:v>
                </c:pt>
                <c:pt idx="34">
                  <c:v>-0.8671875</c:v>
                </c:pt>
                <c:pt idx="35">
                  <c:v>-0.86328125</c:v>
                </c:pt>
                <c:pt idx="36">
                  <c:v>-0.859375</c:v>
                </c:pt>
                <c:pt idx="37">
                  <c:v>-0.85546875</c:v>
                </c:pt>
                <c:pt idx="38">
                  <c:v>-0.8515625</c:v>
                </c:pt>
                <c:pt idx="39">
                  <c:v>-0.84765625</c:v>
                </c:pt>
                <c:pt idx="40">
                  <c:v>-0.84375</c:v>
                </c:pt>
                <c:pt idx="41">
                  <c:v>-0.83984375</c:v>
                </c:pt>
                <c:pt idx="42">
                  <c:v>-0.8359375</c:v>
                </c:pt>
                <c:pt idx="43">
                  <c:v>-0.83203125</c:v>
                </c:pt>
                <c:pt idx="44">
                  <c:v>-0.828125</c:v>
                </c:pt>
                <c:pt idx="45">
                  <c:v>-0.82421875</c:v>
                </c:pt>
                <c:pt idx="46">
                  <c:v>-0.8203125</c:v>
                </c:pt>
                <c:pt idx="47">
                  <c:v>-0.81640625</c:v>
                </c:pt>
                <c:pt idx="48">
                  <c:v>-0.8125</c:v>
                </c:pt>
                <c:pt idx="49">
                  <c:v>-0.80859375</c:v>
                </c:pt>
                <c:pt idx="50">
                  <c:v>-0.8046875</c:v>
                </c:pt>
                <c:pt idx="51">
                  <c:v>-0.80078125</c:v>
                </c:pt>
                <c:pt idx="52">
                  <c:v>-0.796875</c:v>
                </c:pt>
                <c:pt idx="53">
                  <c:v>-0.79296875</c:v>
                </c:pt>
                <c:pt idx="54">
                  <c:v>-0.7890625</c:v>
                </c:pt>
                <c:pt idx="55">
                  <c:v>-0.78515625</c:v>
                </c:pt>
                <c:pt idx="56">
                  <c:v>-0.78125</c:v>
                </c:pt>
                <c:pt idx="57">
                  <c:v>-0.77734375</c:v>
                </c:pt>
                <c:pt idx="58">
                  <c:v>-0.7734375</c:v>
                </c:pt>
                <c:pt idx="59">
                  <c:v>-0.76953125</c:v>
                </c:pt>
                <c:pt idx="60">
                  <c:v>-0.765625</c:v>
                </c:pt>
                <c:pt idx="61">
                  <c:v>-0.76171875</c:v>
                </c:pt>
                <c:pt idx="62">
                  <c:v>-0.7578125</c:v>
                </c:pt>
                <c:pt idx="63">
                  <c:v>-0.75390625</c:v>
                </c:pt>
                <c:pt idx="64">
                  <c:v>-0.75</c:v>
                </c:pt>
                <c:pt idx="65">
                  <c:v>-0.74609375</c:v>
                </c:pt>
                <c:pt idx="66">
                  <c:v>-0.7421875</c:v>
                </c:pt>
                <c:pt idx="67">
                  <c:v>-0.73828125</c:v>
                </c:pt>
                <c:pt idx="68">
                  <c:v>-0.734375</c:v>
                </c:pt>
                <c:pt idx="69">
                  <c:v>-0.73046875</c:v>
                </c:pt>
                <c:pt idx="70">
                  <c:v>-0.7265625</c:v>
                </c:pt>
                <c:pt idx="71">
                  <c:v>-0.72265625</c:v>
                </c:pt>
                <c:pt idx="72">
                  <c:v>-0.71875</c:v>
                </c:pt>
                <c:pt idx="73">
                  <c:v>-0.71484375</c:v>
                </c:pt>
                <c:pt idx="74">
                  <c:v>-0.7109375</c:v>
                </c:pt>
                <c:pt idx="75">
                  <c:v>-0.70703125</c:v>
                </c:pt>
                <c:pt idx="76">
                  <c:v>-0.703125</c:v>
                </c:pt>
                <c:pt idx="77">
                  <c:v>-0.69921875</c:v>
                </c:pt>
                <c:pt idx="78">
                  <c:v>-0.6953125</c:v>
                </c:pt>
                <c:pt idx="79">
                  <c:v>-0.69140625</c:v>
                </c:pt>
                <c:pt idx="80">
                  <c:v>-0.6875</c:v>
                </c:pt>
                <c:pt idx="81">
                  <c:v>-0.68359375</c:v>
                </c:pt>
                <c:pt idx="82">
                  <c:v>-0.6796875</c:v>
                </c:pt>
                <c:pt idx="83">
                  <c:v>-0.67578125</c:v>
                </c:pt>
                <c:pt idx="84">
                  <c:v>-0.671875</c:v>
                </c:pt>
                <c:pt idx="85">
                  <c:v>-0.66796875</c:v>
                </c:pt>
                <c:pt idx="86">
                  <c:v>-0.6640625</c:v>
                </c:pt>
                <c:pt idx="87">
                  <c:v>-0.66015625</c:v>
                </c:pt>
                <c:pt idx="88">
                  <c:v>-0.65625</c:v>
                </c:pt>
                <c:pt idx="89">
                  <c:v>-0.65234375</c:v>
                </c:pt>
                <c:pt idx="90">
                  <c:v>-0.6484375</c:v>
                </c:pt>
                <c:pt idx="91">
                  <c:v>-0.64453125</c:v>
                </c:pt>
                <c:pt idx="92">
                  <c:v>-0.640625</c:v>
                </c:pt>
                <c:pt idx="93">
                  <c:v>-0.63671875</c:v>
                </c:pt>
                <c:pt idx="94">
                  <c:v>-0.6328125</c:v>
                </c:pt>
                <c:pt idx="95">
                  <c:v>-0.62890625</c:v>
                </c:pt>
                <c:pt idx="96">
                  <c:v>-0.625</c:v>
                </c:pt>
                <c:pt idx="97">
                  <c:v>-0.62109375</c:v>
                </c:pt>
                <c:pt idx="98">
                  <c:v>-0.6171875</c:v>
                </c:pt>
                <c:pt idx="99">
                  <c:v>-0.61328125</c:v>
                </c:pt>
                <c:pt idx="100">
                  <c:v>-0.609375</c:v>
                </c:pt>
                <c:pt idx="101">
                  <c:v>-0.60546875</c:v>
                </c:pt>
                <c:pt idx="102">
                  <c:v>-0.6015625</c:v>
                </c:pt>
                <c:pt idx="103">
                  <c:v>-0.59765625</c:v>
                </c:pt>
                <c:pt idx="104">
                  <c:v>-0.59375</c:v>
                </c:pt>
                <c:pt idx="105">
                  <c:v>-0.58984375</c:v>
                </c:pt>
                <c:pt idx="106">
                  <c:v>-0.5859375</c:v>
                </c:pt>
                <c:pt idx="107">
                  <c:v>-0.58203125</c:v>
                </c:pt>
                <c:pt idx="108">
                  <c:v>-0.578125</c:v>
                </c:pt>
                <c:pt idx="109">
                  <c:v>-0.57421875</c:v>
                </c:pt>
                <c:pt idx="110">
                  <c:v>-0.5703125</c:v>
                </c:pt>
                <c:pt idx="111">
                  <c:v>-0.56640625</c:v>
                </c:pt>
                <c:pt idx="112">
                  <c:v>-0.5625</c:v>
                </c:pt>
                <c:pt idx="113">
                  <c:v>-0.55859375</c:v>
                </c:pt>
                <c:pt idx="114">
                  <c:v>-0.5546875</c:v>
                </c:pt>
                <c:pt idx="115">
                  <c:v>-0.55078125</c:v>
                </c:pt>
                <c:pt idx="116">
                  <c:v>-0.546875</c:v>
                </c:pt>
                <c:pt idx="117">
                  <c:v>-0.54296875</c:v>
                </c:pt>
                <c:pt idx="118">
                  <c:v>-0.5390625</c:v>
                </c:pt>
                <c:pt idx="119">
                  <c:v>-0.53515625</c:v>
                </c:pt>
                <c:pt idx="120">
                  <c:v>-0.53125</c:v>
                </c:pt>
                <c:pt idx="121">
                  <c:v>-0.52734375</c:v>
                </c:pt>
                <c:pt idx="122">
                  <c:v>-0.5234375</c:v>
                </c:pt>
                <c:pt idx="123">
                  <c:v>-0.51953125</c:v>
                </c:pt>
                <c:pt idx="124">
                  <c:v>-0.515625</c:v>
                </c:pt>
                <c:pt idx="125">
                  <c:v>-0.51171875</c:v>
                </c:pt>
                <c:pt idx="126">
                  <c:v>-0.5078125</c:v>
                </c:pt>
                <c:pt idx="127">
                  <c:v>-0.50390625</c:v>
                </c:pt>
                <c:pt idx="128">
                  <c:v>-0.5</c:v>
                </c:pt>
                <c:pt idx="129">
                  <c:v>-0.49609375</c:v>
                </c:pt>
                <c:pt idx="130">
                  <c:v>-0.4921875</c:v>
                </c:pt>
                <c:pt idx="131">
                  <c:v>-0.48828125</c:v>
                </c:pt>
                <c:pt idx="132">
                  <c:v>-0.484375</c:v>
                </c:pt>
                <c:pt idx="133">
                  <c:v>-0.48046875</c:v>
                </c:pt>
                <c:pt idx="134">
                  <c:v>-0.4765625</c:v>
                </c:pt>
                <c:pt idx="135">
                  <c:v>-0.47265625</c:v>
                </c:pt>
                <c:pt idx="136">
                  <c:v>-0.46875</c:v>
                </c:pt>
                <c:pt idx="137">
                  <c:v>-0.46484375</c:v>
                </c:pt>
                <c:pt idx="138">
                  <c:v>-0.4609375</c:v>
                </c:pt>
                <c:pt idx="139">
                  <c:v>-0.45703125</c:v>
                </c:pt>
                <c:pt idx="140">
                  <c:v>-0.453125</c:v>
                </c:pt>
                <c:pt idx="141">
                  <c:v>-0.44921875</c:v>
                </c:pt>
                <c:pt idx="142">
                  <c:v>-0.4453125</c:v>
                </c:pt>
                <c:pt idx="143">
                  <c:v>-0.44140625</c:v>
                </c:pt>
                <c:pt idx="144">
                  <c:v>-0.4375</c:v>
                </c:pt>
                <c:pt idx="145">
                  <c:v>-0.43359375</c:v>
                </c:pt>
                <c:pt idx="146">
                  <c:v>-0.4296875</c:v>
                </c:pt>
                <c:pt idx="147">
                  <c:v>-0.42578125</c:v>
                </c:pt>
                <c:pt idx="148">
                  <c:v>-0.421875</c:v>
                </c:pt>
                <c:pt idx="149">
                  <c:v>-0.41796875</c:v>
                </c:pt>
                <c:pt idx="150">
                  <c:v>-0.4140625</c:v>
                </c:pt>
                <c:pt idx="151">
                  <c:v>-0.41015625</c:v>
                </c:pt>
                <c:pt idx="152">
                  <c:v>-0.40625</c:v>
                </c:pt>
                <c:pt idx="153">
                  <c:v>-0.40234375</c:v>
                </c:pt>
                <c:pt idx="154">
                  <c:v>-0.3984375</c:v>
                </c:pt>
                <c:pt idx="155">
                  <c:v>-0.39453125</c:v>
                </c:pt>
                <c:pt idx="156">
                  <c:v>-0.390625</c:v>
                </c:pt>
                <c:pt idx="157">
                  <c:v>-0.38671875</c:v>
                </c:pt>
                <c:pt idx="158">
                  <c:v>-0.3828125</c:v>
                </c:pt>
                <c:pt idx="159">
                  <c:v>-0.37890625</c:v>
                </c:pt>
                <c:pt idx="160">
                  <c:v>-0.375</c:v>
                </c:pt>
                <c:pt idx="161">
                  <c:v>-0.37109375</c:v>
                </c:pt>
                <c:pt idx="162">
                  <c:v>-0.3671875</c:v>
                </c:pt>
                <c:pt idx="163">
                  <c:v>-0.36328125</c:v>
                </c:pt>
                <c:pt idx="164">
                  <c:v>-0.359375</c:v>
                </c:pt>
                <c:pt idx="165">
                  <c:v>-0.35546875</c:v>
                </c:pt>
                <c:pt idx="166">
                  <c:v>-0.3515625</c:v>
                </c:pt>
                <c:pt idx="167">
                  <c:v>-0.34765625</c:v>
                </c:pt>
                <c:pt idx="168">
                  <c:v>-0.34375</c:v>
                </c:pt>
                <c:pt idx="169">
                  <c:v>-0.33984375</c:v>
                </c:pt>
                <c:pt idx="170">
                  <c:v>-0.3359375</c:v>
                </c:pt>
                <c:pt idx="171">
                  <c:v>-0.33203125</c:v>
                </c:pt>
                <c:pt idx="172">
                  <c:v>-0.328125</c:v>
                </c:pt>
                <c:pt idx="173">
                  <c:v>-0.32421875</c:v>
                </c:pt>
                <c:pt idx="174">
                  <c:v>-0.3203125</c:v>
                </c:pt>
                <c:pt idx="175">
                  <c:v>-0.31640625</c:v>
                </c:pt>
                <c:pt idx="176">
                  <c:v>-0.3125</c:v>
                </c:pt>
                <c:pt idx="177">
                  <c:v>-0.30859375</c:v>
                </c:pt>
                <c:pt idx="178">
                  <c:v>-0.3046875</c:v>
                </c:pt>
                <c:pt idx="179">
                  <c:v>-0.30078125</c:v>
                </c:pt>
                <c:pt idx="180">
                  <c:v>-0.296875</c:v>
                </c:pt>
                <c:pt idx="181">
                  <c:v>-0.29296875</c:v>
                </c:pt>
                <c:pt idx="182">
                  <c:v>-0.2890625</c:v>
                </c:pt>
                <c:pt idx="183">
                  <c:v>-0.28515625</c:v>
                </c:pt>
                <c:pt idx="184">
                  <c:v>-0.28125</c:v>
                </c:pt>
                <c:pt idx="185">
                  <c:v>-0.27734375</c:v>
                </c:pt>
                <c:pt idx="186">
                  <c:v>-0.2734375</c:v>
                </c:pt>
                <c:pt idx="187">
                  <c:v>-0.26953125</c:v>
                </c:pt>
                <c:pt idx="188">
                  <c:v>-0.265625</c:v>
                </c:pt>
                <c:pt idx="189">
                  <c:v>-0.26171875</c:v>
                </c:pt>
                <c:pt idx="190">
                  <c:v>-0.2578125</c:v>
                </c:pt>
                <c:pt idx="191">
                  <c:v>-0.25390625</c:v>
                </c:pt>
                <c:pt idx="192">
                  <c:v>-0.25</c:v>
                </c:pt>
                <c:pt idx="193">
                  <c:v>-0.24609375</c:v>
                </c:pt>
                <c:pt idx="194">
                  <c:v>-0.2421875</c:v>
                </c:pt>
                <c:pt idx="195">
                  <c:v>-0.23828125</c:v>
                </c:pt>
                <c:pt idx="196">
                  <c:v>-0.234375</c:v>
                </c:pt>
                <c:pt idx="197">
                  <c:v>-0.23046875</c:v>
                </c:pt>
                <c:pt idx="198">
                  <c:v>-0.2265625</c:v>
                </c:pt>
                <c:pt idx="199">
                  <c:v>-0.22265625</c:v>
                </c:pt>
                <c:pt idx="200">
                  <c:v>-0.21875</c:v>
                </c:pt>
                <c:pt idx="201">
                  <c:v>-0.21484375</c:v>
                </c:pt>
                <c:pt idx="202">
                  <c:v>-0.2109375</c:v>
                </c:pt>
                <c:pt idx="203">
                  <c:v>-0.20703125</c:v>
                </c:pt>
                <c:pt idx="204">
                  <c:v>-0.203125</c:v>
                </c:pt>
                <c:pt idx="205">
                  <c:v>-0.19921875</c:v>
                </c:pt>
                <c:pt idx="206">
                  <c:v>-0.1953125</c:v>
                </c:pt>
                <c:pt idx="207">
                  <c:v>-0.19140625</c:v>
                </c:pt>
                <c:pt idx="208">
                  <c:v>-0.1875</c:v>
                </c:pt>
                <c:pt idx="209">
                  <c:v>-0.18359375</c:v>
                </c:pt>
                <c:pt idx="210">
                  <c:v>-0.1796875</c:v>
                </c:pt>
                <c:pt idx="211">
                  <c:v>-0.17578125</c:v>
                </c:pt>
                <c:pt idx="212">
                  <c:v>-0.171875</c:v>
                </c:pt>
                <c:pt idx="213">
                  <c:v>-0.16796875</c:v>
                </c:pt>
                <c:pt idx="214">
                  <c:v>-0.1640625</c:v>
                </c:pt>
                <c:pt idx="215">
                  <c:v>-0.16015625</c:v>
                </c:pt>
                <c:pt idx="216">
                  <c:v>-0.15625</c:v>
                </c:pt>
                <c:pt idx="217">
                  <c:v>-0.15234375</c:v>
                </c:pt>
                <c:pt idx="218">
                  <c:v>-0.1484375</c:v>
                </c:pt>
                <c:pt idx="219">
                  <c:v>-0.14453125</c:v>
                </c:pt>
                <c:pt idx="220">
                  <c:v>-0.140625</c:v>
                </c:pt>
                <c:pt idx="221">
                  <c:v>-0.13671875</c:v>
                </c:pt>
                <c:pt idx="222">
                  <c:v>-0.1328125</c:v>
                </c:pt>
                <c:pt idx="223">
                  <c:v>-0.12890625</c:v>
                </c:pt>
                <c:pt idx="224">
                  <c:v>-0.125</c:v>
                </c:pt>
                <c:pt idx="225">
                  <c:v>-0.12109375</c:v>
                </c:pt>
                <c:pt idx="226">
                  <c:v>-0.1171875</c:v>
                </c:pt>
                <c:pt idx="227">
                  <c:v>-0.11328125</c:v>
                </c:pt>
                <c:pt idx="228">
                  <c:v>-0.109375</c:v>
                </c:pt>
                <c:pt idx="229">
                  <c:v>-0.10546875</c:v>
                </c:pt>
                <c:pt idx="230">
                  <c:v>-0.1015625</c:v>
                </c:pt>
                <c:pt idx="231">
                  <c:v>-9.765625E-2</c:v>
                </c:pt>
                <c:pt idx="232">
                  <c:v>-9.375E-2</c:v>
                </c:pt>
                <c:pt idx="233">
                  <c:v>-8.984375E-2</c:v>
                </c:pt>
                <c:pt idx="234">
                  <c:v>-8.59375E-2</c:v>
                </c:pt>
                <c:pt idx="235">
                  <c:v>-8.203125E-2</c:v>
                </c:pt>
                <c:pt idx="236">
                  <c:v>-7.8125E-2</c:v>
                </c:pt>
                <c:pt idx="237">
                  <c:v>-7.421875E-2</c:v>
                </c:pt>
                <c:pt idx="238">
                  <c:v>-7.03125E-2</c:v>
                </c:pt>
                <c:pt idx="239">
                  <c:v>-6.640625E-2</c:v>
                </c:pt>
                <c:pt idx="240">
                  <c:v>-6.25E-2</c:v>
                </c:pt>
                <c:pt idx="241">
                  <c:v>-5.859375E-2</c:v>
                </c:pt>
                <c:pt idx="242">
                  <c:v>-5.46875E-2</c:v>
                </c:pt>
                <c:pt idx="243">
                  <c:v>-5.078125E-2</c:v>
                </c:pt>
                <c:pt idx="244">
                  <c:v>-4.6875E-2</c:v>
                </c:pt>
                <c:pt idx="245">
                  <c:v>-4.296875E-2</c:v>
                </c:pt>
                <c:pt idx="246">
                  <c:v>-3.90625E-2</c:v>
                </c:pt>
                <c:pt idx="247">
                  <c:v>-3.515625E-2</c:v>
                </c:pt>
                <c:pt idx="248">
                  <c:v>-3.125E-2</c:v>
                </c:pt>
                <c:pt idx="249">
                  <c:v>-2.734375E-2</c:v>
                </c:pt>
                <c:pt idx="250">
                  <c:v>-2.34375E-2</c:v>
                </c:pt>
                <c:pt idx="251">
                  <c:v>-1.953125E-2</c:v>
                </c:pt>
                <c:pt idx="252">
                  <c:v>-1.5625E-2</c:v>
                </c:pt>
                <c:pt idx="253">
                  <c:v>-1.171875E-2</c:v>
                </c:pt>
                <c:pt idx="254">
                  <c:v>-7.8125E-3</c:v>
                </c:pt>
                <c:pt idx="255">
                  <c:v>-3.90625E-3</c:v>
                </c:pt>
                <c:pt idx="256">
                  <c:v>0</c:v>
                </c:pt>
                <c:pt idx="257">
                  <c:v>3.90625E-3</c:v>
                </c:pt>
                <c:pt idx="258">
                  <c:v>7.8125E-3</c:v>
                </c:pt>
                <c:pt idx="259">
                  <c:v>1.171875E-2</c:v>
                </c:pt>
                <c:pt idx="260">
                  <c:v>1.5625E-2</c:v>
                </c:pt>
                <c:pt idx="261">
                  <c:v>1.953125E-2</c:v>
                </c:pt>
                <c:pt idx="262">
                  <c:v>2.34375E-2</c:v>
                </c:pt>
                <c:pt idx="263">
                  <c:v>2.734375E-2</c:v>
                </c:pt>
                <c:pt idx="264">
                  <c:v>3.125E-2</c:v>
                </c:pt>
                <c:pt idx="265">
                  <c:v>3.515625E-2</c:v>
                </c:pt>
                <c:pt idx="266">
                  <c:v>3.90625E-2</c:v>
                </c:pt>
                <c:pt idx="267">
                  <c:v>4.296875E-2</c:v>
                </c:pt>
                <c:pt idx="268">
                  <c:v>4.6875E-2</c:v>
                </c:pt>
                <c:pt idx="269">
                  <c:v>5.078125E-2</c:v>
                </c:pt>
                <c:pt idx="270">
                  <c:v>5.46875E-2</c:v>
                </c:pt>
                <c:pt idx="271">
                  <c:v>5.859375E-2</c:v>
                </c:pt>
                <c:pt idx="272">
                  <c:v>6.25E-2</c:v>
                </c:pt>
                <c:pt idx="273">
                  <c:v>6.640625E-2</c:v>
                </c:pt>
                <c:pt idx="274">
                  <c:v>7.03125E-2</c:v>
                </c:pt>
                <c:pt idx="275">
                  <c:v>7.421875E-2</c:v>
                </c:pt>
                <c:pt idx="276">
                  <c:v>7.8125E-2</c:v>
                </c:pt>
                <c:pt idx="277">
                  <c:v>8.203125E-2</c:v>
                </c:pt>
                <c:pt idx="278">
                  <c:v>8.59375E-2</c:v>
                </c:pt>
                <c:pt idx="279">
                  <c:v>8.984375E-2</c:v>
                </c:pt>
                <c:pt idx="280">
                  <c:v>9.375E-2</c:v>
                </c:pt>
                <c:pt idx="281">
                  <c:v>9.765625E-2</c:v>
                </c:pt>
                <c:pt idx="282">
                  <c:v>0.1015625</c:v>
                </c:pt>
                <c:pt idx="283">
                  <c:v>0.10546875</c:v>
                </c:pt>
                <c:pt idx="284">
                  <c:v>0.109375</c:v>
                </c:pt>
                <c:pt idx="285">
                  <c:v>0.11328125</c:v>
                </c:pt>
                <c:pt idx="286">
                  <c:v>0.1171875</c:v>
                </c:pt>
                <c:pt idx="287">
                  <c:v>0.12109375</c:v>
                </c:pt>
                <c:pt idx="288">
                  <c:v>0.125</c:v>
                </c:pt>
                <c:pt idx="289">
                  <c:v>0.12890625</c:v>
                </c:pt>
                <c:pt idx="290">
                  <c:v>0.1328125</c:v>
                </c:pt>
                <c:pt idx="291">
                  <c:v>0.13671875</c:v>
                </c:pt>
                <c:pt idx="292">
                  <c:v>0.140625</c:v>
                </c:pt>
                <c:pt idx="293">
                  <c:v>0.14453125</c:v>
                </c:pt>
                <c:pt idx="294">
                  <c:v>0.1484375</c:v>
                </c:pt>
                <c:pt idx="295">
                  <c:v>0.15234375</c:v>
                </c:pt>
                <c:pt idx="296">
                  <c:v>0.15625</c:v>
                </c:pt>
                <c:pt idx="297">
                  <c:v>0.16015625</c:v>
                </c:pt>
                <c:pt idx="298">
                  <c:v>0.1640625</c:v>
                </c:pt>
                <c:pt idx="299">
                  <c:v>0.16796875</c:v>
                </c:pt>
                <c:pt idx="300">
                  <c:v>0.171875</c:v>
                </c:pt>
                <c:pt idx="301">
                  <c:v>0.17578125</c:v>
                </c:pt>
                <c:pt idx="302">
                  <c:v>0.1796875</c:v>
                </c:pt>
                <c:pt idx="303">
                  <c:v>0.18359375</c:v>
                </c:pt>
                <c:pt idx="304">
                  <c:v>0.1875</c:v>
                </c:pt>
                <c:pt idx="305">
                  <c:v>0.19140625</c:v>
                </c:pt>
                <c:pt idx="306">
                  <c:v>0.1953125</c:v>
                </c:pt>
                <c:pt idx="307">
                  <c:v>0.19921875</c:v>
                </c:pt>
                <c:pt idx="308">
                  <c:v>0.203125</c:v>
                </c:pt>
                <c:pt idx="309">
                  <c:v>0.20703125</c:v>
                </c:pt>
                <c:pt idx="310">
                  <c:v>0.2109375</c:v>
                </c:pt>
                <c:pt idx="311">
                  <c:v>0.21484375</c:v>
                </c:pt>
                <c:pt idx="312">
                  <c:v>0.21875</c:v>
                </c:pt>
                <c:pt idx="313">
                  <c:v>0.22265625</c:v>
                </c:pt>
                <c:pt idx="314">
                  <c:v>0.2265625</c:v>
                </c:pt>
                <c:pt idx="315">
                  <c:v>0.23046875</c:v>
                </c:pt>
                <c:pt idx="316">
                  <c:v>0.234375</c:v>
                </c:pt>
                <c:pt idx="317">
                  <c:v>0.23828125</c:v>
                </c:pt>
                <c:pt idx="318">
                  <c:v>0.2421875</c:v>
                </c:pt>
                <c:pt idx="319">
                  <c:v>0.24609375</c:v>
                </c:pt>
                <c:pt idx="320">
                  <c:v>0.25</c:v>
                </c:pt>
                <c:pt idx="321">
                  <c:v>0.25390625</c:v>
                </c:pt>
                <c:pt idx="322">
                  <c:v>0.2578125</c:v>
                </c:pt>
                <c:pt idx="323">
                  <c:v>0.26171875</c:v>
                </c:pt>
                <c:pt idx="324">
                  <c:v>0.265625</c:v>
                </c:pt>
                <c:pt idx="325">
                  <c:v>0.26953125</c:v>
                </c:pt>
                <c:pt idx="326">
                  <c:v>0.2734375</c:v>
                </c:pt>
                <c:pt idx="327">
                  <c:v>0.27734375</c:v>
                </c:pt>
                <c:pt idx="328">
                  <c:v>0.28125</c:v>
                </c:pt>
                <c:pt idx="329">
                  <c:v>0.28515625</c:v>
                </c:pt>
                <c:pt idx="330">
                  <c:v>0.2890625</c:v>
                </c:pt>
                <c:pt idx="331">
                  <c:v>0.29296875</c:v>
                </c:pt>
                <c:pt idx="332">
                  <c:v>0.296875</c:v>
                </c:pt>
                <c:pt idx="333">
                  <c:v>0.30078125</c:v>
                </c:pt>
                <c:pt idx="334">
                  <c:v>0.3046875</c:v>
                </c:pt>
                <c:pt idx="335">
                  <c:v>0.30859375</c:v>
                </c:pt>
                <c:pt idx="336">
                  <c:v>0.3125</c:v>
                </c:pt>
                <c:pt idx="337">
                  <c:v>0.31640625</c:v>
                </c:pt>
                <c:pt idx="338">
                  <c:v>0.3203125</c:v>
                </c:pt>
                <c:pt idx="339">
                  <c:v>0.32421875</c:v>
                </c:pt>
                <c:pt idx="340">
                  <c:v>0.328125</c:v>
                </c:pt>
                <c:pt idx="341">
                  <c:v>0.33203125</c:v>
                </c:pt>
                <c:pt idx="342">
                  <c:v>0.3359375</c:v>
                </c:pt>
                <c:pt idx="343">
                  <c:v>0.33984375</c:v>
                </c:pt>
                <c:pt idx="344">
                  <c:v>0.34375</c:v>
                </c:pt>
                <c:pt idx="345">
                  <c:v>0.34765625</c:v>
                </c:pt>
                <c:pt idx="346">
                  <c:v>0.3515625</c:v>
                </c:pt>
                <c:pt idx="347">
                  <c:v>0.35546875</c:v>
                </c:pt>
                <c:pt idx="348">
                  <c:v>0.359375</c:v>
                </c:pt>
                <c:pt idx="349">
                  <c:v>0.36328125</c:v>
                </c:pt>
                <c:pt idx="350">
                  <c:v>0.3671875</c:v>
                </c:pt>
                <c:pt idx="351">
                  <c:v>0.37109375</c:v>
                </c:pt>
                <c:pt idx="352">
                  <c:v>0.375</c:v>
                </c:pt>
                <c:pt idx="353">
                  <c:v>0.37890625</c:v>
                </c:pt>
                <c:pt idx="354">
                  <c:v>0.3828125</c:v>
                </c:pt>
                <c:pt idx="355">
                  <c:v>0.38671875</c:v>
                </c:pt>
                <c:pt idx="356">
                  <c:v>0.390625</c:v>
                </c:pt>
                <c:pt idx="357">
                  <c:v>0.39453125</c:v>
                </c:pt>
                <c:pt idx="358">
                  <c:v>0.3984375</c:v>
                </c:pt>
                <c:pt idx="359">
                  <c:v>0.40234375</c:v>
                </c:pt>
                <c:pt idx="360">
                  <c:v>0.40625</c:v>
                </c:pt>
                <c:pt idx="361">
                  <c:v>0.41015625</c:v>
                </c:pt>
                <c:pt idx="362">
                  <c:v>0.4140625</c:v>
                </c:pt>
                <c:pt idx="363">
                  <c:v>0.41796875</c:v>
                </c:pt>
                <c:pt idx="364">
                  <c:v>0.421875</c:v>
                </c:pt>
                <c:pt idx="365">
                  <c:v>0.42578125</c:v>
                </c:pt>
                <c:pt idx="366">
                  <c:v>0.4296875</c:v>
                </c:pt>
                <c:pt idx="367">
                  <c:v>0.43359375</c:v>
                </c:pt>
                <c:pt idx="368">
                  <c:v>0.4375</c:v>
                </c:pt>
                <c:pt idx="369">
                  <c:v>0.44140625</c:v>
                </c:pt>
                <c:pt idx="370">
                  <c:v>0.4453125</c:v>
                </c:pt>
                <c:pt idx="371">
                  <c:v>0.44921875</c:v>
                </c:pt>
                <c:pt idx="372">
                  <c:v>0.453125</c:v>
                </c:pt>
                <c:pt idx="373">
                  <c:v>0.45703125</c:v>
                </c:pt>
                <c:pt idx="374">
                  <c:v>0.4609375</c:v>
                </c:pt>
                <c:pt idx="375">
                  <c:v>0.46484375</c:v>
                </c:pt>
                <c:pt idx="376">
                  <c:v>0.46875</c:v>
                </c:pt>
                <c:pt idx="377">
                  <c:v>0.47265625</c:v>
                </c:pt>
                <c:pt idx="378">
                  <c:v>0.4765625</c:v>
                </c:pt>
                <c:pt idx="379">
                  <c:v>0.48046875</c:v>
                </c:pt>
                <c:pt idx="380">
                  <c:v>0.484375</c:v>
                </c:pt>
                <c:pt idx="381">
                  <c:v>0.48828125</c:v>
                </c:pt>
                <c:pt idx="382">
                  <c:v>0.4921875</c:v>
                </c:pt>
                <c:pt idx="383">
                  <c:v>0.49609375</c:v>
                </c:pt>
                <c:pt idx="384">
                  <c:v>0.5</c:v>
                </c:pt>
                <c:pt idx="385">
                  <c:v>0.50390625</c:v>
                </c:pt>
                <c:pt idx="386">
                  <c:v>0.5078125</c:v>
                </c:pt>
                <c:pt idx="387">
                  <c:v>0.51171875</c:v>
                </c:pt>
                <c:pt idx="388">
                  <c:v>0.515625</c:v>
                </c:pt>
                <c:pt idx="389">
                  <c:v>0.51953125</c:v>
                </c:pt>
                <c:pt idx="390">
                  <c:v>0.5234375</c:v>
                </c:pt>
                <c:pt idx="391">
                  <c:v>0.52734375</c:v>
                </c:pt>
                <c:pt idx="392">
                  <c:v>0.53125</c:v>
                </c:pt>
                <c:pt idx="393">
                  <c:v>0.53515625</c:v>
                </c:pt>
                <c:pt idx="394">
                  <c:v>0.5390625</c:v>
                </c:pt>
                <c:pt idx="395">
                  <c:v>0.54296875</c:v>
                </c:pt>
                <c:pt idx="396">
                  <c:v>0.546875</c:v>
                </c:pt>
                <c:pt idx="397">
                  <c:v>0.55078125</c:v>
                </c:pt>
                <c:pt idx="398">
                  <c:v>0.5546875</c:v>
                </c:pt>
                <c:pt idx="399">
                  <c:v>0.55859375</c:v>
                </c:pt>
                <c:pt idx="400">
                  <c:v>0.5625</c:v>
                </c:pt>
                <c:pt idx="401">
                  <c:v>0.56640625</c:v>
                </c:pt>
                <c:pt idx="402">
                  <c:v>0.5703125</c:v>
                </c:pt>
                <c:pt idx="403">
                  <c:v>0.57421875</c:v>
                </c:pt>
                <c:pt idx="404">
                  <c:v>0.578125</c:v>
                </c:pt>
                <c:pt idx="405">
                  <c:v>0.58203125</c:v>
                </c:pt>
                <c:pt idx="406">
                  <c:v>0.5859375</c:v>
                </c:pt>
                <c:pt idx="407">
                  <c:v>0.58984375</c:v>
                </c:pt>
                <c:pt idx="408">
                  <c:v>0.59375</c:v>
                </c:pt>
                <c:pt idx="409">
                  <c:v>0.59765625</c:v>
                </c:pt>
                <c:pt idx="410">
                  <c:v>0.6015625</c:v>
                </c:pt>
                <c:pt idx="411">
                  <c:v>0.60546875</c:v>
                </c:pt>
                <c:pt idx="412">
                  <c:v>0.609375</c:v>
                </c:pt>
                <c:pt idx="413">
                  <c:v>0.61328125</c:v>
                </c:pt>
                <c:pt idx="414">
                  <c:v>0.6171875</c:v>
                </c:pt>
                <c:pt idx="415">
                  <c:v>0.62109375</c:v>
                </c:pt>
                <c:pt idx="416">
                  <c:v>0.625</c:v>
                </c:pt>
                <c:pt idx="417">
                  <c:v>0.62890625</c:v>
                </c:pt>
                <c:pt idx="418">
                  <c:v>0.6328125</c:v>
                </c:pt>
                <c:pt idx="419">
                  <c:v>0.63671875</c:v>
                </c:pt>
                <c:pt idx="420">
                  <c:v>0.640625</c:v>
                </c:pt>
                <c:pt idx="421">
                  <c:v>0.64453125</c:v>
                </c:pt>
                <c:pt idx="422">
                  <c:v>0.6484375</c:v>
                </c:pt>
                <c:pt idx="423">
                  <c:v>0.65234375</c:v>
                </c:pt>
                <c:pt idx="424">
                  <c:v>0.65625</c:v>
                </c:pt>
                <c:pt idx="425">
                  <c:v>0.66015625</c:v>
                </c:pt>
                <c:pt idx="426">
                  <c:v>0.6640625</c:v>
                </c:pt>
                <c:pt idx="427">
                  <c:v>0.66796875</c:v>
                </c:pt>
                <c:pt idx="428">
                  <c:v>0.671875</c:v>
                </c:pt>
                <c:pt idx="429">
                  <c:v>0.67578125</c:v>
                </c:pt>
                <c:pt idx="430">
                  <c:v>0.6796875</c:v>
                </c:pt>
                <c:pt idx="431">
                  <c:v>0.68359375</c:v>
                </c:pt>
                <c:pt idx="432">
                  <c:v>0.6875</c:v>
                </c:pt>
                <c:pt idx="433">
                  <c:v>0.69140625</c:v>
                </c:pt>
                <c:pt idx="434">
                  <c:v>0.6953125</c:v>
                </c:pt>
                <c:pt idx="435">
                  <c:v>0.69921875</c:v>
                </c:pt>
                <c:pt idx="436">
                  <c:v>0.703125</c:v>
                </c:pt>
                <c:pt idx="437">
                  <c:v>0.70703125</c:v>
                </c:pt>
                <c:pt idx="438">
                  <c:v>0.7109375</c:v>
                </c:pt>
                <c:pt idx="439">
                  <c:v>0.71484375</c:v>
                </c:pt>
                <c:pt idx="440">
                  <c:v>0.71875</c:v>
                </c:pt>
                <c:pt idx="441">
                  <c:v>0.72265625</c:v>
                </c:pt>
                <c:pt idx="442">
                  <c:v>0.7265625</c:v>
                </c:pt>
                <c:pt idx="443">
                  <c:v>0.73046875</c:v>
                </c:pt>
                <c:pt idx="444">
                  <c:v>0.734375</c:v>
                </c:pt>
                <c:pt idx="445">
                  <c:v>0.73828125</c:v>
                </c:pt>
                <c:pt idx="446">
                  <c:v>0.7421875</c:v>
                </c:pt>
                <c:pt idx="447">
                  <c:v>0.74609375</c:v>
                </c:pt>
                <c:pt idx="448">
                  <c:v>0.75</c:v>
                </c:pt>
                <c:pt idx="449">
                  <c:v>0.75390625</c:v>
                </c:pt>
                <c:pt idx="450">
                  <c:v>0.7578125</c:v>
                </c:pt>
                <c:pt idx="451">
                  <c:v>0.76171875</c:v>
                </c:pt>
                <c:pt idx="452">
                  <c:v>0.765625</c:v>
                </c:pt>
                <c:pt idx="453">
                  <c:v>0.76953125</c:v>
                </c:pt>
                <c:pt idx="454">
                  <c:v>0.7734375</c:v>
                </c:pt>
                <c:pt idx="455">
                  <c:v>0.77734375</c:v>
                </c:pt>
                <c:pt idx="456">
                  <c:v>0.78125</c:v>
                </c:pt>
                <c:pt idx="457">
                  <c:v>0.78515625</c:v>
                </c:pt>
                <c:pt idx="458">
                  <c:v>0.7890625</c:v>
                </c:pt>
                <c:pt idx="459">
                  <c:v>0.79296875</c:v>
                </c:pt>
                <c:pt idx="460">
                  <c:v>0.796875</c:v>
                </c:pt>
                <c:pt idx="461">
                  <c:v>0.80078125</c:v>
                </c:pt>
                <c:pt idx="462">
                  <c:v>0.8046875</c:v>
                </c:pt>
                <c:pt idx="463">
                  <c:v>0.80859375</c:v>
                </c:pt>
                <c:pt idx="464">
                  <c:v>0.8125</c:v>
                </c:pt>
                <c:pt idx="465">
                  <c:v>0.81640625</c:v>
                </c:pt>
                <c:pt idx="466">
                  <c:v>0.8203125</c:v>
                </c:pt>
                <c:pt idx="467">
                  <c:v>0.82421875</c:v>
                </c:pt>
                <c:pt idx="468">
                  <c:v>0.828125</c:v>
                </c:pt>
                <c:pt idx="469">
                  <c:v>0.83203125</c:v>
                </c:pt>
                <c:pt idx="470">
                  <c:v>0.8359375</c:v>
                </c:pt>
                <c:pt idx="471">
                  <c:v>0.83984375</c:v>
                </c:pt>
                <c:pt idx="472">
                  <c:v>0.84375</c:v>
                </c:pt>
                <c:pt idx="473">
                  <c:v>0.84765625</c:v>
                </c:pt>
                <c:pt idx="474">
                  <c:v>0.8515625</c:v>
                </c:pt>
                <c:pt idx="475">
                  <c:v>0.85546875</c:v>
                </c:pt>
                <c:pt idx="476">
                  <c:v>0.859375</c:v>
                </c:pt>
                <c:pt idx="477">
                  <c:v>0.86328125</c:v>
                </c:pt>
                <c:pt idx="478">
                  <c:v>0.8671875</c:v>
                </c:pt>
                <c:pt idx="479">
                  <c:v>0.87109375</c:v>
                </c:pt>
                <c:pt idx="480">
                  <c:v>0.875</c:v>
                </c:pt>
                <c:pt idx="481">
                  <c:v>0.87890625</c:v>
                </c:pt>
                <c:pt idx="482">
                  <c:v>0.8828125</c:v>
                </c:pt>
                <c:pt idx="483">
                  <c:v>0.88671875</c:v>
                </c:pt>
                <c:pt idx="484">
                  <c:v>0.890625</c:v>
                </c:pt>
                <c:pt idx="485">
                  <c:v>0.89453125</c:v>
                </c:pt>
                <c:pt idx="486">
                  <c:v>0.8984375</c:v>
                </c:pt>
                <c:pt idx="487">
                  <c:v>0.90234375</c:v>
                </c:pt>
                <c:pt idx="488">
                  <c:v>0.90625</c:v>
                </c:pt>
                <c:pt idx="489">
                  <c:v>0.91015625</c:v>
                </c:pt>
                <c:pt idx="490">
                  <c:v>0.9140625</c:v>
                </c:pt>
                <c:pt idx="491">
                  <c:v>0.91796875</c:v>
                </c:pt>
                <c:pt idx="492">
                  <c:v>0.921875</c:v>
                </c:pt>
                <c:pt idx="493">
                  <c:v>0.92578125</c:v>
                </c:pt>
                <c:pt idx="494">
                  <c:v>0.9296875</c:v>
                </c:pt>
                <c:pt idx="495">
                  <c:v>0.93359375</c:v>
                </c:pt>
                <c:pt idx="496">
                  <c:v>0.9375</c:v>
                </c:pt>
                <c:pt idx="497">
                  <c:v>0.94140625</c:v>
                </c:pt>
                <c:pt idx="498">
                  <c:v>0.9453125</c:v>
                </c:pt>
                <c:pt idx="499">
                  <c:v>0.94921875</c:v>
                </c:pt>
                <c:pt idx="500">
                  <c:v>0.953125</c:v>
                </c:pt>
                <c:pt idx="501">
                  <c:v>0.95703125</c:v>
                </c:pt>
                <c:pt idx="502">
                  <c:v>0.9609375</c:v>
                </c:pt>
                <c:pt idx="503">
                  <c:v>0.96484375</c:v>
                </c:pt>
                <c:pt idx="504">
                  <c:v>0.96875</c:v>
                </c:pt>
                <c:pt idx="505">
                  <c:v>0.97265625</c:v>
                </c:pt>
                <c:pt idx="506">
                  <c:v>0.9765625</c:v>
                </c:pt>
                <c:pt idx="507">
                  <c:v>0.98046875</c:v>
                </c:pt>
                <c:pt idx="508">
                  <c:v>0.984375</c:v>
                </c:pt>
                <c:pt idx="509">
                  <c:v>0.98828125</c:v>
                </c:pt>
                <c:pt idx="510">
                  <c:v>0.9921875</c:v>
                </c:pt>
                <c:pt idx="511">
                  <c:v>0.99609375</c:v>
                </c:pt>
                <c:pt idx="512">
                  <c:v>1</c:v>
                </c:pt>
              </c:numCache>
            </c:numRef>
          </c:xVal>
          <c:yVal>
            <c:numRef>
              <c:f>OscClipping!$F$4:$F$516</c:f>
              <c:numCache>
                <c:formatCode>General</c:formatCode>
                <c:ptCount val="513"/>
                <c:pt idx="0">
                  <c:v>-1</c:v>
                </c:pt>
                <c:pt idx="1">
                  <c:v>-0.99997714161872864</c:v>
                </c:pt>
                <c:pt idx="2">
                  <c:v>-0.9999086856842041</c:v>
                </c:pt>
                <c:pt idx="3">
                  <c:v>-0.99979481101036072</c:v>
                </c:pt>
                <c:pt idx="4">
                  <c:v>-0.99963569641113281</c:v>
                </c:pt>
                <c:pt idx="5">
                  <c:v>-0.99943152070045471</c:v>
                </c:pt>
                <c:pt idx="6">
                  <c:v>-0.99918246269226074</c:v>
                </c:pt>
                <c:pt idx="7">
                  <c:v>-0.99888870120048523</c:v>
                </c:pt>
                <c:pt idx="8">
                  <c:v>-0.9985504150390625</c:v>
                </c:pt>
                <c:pt idx="9">
                  <c:v>-0.99816778302192688</c:v>
                </c:pt>
                <c:pt idx="10">
                  <c:v>-0.9977409839630127</c:v>
                </c:pt>
                <c:pt idx="11">
                  <c:v>-0.99727019667625427</c:v>
                </c:pt>
                <c:pt idx="12">
                  <c:v>-0.99675559997558594</c:v>
                </c:pt>
                <c:pt idx="13">
                  <c:v>-0.99619737267494202</c:v>
                </c:pt>
                <c:pt idx="14">
                  <c:v>-0.99559569358825684</c:v>
                </c:pt>
                <c:pt idx="15">
                  <c:v>-0.99495074152946472</c:v>
                </c:pt>
                <c:pt idx="16">
                  <c:v>-0.9942626953125</c:v>
                </c:pt>
                <c:pt idx="17">
                  <c:v>-0.993531733751297</c:v>
                </c:pt>
                <c:pt idx="18">
                  <c:v>-0.99275803565979004</c:v>
                </c:pt>
                <c:pt idx="19">
                  <c:v>-0.99194177985191345</c:v>
                </c:pt>
                <c:pt idx="20">
                  <c:v>-0.99108314514160156</c:v>
                </c:pt>
                <c:pt idx="21">
                  <c:v>-0.9901823103427887</c:v>
                </c:pt>
                <c:pt idx="22">
                  <c:v>-0.98923945426940918</c:v>
                </c:pt>
                <c:pt idx="23">
                  <c:v>-0.98825475573539734</c:v>
                </c:pt>
                <c:pt idx="24">
                  <c:v>-0.9872283935546875</c:v>
                </c:pt>
                <c:pt idx="25">
                  <c:v>-0.98616054654121399</c:v>
                </c:pt>
                <c:pt idx="26">
                  <c:v>-0.98505139350891113</c:v>
                </c:pt>
                <c:pt idx="27">
                  <c:v>-0.98390111327171326</c:v>
                </c:pt>
                <c:pt idx="28">
                  <c:v>-0.98270988464355469</c:v>
                </c:pt>
                <c:pt idx="29">
                  <c:v>-0.98147788643836975</c:v>
                </c:pt>
                <c:pt idx="30">
                  <c:v>-0.98020529747009277</c:v>
                </c:pt>
                <c:pt idx="31">
                  <c:v>-0.97889229655265808</c:v>
                </c:pt>
                <c:pt idx="32">
                  <c:v>-0.9775390625</c:v>
                </c:pt>
                <c:pt idx="33">
                  <c:v>-0.97614577412605286</c:v>
                </c:pt>
                <c:pt idx="34">
                  <c:v>-0.97471261024475098</c:v>
                </c:pt>
                <c:pt idx="35">
                  <c:v>-0.97323974967002869</c:v>
                </c:pt>
                <c:pt idx="36">
                  <c:v>-0.97172737121582031</c:v>
                </c:pt>
                <c:pt idx="37">
                  <c:v>-0.97017565369606018</c:v>
                </c:pt>
                <c:pt idx="38">
                  <c:v>-0.96858477592468262</c:v>
                </c:pt>
                <c:pt idx="39">
                  <c:v>-0.96695491671562195</c:v>
                </c:pt>
                <c:pt idx="40">
                  <c:v>-0.9652862548828125</c:v>
                </c:pt>
                <c:pt idx="41">
                  <c:v>-0.9635789692401886</c:v>
                </c:pt>
                <c:pt idx="42">
                  <c:v>-0.96183323860168457</c:v>
                </c:pt>
                <c:pt idx="43">
                  <c:v>-0.96004924178123474</c:v>
                </c:pt>
                <c:pt idx="44">
                  <c:v>-0.95822715759277344</c:v>
                </c:pt>
                <c:pt idx="45">
                  <c:v>-0.95636716485023499</c:v>
                </c:pt>
                <c:pt idx="46">
                  <c:v>-0.95446944236755371</c:v>
                </c:pt>
                <c:pt idx="47">
                  <c:v>-0.95253416895866394</c:v>
                </c:pt>
                <c:pt idx="48">
                  <c:v>-0.9505615234375</c:v>
                </c:pt>
                <c:pt idx="49">
                  <c:v>-0.94855168461799622</c:v>
                </c:pt>
                <c:pt idx="50">
                  <c:v>-0.94650483131408691</c:v>
                </c:pt>
                <c:pt idx="51">
                  <c:v>-0.94442114233970642</c:v>
                </c:pt>
                <c:pt idx="52">
                  <c:v>-0.94230079650878906</c:v>
                </c:pt>
                <c:pt idx="53">
                  <c:v>-0.94014397263526917</c:v>
                </c:pt>
                <c:pt idx="54">
                  <c:v>-0.93795084953308105</c:v>
                </c:pt>
                <c:pt idx="55">
                  <c:v>-0.93572160601615906</c:v>
                </c:pt>
                <c:pt idx="56">
                  <c:v>-0.9334564208984375</c:v>
                </c:pt>
                <c:pt idx="57">
                  <c:v>-0.93115547299385071</c:v>
                </c:pt>
                <c:pt idx="58">
                  <c:v>-0.92881894111633301</c:v>
                </c:pt>
                <c:pt idx="59">
                  <c:v>-0.92644700407981873</c:v>
                </c:pt>
                <c:pt idx="60">
                  <c:v>-0.92403984069824219</c:v>
                </c:pt>
                <c:pt idx="61">
                  <c:v>-0.92159762978553772</c:v>
                </c:pt>
                <c:pt idx="62">
                  <c:v>-0.91912055015563965</c:v>
                </c:pt>
                <c:pt idx="63">
                  <c:v>-0.9166087806224823</c:v>
                </c:pt>
                <c:pt idx="64">
                  <c:v>-0.9140625</c:v>
                </c:pt>
                <c:pt idx="65">
                  <c:v>-0.91148188710212708</c:v>
                </c:pt>
                <c:pt idx="66">
                  <c:v>-0.90886712074279785</c:v>
                </c:pt>
                <c:pt idx="67">
                  <c:v>-0.90621837973594666</c:v>
                </c:pt>
                <c:pt idx="68">
                  <c:v>-0.90353584289550781</c:v>
                </c:pt>
                <c:pt idx="69">
                  <c:v>-0.90081968903541565</c:v>
                </c:pt>
                <c:pt idx="70">
                  <c:v>-0.89807009696960449</c:v>
                </c:pt>
                <c:pt idx="71">
                  <c:v>-0.89528724551200867</c:v>
                </c:pt>
                <c:pt idx="72">
                  <c:v>-0.8924713134765625</c:v>
                </c:pt>
                <c:pt idx="73">
                  <c:v>-0.88962247967720032</c:v>
                </c:pt>
                <c:pt idx="74">
                  <c:v>-0.88674092292785645</c:v>
                </c:pt>
                <c:pt idx="75">
                  <c:v>-0.88382682204246521</c:v>
                </c:pt>
                <c:pt idx="76">
                  <c:v>-0.88088035583496094</c:v>
                </c:pt>
                <c:pt idx="77">
                  <c:v>-0.87790170311927795</c:v>
                </c:pt>
                <c:pt idx="78">
                  <c:v>-0.87489104270935059</c:v>
                </c:pt>
                <c:pt idx="79">
                  <c:v>-0.87184855341911316</c:v>
                </c:pt>
                <c:pt idx="80">
                  <c:v>-0.8687744140625</c:v>
                </c:pt>
                <c:pt idx="81">
                  <c:v>-0.86566880345344543</c:v>
                </c:pt>
                <c:pt idx="82">
                  <c:v>-0.86253190040588379</c:v>
                </c:pt>
                <c:pt idx="83">
                  <c:v>-0.85936388373374939</c:v>
                </c:pt>
                <c:pt idx="84">
                  <c:v>-0.85616493225097656</c:v>
                </c:pt>
                <c:pt idx="85">
                  <c:v>-0.85293522477149963</c:v>
                </c:pt>
                <c:pt idx="86">
                  <c:v>-0.84967494010925293</c:v>
                </c:pt>
                <c:pt idx="87">
                  <c:v>-0.84638425707817078</c:v>
                </c:pt>
                <c:pt idx="88">
                  <c:v>-0.8430633544921875</c:v>
                </c:pt>
                <c:pt idx="89">
                  <c:v>-0.83971241116523743</c:v>
                </c:pt>
                <c:pt idx="90">
                  <c:v>-0.83633160591125488</c:v>
                </c:pt>
                <c:pt idx="91">
                  <c:v>-0.83292111754417419</c:v>
                </c:pt>
                <c:pt idx="92">
                  <c:v>-0.82948112487792969</c:v>
                </c:pt>
                <c:pt idx="93">
                  <c:v>-0.82601180672645569</c:v>
                </c:pt>
                <c:pt idx="94">
                  <c:v>-0.82251334190368652</c:v>
                </c:pt>
                <c:pt idx="95">
                  <c:v>-0.81898590922355652</c:v>
                </c:pt>
                <c:pt idx="96">
                  <c:v>-0.8154296875</c:v>
                </c:pt>
                <c:pt idx="97">
                  <c:v>-0.81184485554695129</c:v>
                </c:pt>
                <c:pt idx="98">
                  <c:v>-0.80823159217834473</c:v>
                </c:pt>
                <c:pt idx="99">
                  <c:v>-0.80459007620811462</c:v>
                </c:pt>
                <c:pt idx="100">
                  <c:v>-0.80092048645019531</c:v>
                </c:pt>
                <c:pt idx="101">
                  <c:v>-0.79722300171852112</c:v>
                </c:pt>
                <c:pt idx="102">
                  <c:v>-0.79349780082702637</c:v>
                </c:pt>
                <c:pt idx="103">
                  <c:v>-0.78974506258964539</c:v>
                </c:pt>
                <c:pt idx="104">
                  <c:v>-0.7859649658203125</c:v>
                </c:pt>
                <c:pt idx="105">
                  <c:v>-0.78215768933296204</c:v>
                </c:pt>
                <c:pt idx="106">
                  <c:v>-0.77832341194152832</c:v>
                </c:pt>
                <c:pt idx="107">
                  <c:v>-0.77446231245994568</c:v>
                </c:pt>
                <c:pt idx="108">
                  <c:v>-0.77057456970214844</c:v>
                </c:pt>
                <c:pt idx="109">
                  <c:v>-0.76666036248207092</c:v>
                </c:pt>
                <c:pt idx="110">
                  <c:v>-0.76271986961364746</c:v>
                </c:pt>
                <c:pt idx="111">
                  <c:v>-0.75875326991081238</c:v>
                </c:pt>
                <c:pt idx="112">
                  <c:v>-0.7547607421875</c:v>
                </c:pt>
                <c:pt idx="113">
                  <c:v>-0.75074246525764465</c:v>
                </c:pt>
                <c:pt idx="114">
                  <c:v>-0.74669861793518066</c:v>
                </c:pt>
                <c:pt idx="115">
                  <c:v>-0.74262937903404236</c:v>
                </c:pt>
                <c:pt idx="116">
                  <c:v>-0.73853492736816406</c:v>
                </c:pt>
                <c:pt idx="117">
                  <c:v>-0.7344154417514801</c:v>
                </c:pt>
                <c:pt idx="118">
                  <c:v>-0.7302711009979248</c:v>
                </c:pt>
                <c:pt idx="119">
                  <c:v>-0.7261020839214325</c:v>
                </c:pt>
                <c:pt idx="120">
                  <c:v>-0.7219085693359375</c:v>
                </c:pt>
                <c:pt idx="121">
                  <c:v>-0.71769073605537415</c:v>
                </c:pt>
                <c:pt idx="122">
                  <c:v>-0.71344876289367676</c:v>
                </c:pt>
                <c:pt idx="123">
                  <c:v>-0.70918282866477966</c:v>
                </c:pt>
                <c:pt idx="124">
                  <c:v>-0.70489311218261719</c:v>
                </c:pt>
                <c:pt idx="125">
                  <c:v>-0.70057979226112366</c:v>
                </c:pt>
                <c:pt idx="126">
                  <c:v>-0.6962430477142334</c:v>
                </c:pt>
                <c:pt idx="127">
                  <c:v>-0.69188305735588074</c:v>
                </c:pt>
                <c:pt idx="128">
                  <c:v>-0.6875</c:v>
                </c:pt>
                <c:pt idx="129">
                  <c:v>-0.68309405446052551</c:v>
                </c:pt>
                <c:pt idx="130">
                  <c:v>-0.6786653995513916</c:v>
                </c:pt>
                <c:pt idx="131">
                  <c:v>-0.67421421408653259</c:v>
                </c:pt>
                <c:pt idx="132">
                  <c:v>-0.66974067687988281</c:v>
                </c:pt>
                <c:pt idx="133">
                  <c:v>-0.66524496674537659</c:v>
                </c:pt>
                <c:pt idx="134">
                  <c:v>-0.66072726249694824</c:v>
                </c:pt>
                <c:pt idx="135">
                  <c:v>-0.6561877429485321</c:v>
                </c:pt>
                <c:pt idx="136">
                  <c:v>-0.6516265869140625</c:v>
                </c:pt>
                <c:pt idx="137">
                  <c:v>-0.64704397320747375</c:v>
                </c:pt>
                <c:pt idx="138">
                  <c:v>-0.6424400806427002</c:v>
                </c:pt>
                <c:pt idx="139">
                  <c:v>-0.63781508803367615</c:v>
                </c:pt>
                <c:pt idx="140">
                  <c:v>-0.63316917419433594</c:v>
                </c:pt>
                <c:pt idx="141">
                  <c:v>-0.62850251793861389</c:v>
                </c:pt>
                <c:pt idx="142">
                  <c:v>-0.62381529808044434</c:v>
                </c:pt>
                <c:pt idx="143">
                  <c:v>-0.6191076934337616</c:v>
                </c:pt>
                <c:pt idx="144">
                  <c:v>-0.6143798828125</c:v>
                </c:pt>
                <c:pt idx="145">
                  <c:v>-0.60963204503059387</c:v>
                </c:pt>
                <c:pt idx="146">
                  <c:v>-0.60486435890197754</c:v>
                </c:pt>
                <c:pt idx="147">
                  <c:v>-0.60007700324058533</c:v>
                </c:pt>
                <c:pt idx="148">
                  <c:v>-0.59527015686035156</c:v>
                </c:pt>
                <c:pt idx="149">
                  <c:v>-0.59044399857521057</c:v>
                </c:pt>
                <c:pt idx="150">
                  <c:v>-0.58559870719909668</c:v>
                </c:pt>
                <c:pt idx="151">
                  <c:v>-0.58073446154594421</c:v>
                </c:pt>
                <c:pt idx="152">
                  <c:v>-0.5758514404296875</c:v>
                </c:pt>
                <c:pt idx="153">
                  <c:v>-0.57094982266426086</c:v>
                </c:pt>
                <c:pt idx="154">
                  <c:v>-0.56602978706359863</c:v>
                </c:pt>
                <c:pt idx="155">
                  <c:v>-0.56109151244163513</c:v>
                </c:pt>
                <c:pt idx="156">
                  <c:v>-0.55613517761230469</c:v>
                </c:pt>
                <c:pt idx="157">
                  <c:v>-0.55116096138954163</c:v>
                </c:pt>
                <c:pt idx="158">
                  <c:v>-0.54616904258728027</c:v>
                </c:pt>
                <c:pt idx="159">
                  <c:v>-0.54115960001945496</c:v>
                </c:pt>
                <c:pt idx="160">
                  <c:v>-0.5361328125</c:v>
                </c:pt>
                <c:pt idx="161">
                  <c:v>-0.53108885884284973</c:v>
                </c:pt>
                <c:pt idx="162">
                  <c:v>-0.52602791786193848</c:v>
                </c:pt>
                <c:pt idx="163">
                  <c:v>-0.52095016837120056</c:v>
                </c:pt>
                <c:pt idx="164">
                  <c:v>-0.51585578918457031</c:v>
                </c:pt>
                <c:pt idx="165">
                  <c:v>-0.51074495911598206</c:v>
                </c:pt>
                <c:pt idx="166">
                  <c:v>-0.50561785697937012</c:v>
                </c:pt>
                <c:pt idx="167">
                  <c:v>-0.50047466158866882</c:v>
                </c:pt>
                <c:pt idx="168">
                  <c:v>-0.4953155517578125</c:v>
                </c:pt>
                <c:pt idx="169">
                  <c:v>-0.49014070630073547</c:v>
                </c:pt>
                <c:pt idx="170">
                  <c:v>-0.48495030403137207</c:v>
                </c:pt>
                <c:pt idx="171">
                  <c:v>-0.47974452376365662</c:v>
                </c:pt>
                <c:pt idx="172">
                  <c:v>-0.47452354431152344</c:v>
                </c:pt>
                <c:pt idx="173">
                  <c:v>-0.46928754448890686</c:v>
                </c:pt>
                <c:pt idx="174">
                  <c:v>-0.46403670310974121</c:v>
                </c:pt>
                <c:pt idx="175">
                  <c:v>-0.45877119898796082</c:v>
                </c:pt>
                <c:pt idx="176">
                  <c:v>-0.4534912109375</c:v>
                </c:pt>
                <c:pt idx="177">
                  <c:v>-0.44819691777229309</c:v>
                </c:pt>
                <c:pt idx="178">
                  <c:v>-0.44288849830627441</c:v>
                </c:pt>
                <c:pt idx="179">
                  <c:v>-0.4375661313533783</c:v>
                </c:pt>
                <c:pt idx="180">
                  <c:v>-0.43222999572753906</c:v>
                </c:pt>
                <c:pt idx="181">
                  <c:v>-0.42688027024269104</c:v>
                </c:pt>
                <c:pt idx="182">
                  <c:v>-0.42151713371276855</c:v>
                </c:pt>
                <c:pt idx="183">
                  <c:v>-0.41614076495170593</c:v>
                </c:pt>
                <c:pt idx="184">
                  <c:v>-0.4107513427734375</c:v>
                </c:pt>
                <c:pt idx="185">
                  <c:v>-0.40534904599189758</c:v>
                </c:pt>
                <c:pt idx="186">
                  <c:v>-0.39993405342102051</c:v>
                </c:pt>
                <c:pt idx="187">
                  <c:v>-0.3945065438747406</c:v>
                </c:pt>
                <c:pt idx="188">
                  <c:v>-0.38906669616699219</c:v>
                </c:pt>
                <c:pt idx="189">
                  <c:v>-0.38361468911170959</c:v>
                </c:pt>
                <c:pt idx="190">
                  <c:v>-0.37815070152282715</c:v>
                </c:pt>
                <c:pt idx="191">
                  <c:v>-0.37267491221427917</c:v>
                </c:pt>
                <c:pt idx="192">
                  <c:v>-0.3671875</c:v>
                </c:pt>
                <c:pt idx="193">
                  <c:v>-0.36168864369392395</c:v>
                </c:pt>
                <c:pt idx="194">
                  <c:v>-0.35617852210998535</c:v>
                </c:pt>
                <c:pt idx="195">
                  <c:v>-0.35065731406211853</c:v>
                </c:pt>
                <c:pt idx="196">
                  <c:v>-0.34512519836425781</c:v>
                </c:pt>
                <c:pt idx="197">
                  <c:v>-0.33958235383033752</c:v>
                </c:pt>
                <c:pt idx="198">
                  <c:v>-0.33402895927429199</c:v>
                </c:pt>
                <c:pt idx="199">
                  <c:v>-0.32846519351005554</c:v>
                </c:pt>
                <c:pt idx="200">
                  <c:v>-0.3228912353515625</c:v>
                </c:pt>
                <c:pt idx="201">
                  <c:v>-0.31730726361274719</c:v>
                </c:pt>
                <c:pt idx="202">
                  <c:v>-0.31171345710754395</c:v>
                </c:pt>
                <c:pt idx="203">
                  <c:v>-0.30610999464988708</c:v>
                </c:pt>
                <c:pt idx="204">
                  <c:v>-0.30049705505371094</c:v>
                </c:pt>
                <c:pt idx="205">
                  <c:v>-0.29487481713294983</c:v>
                </c:pt>
                <c:pt idx="206">
                  <c:v>-0.28924345970153809</c:v>
                </c:pt>
                <c:pt idx="207">
                  <c:v>-0.28360316157341003</c:v>
                </c:pt>
                <c:pt idx="208">
                  <c:v>-0.2779541015625</c:v>
                </c:pt>
                <c:pt idx="209">
                  <c:v>-0.27229645848274231</c:v>
                </c:pt>
                <c:pt idx="210">
                  <c:v>-0.26663041114807129</c:v>
                </c:pt>
                <c:pt idx="211">
                  <c:v>-0.26095613837242126</c:v>
                </c:pt>
                <c:pt idx="212">
                  <c:v>-0.25527381896972656</c:v>
                </c:pt>
                <c:pt idx="213">
                  <c:v>-0.24958363175392151</c:v>
                </c:pt>
                <c:pt idx="214">
                  <c:v>-0.24388575553894043</c:v>
                </c:pt>
                <c:pt idx="215">
                  <c:v>-0.23818036913871765</c:v>
                </c:pt>
                <c:pt idx="216">
                  <c:v>-0.2324676513671875</c:v>
                </c:pt>
                <c:pt idx="217">
                  <c:v>-0.2267477810382843</c:v>
                </c:pt>
                <c:pt idx="218">
                  <c:v>-0.22102093696594238</c:v>
                </c:pt>
                <c:pt idx="219">
                  <c:v>-0.21528729796409607</c:v>
                </c:pt>
                <c:pt idx="220">
                  <c:v>-0.20954704284667969</c:v>
                </c:pt>
                <c:pt idx="221">
                  <c:v>-0.20380035042762756</c:v>
                </c:pt>
                <c:pt idx="222">
                  <c:v>-0.19804739952087402</c:v>
                </c:pt>
                <c:pt idx="223">
                  <c:v>-0.19228836894035339</c:v>
                </c:pt>
                <c:pt idx="224">
                  <c:v>-0.1865234375</c:v>
                </c:pt>
                <c:pt idx="225">
                  <c:v>-0.18075278401374817</c:v>
                </c:pt>
                <c:pt idx="226">
                  <c:v>-0.17497658729553223</c:v>
                </c:pt>
                <c:pt idx="227">
                  <c:v>-0.1691950261592865</c:v>
                </c:pt>
                <c:pt idx="228">
                  <c:v>-0.16340827941894531</c:v>
                </c:pt>
                <c:pt idx="229">
                  <c:v>-0.15761652588844299</c:v>
                </c:pt>
                <c:pt idx="230">
                  <c:v>-0.15181994438171387</c:v>
                </c:pt>
                <c:pt idx="231">
                  <c:v>-0.14601871371269226</c:v>
                </c:pt>
                <c:pt idx="232">
                  <c:v>-0.1402130126953125</c:v>
                </c:pt>
                <c:pt idx="233">
                  <c:v>-0.13440302014350891</c:v>
                </c:pt>
                <c:pt idx="234">
                  <c:v>-0.12858891487121582</c:v>
                </c:pt>
                <c:pt idx="235">
                  <c:v>-0.12277087569236755</c:v>
                </c:pt>
                <c:pt idx="236">
                  <c:v>-0.11694908142089844</c:v>
                </c:pt>
                <c:pt idx="237">
                  <c:v>-0.1111237108707428</c:v>
                </c:pt>
                <c:pt idx="238">
                  <c:v>-0.10529494285583496</c:v>
                </c:pt>
                <c:pt idx="239">
                  <c:v>-9.9462956190109253E-2</c:v>
                </c:pt>
                <c:pt idx="240">
                  <c:v>-9.36279296875E-2</c:v>
                </c:pt>
                <c:pt idx="241">
                  <c:v>-8.7790042161941528E-2</c:v>
                </c:pt>
                <c:pt idx="242">
                  <c:v>-8.1949472427368164E-2</c:v>
                </c:pt>
                <c:pt idx="243">
                  <c:v>-7.6106399297714233E-2</c:v>
                </c:pt>
                <c:pt idx="244">
                  <c:v>-7.0261001586914063E-2</c:v>
                </c:pt>
                <c:pt idx="245">
                  <c:v>-6.4413458108901978E-2</c:v>
                </c:pt>
                <c:pt idx="246">
                  <c:v>-5.8563947677612305E-2</c:v>
                </c:pt>
                <c:pt idx="247">
                  <c:v>-5.271264910697937E-2</c:v>
                </c:pt>
                <c:pt idx="248">
                  <c:v>-4.68597412109375E-2</c:v>
                </c:pt>
                <c:pt idx="249">
                  <c:v>-4.1005402803421021E-2</c:v>
                </c:pt>
                <c:pt idx="250">
                  <c:v>-3.5149812698364258E-2</c:v>
                </c:pt>
                <c:pt idx="251">
                  <c:v>-2.9293149709701538E-2</c:v>
                </c:pt>
                <c:pt idx="252">
                  <c:v>-2.3435592651367188E-2</c:v>
                </c:pt>
                <c:pt idx="253">
                  <c:v>-1.7577320337295532E-2</c:v>
                </c:pt>
                <c:pt idx="254">
                  <c:v>-1.1718511581420898E-2</c:v>
                </c:pt>
                <c:pt idx="255">
                  <c:v>-5.8593451976776123E-3</c:v>
                </c:pt>
                <c:pt idx="256">
                  <c:v>0</c:v>
                </c:pt>
                <c:pt idx="257">
                  <c:v>5.8593451976776123E-3</c:v>
                </c:pt>
                <c:pt idx="258">
                  <c:v>1.1718511581420898E-2</c:v>
                </c:pt>
                <c:pt idx="259">
                  <c:v>1.7577320337295532E-2</c:v>
                </c:pt>
                <c:pt idx="260">
                  <c:v>2.3435592651367188E-2</c:v>
                </c:pt>
                <c:pt idx="261">
                  <c:v>2.9293149709701538E-2</c:v>
                </c:pt>
                <c:pt idx="262">
                  <c:v>3.5149812698364258E-2</c:v>
                </c:pt>
                <c:pt idx="263">
                  <c:v>4.1005402803421021E-2</c:v>
                </c:pt>
                <c:pt idx="264">
                  <c:v>4.68597412109375E-2</c:v>
                </c:pt>
                <c:pt idx="265">
                  <c:v>5.271264910697937E-2</c:v>
                </c:pt>
                <c:pt idx="266">
                  <c:v>5.8563947677612305E-2</c:v>
                </c:pt>
                <c:pt idx="267">
                  <c:v>6.4413458108901978E-2</c:v>
                </c:pt>
                <c:pt idx="268">
                  <c:v>7.0261001586914063E-2</c:v>
                </c:pt>
                <c:pt idx="269">
                  <c:v>7.6106399297714233E-2</c:v>
                </c:pt>
                <c:pt idx="270">
                  <c:v>8.1949472427368164E-2</c:v>
                </c:pt>
                <c:pt idx="271">
                  <c:v>8.7790042161941528E-2</c:v>
                </c:pt>
                <c:pt idx="272">
                  <c:v>9.36279296875E-2</c:v>
                </c:pt>
                <c:pt idx="273">
                  <c:v>9.9462956190109253E-2</c:v>
                </c:pt>
                <c:pt idx="274">
                  <c:v>0.10529494285583496</c:v>
                </c:pt>
                <c:pt idx="275">
                  <c:v>0.1111237108707428</c:v>
                </c:pt>
                <c:pt idx="276">
                  <c:v>0.11694908142089844</c:v>
                </c:pt>
                <c:pt idx="277">
                  <c:v>0.12277087569236755</c:v>
                </c:pt>
                <c:pt idx="278">
                  <c:v>0.12858891487121582</c:v>
                </c:pt>
                <c:pt idx="279">
                  <c:v>0.13440302014350891</c:v>
                </c:pt>
                <c:pt idx="280">
                  <c:v>0.1402130126953125</c:v>
                </c:pt>
                <c:pt idx="281">
                  <c:v>0.14601871371269226</c:v>
                </c:pt>
                <c:pt idx="282">
                  <c:v>0.15181994438171387</c:v>
                </c:pt>
                <c:pt idx="283">
                  <c:v>0.15761652588844299</c:v>
                </c:pt>
                <c:pt idx="284">
                  <c:v>0.16340827941894531</c:v>
                </c:pt>
                <c:pt idx="285">
                  <c:v>0.1691950261592865</c:v>
                </c:pt>
                <c:pt idx="286">
                  <c:v>0.17497658729553223</c:v>
                </c:pt>
                <c:pt idx="287">
                  <c:v>0.18075278401374817</c:v>
                </c:pt>
                <c:pt idx="288">
                  <c:v>0.1865234375</c:v>
                </c:pt>
                <c:pt idx="289">
                  <c:v>0.19228836894035339</c:v>
                </c:pt>
                <c:pt idx="290">
                  <c:v>0.19804739952087402</c:v>
                </c:pt>
                <c:pt idx="291">
                  <c:v>0.20380035042762756</c:v>
                </c:pt>
                <c:pt idx="292">
                  <c:v>0.20954704284667969</c:v>
                </c:pt>
                <c:pt idx="293">
                  <c:v>0.21528729796409607</c:v>
                </c:pt>
                <c:pt idx="294">
                  <c:v>0.22102093696594238</c:v>
                </c:pt>
                <c:pt idx="295">
                  <c:v>0.2267477810382843</c:v>
                </c:pt>
                <c:pt idx="296">
                  <c:v>0.2324676513671875</c:v>
                </c:pt>
                <c:pt idx="297">
                  <c:v>0.23818036913871765</c:v>
                </c:pt>
                <c:pt idx="298">
                  <c:v>0.24388575553894043</c:v>
                </c:pt>
                <c:pt idx="299">
                  <c:v>0.24958363175392151</c:v>
                </c:pt>
                <c:pt idx="300">
                  <c:v>0.25527381896972656</c:v>
                </c:pt>
                <c:pt idx="301">
                  <c:v>0.26095613837242126</c:v>
                </c:pt>
                <c:pt idx="302">
                  <c:v>0.26663041114807129</c:v>
                </c:pt>
                <c:pt idx="303">
                  <c:v>0.27229645848274231</c:v>
                </c:pt>
                <c:pt idx="304">
                  <c:v>0.2779541015625</c:v>
                </c:pt>
                <c:pt idx="305">
                  <c:v>0.28360316157341003</c:v>
                </c:pt>
                <c:pt idx="306">
                  <c:v>0.28924345970153809</c:v>
                </c:pt>
                <c:pt idx="307">
                  <c:v>0.29487481713294983</c:v>
                </c:pt>
                <c:pt idx="308">
                  <c:v>0.30049705505371094</c:v>
                </c:pt>
                <c:pt idx="309">
                  <c:v>0.30610999464988708</c:v>
                </c:pt>
                <c:pt idx="310">
                  <c:v>0.31171345710754395</c:v>
                </c:pt>
                <c:pt idx="311">
                  <c:v>0.31730726361274719</c:v>
                </c:pt>
                <c:pt idx="312">
                  <c:v>0.3228912353515625</c:v>
                </c:pt>
                <c:pt idx="313">
                  <c:v>0.32846519351005554</c:v>
                </c:pt>
                <c:pt idx="314">
                  <c:v>0.33402895927429199</c:v>
                </c:pt>
                <c:pt idx="315">
                  <c:v>0.33958235383033752</c:v>
                </c:pt>
                <c:pt idx="316">
                  <c:v>0.34512519836425781</c:v>
                </c:pt>
                <c:pt idx="317">
                  <c:v>0.35065731406211853</c:v>
                </c:pt>
                <c:pt idx="318">
                  <c:v>0.35617852210998535</c:v>
                </c:pt>
                <c:pt idx="319">
                  <c:v>0.36168864369392395</c:v>
                </c:pt>
                <c:pt idx="320">
                  <c:v>0.3671875</c:v>
                </c:pt>
                <c:pt idx="321">
                  <c:v>0.37267491221427917</c:v>
                </c:pt>
                <c:pt idx="322">
                  <c:v>0.37815070152282715</c:v>
                </c:pt>
                <c:pt idx="323">
                  <c:v>0.38361468911170959</c:v>
                </c:pt>
                <c:pt idx="324">
                  <c:v>0.38906669616699219</c:v>
                </c:pt>
                <c:pt idx="325">
                  <c:v>0.3945065438747406</c:v>
                </c:pt>
                <c:pt idx="326">
                  <c:v>0.39993405342102051</c:v>
                </c:pt>
                <c:pt idx="327">
                  <c:v>0.40534904599189758</c:v>
                </c:pt>
                <c:pt idx="328">
                  <c:v>0.4107513427734375</c:v>
                </c:pt>
                <c:pt idx="329">
                  <c:v>0.41614076495170593</c:v>
                </c:pt>
                <c:pt idx="330">
                  <c:v>0.42151713371276855</c:v>
                </c:pt>
                <c:pt idx="331">
                  <c:v>0.42688027024269104</c:v>
                </c:pt>
                <c:pt idx="332">
                  <c:v>0.43222999572753906</c:v>
                </c:pt>
                <c:pt idx="333">
                  <c:v>0.4375661313533783</c:v>
                </c:pt>
                <c:pt idx="334">
                  <c:v>0.44288849830627441</c:v>
                </c:pt>
                <c:pt idx="335">
                  <c:v>0.44819691777229309</c:v>
                </c:pt>
                <c:pt idx="336">
                  <c:v>0.4534912109375</c:v>
                </c:pt>
                <c:pt idx="337">
                  <c:v>0.45877119898796082</c:v>
                </c:pt>
                <c:pt idx="338">
                  <c:v>0.46403670310974121</c:v>
                </c:pt>
                <c:pt idx="339">
                  <c:v>0.46928754448890686</c:v>
                </c:pt>
                <c:pt idx="340">
                  <c:v>0.47452354431152344</c:v>
                </c:pt>
                <c:pt idx="341">
                  <c:v>0.47974452376365662</c:v>
                </c:pt>
                <c:pt idx="342">
                  <c:v>0.48495030403137207</c:v>
                </c:pt>
                <c:pt idx="343">
                  <c:v>0.49014070630073547</c:v>
                </c:pt>
                <c:pt idx="344">
                  <c:v>0.4953155517578125</c:v>
                </c:pt>
                <c:pt idx="345">
                  <c:v>0.50047466158866882</c:v>
                </c:pt>
                <c:pt idx="346">
                  <c:v>0.50561785697937012</c:v>
                </c:pt>
                <c:pt idx="347">
                  <c:v>0.51074495911598206</c:v>
                </c:pt>
                <c:pt idx="348">
                  <c:v>0.51585578918457031</c:v>
                </c:pt>
                <c:pt idx="349">
                  <c:v>0.52095016837120056</c:v>
                </c:pt>
                <c:pt idx="350">
                  <c:v>0.52602791786193848</c:v>
                </c:pt>
                <c:pt idx="351">
                  <c:v>0.53108885884284973</c:v>
                </c:pt>
                <c:pt idx="352">
                  <c:v>0.5361328125</c:v>
                </c:pt>
                <c:pt idx="353">
                  <c:v>0.54115960001945496</c:v>
                </c:pt>
                <c:pt idx="354">
                  <c:v>0.54616904258728027</c:v>
                </c:pt>
                <c:pt idx="355">
                  <c:v>0.55116096138954163</c:v>
                </c:pt>
                <c:pt idx="356">
                  <c:v>0.55613517761230469</c:v>
                </c:pt>
                <c:pt idx="357">
                  <c:v>0.56109151244163513</c:v>
                </c:pt>
                <c:pt idx="358">
                  <c:v>0.56602978706359863</c:v>
                </c:pt>
                <c:pt idx="359">
                  <c:v>0.57094982266426086</c:v>
                </c:pt>
                <c:pt idx="360">
                  <c:v>0.5758514404296875</c:v>
                </c:pt>
                <c:pt idx="361">
                  <c:v>0.58073446154594421</c:v>
                </c:pt>
                <c:pt idx="362">
                  <c:v>0.58559870719909668</c:v>
                </c:pt>
                <c:pt idx="363">
                  <c:v>0.59044399857521057</c:v>
                </c:pt>
                <c:pt idx="364">
                  <c:v>0.59527015686035156</c:v>
                </c:pt>
                <c:pt idx="365">
                  <c:v>0.60007700324058533</c:v>
                </c:pt>
                <c:pt idx="366">
                  <c:v>0.60486435890197754</c:v>
                </c:pt>
                <c:pt idx="367">
                  <c:v>0.60963204503059387</c:v>
                </c:pt>
                <c:pt idx="368">
                  <c:v>0.6143798828125</c:v>
                </c:pt>
                <c:pt idx="369">
                  <c:v>0.6191076934337616</c:v>
                </c:pt>
                <c:pt idx="370">
                  <c:v>0.62381529808044434</c:v>
                </c:pt>
                <c:pt idx="371">
                  <c:v>0.62850251793861389</c:v>
                </c:pt>
                <c:pt idx="372">
                  <c:v>0.63316917419433594</c:v>
                </c:pt>
                <c:pt idx="373">
                  <c:v>0.63781508803367615</c:v>
                </c:pt>
                <c:pt idx="374">
                  <c:v>0.6424400806427002</c:v>
                </c:pt>
                <c:pt idx="375">
                  <c:v>0.64704397320747375</c:v>
                </c:pt>
                <c:pt idx="376">
                  <c:v>0.6516265869140625</c:v>
                </c:pt>
                <c:pt idx="377">
                  <c:v>0.6561877429485321</c:v>
                </c:pt>
                <c:pt idx="378">
                  <c:v>0.66072726249694824</c:v>
                </c:pt>
                <c:pt idx="379">
                  <c:v>0.66524496674537659</c:v>
                </c:pt>
                <c:pt idx="380">
                  <c:v>0.66974067687988281</c:v>
                </c:pt>
                <c:pt idx="381">
                  <c:v>0.67421421408653259</c:v>
                </c:pt>
                <c:pt idx="382">
                  <c:v>0.6786653995513916</c:v>
                </c:pt>
                <c:pt idx="383">
                  <c:v>0.68309405446052551</c:v>
                </c:pt>
                <c:pt idx="384">
                  <c:v>0.6875</c:v>
                </c:pt>
                <c:pt idx="385">
                  <c:v>0.69188305735588074</c:v>
                </c:pt>
                <c:pt idx="386">
                  <c:v>0.6962430477142334</c:v>
                </c:pt>
                <c:pt idx="387">
                  <c:v>0.70057979226112366</c:v>
                </c:pt>
                <c:pt idx="388">
                  <c:v>0.70489311218261719</c:v>
                </c:pt>
                <c:pt idx="389">
                  <c:v>0.70918282866477966</c:v>
                </c:pt>
                <c:pt idx="390">
                  <c:v>0.71344876289367676</c:v>
                </c:pt>
                <c:pt idx="391">
                  <c:v>0.71769073605537415</c:v>
                </c:pt>
                <c:pt idx="392">
                  <c:v>0.7219085693359375</c:v>
                </c:pt>
                <c:pt idx="393">
                  <c:v>0.7261020839214325</c:v>
                </c:pt>
                <c:pt idx="394">
                  <c:v>0.7302711009979248</c:v>
                </c:pt>
                <c:pt idx="395">
                  <c:v>0.7344154417514801</c:v>
                </c:pt>
                <c:pt idx="396">
                  <c:v>0.73853492736816406</c:v>
                </c:pt>
                <c:pt idx="397">
                  <c:v>0.74262937903404236</c:v>
                </c:pt>
                <c:pt idx="398">
                  <c:v>0.74669861793518066</c:v>
                </c:pt>
                <c:pt idx="399">
                  <c:v>0.75074246525764465</c:v>
                </c:pt>
                <c:pt idx="400">
                  <c:v>0.7547607421875</c:v>
                </c:pt>
                <c:pt idx="401">
                  <c:v>0.75875326991081238</c:v>
                </c:pt>
                <c:pt idx="402">
                  <c:v>0.76271986961364746</c:v>
                </c:pt>
                <c:pt idx="403">
                  <c:v>0.76666036248207092</c:v>
                </c:pt>
                <c:pt idx="404">
                  <c:v>0.77057456970214844</c:v>
                </c:pt>
                <c:pt idx="405">
                  <c:v>0.77446231245994568</c:v>
                </c:pt>
                <c:pt idx="406">
                  <c:v>0.77832341194152832</c:v>
                </c:pt>
                <c:pt idx="407">
                  <c:v>0.78215768933296204</c:v>
                </c:pt>
                <c:pt idx="408">
                  <c:v>0.7859649658203125</c:v>
                </c:pt>
                <c:pt idx="409">
                  <c:v>0.78974506258964539</c:v>
                </c:pt>
                <c:pt idx="410">
                  <c:v>0.79349780082702637</c:v>
                </c:pt>
                <c:pt idx="411">
                  <c:v>0.79722300171852112</c:v>
                </c:pt>
                <c:pt idx="412">
                  <c:v>0.80092048645019531</c:v>
                </c:pt>
                <c:pt idx="413">
                  <c:v>0.80459007620811462</c:v>
                </c:pt>
                <c:pt idx="414">
                  <c:v>0.80823159217834473</c:v>
                </c:pt>
                <c:pt idx="415">
                  <c:v>0.81184485554695129</c:v>
                </c:pt>
                <c:pt idx="416">
                  <c:v>0.8154296875</c:v>
                </c:pt>
                <c:pt idx="417">
                  <c:v>0.81898590922355652</c:v>
                </c:pt>
                <c:pt idx="418">
                  <c:v>0.82251334190368652</c:v>
                </c:pt>
                <c:pt idx="419">
                  <c:v>0.82601180672645569</c:v>
                </c:pt>
                <c:pt idx="420">
                  <c:v>0.82948112487792969</c:v>
                </c:pt>
                <c:pt idx="421">
                  <c:v>0.83292111754417419</c:v>
                </c:pt>
                <c:pt idx="422">
                  <c:v>0.83633160591125488</c:v>
                </c:pt>
                <c:pt idx="423">
                  <c:v>0.83971241116523743</c:v>
                </c:pt>
                <c:pt idx="424">
                  <c:v>0.8430633544921875</c:v>
                </c:pt>
                <c:pt idx="425">
                  <c:v>0.84638425707817078</c:v>
                </c:pt>
                <c:pt idx="426">
                  <c:v>0.84967494010925293</c:v>
                </c:pt>
                <c:pt idx="427">
                  <c:v>0.85293522477149963</c:v>
                </c:pt>
                <c:pt idx="428">
                  <c:v>0.85616493225097656</c:v>
                </c:pt>
                <c:pt idx="429">
                  <c:v>0.85936388373374939</c:v>
                </c:pt>
                <c:pt idx="430">
                  <c:v>0.86253190040588379</c:v>
                </c:pt>
                <c:pt idx="431">
                  <c:v>0.86566880345344543</c:v>
                </c:pt>
                <c:pt idx="432">
                  <c:v>0.8687744140625</c:v>
                </c:pt>
                <c:pt idx="433">
                  <c:v>0.87184855341911316</c:v>
                </c:pt>
                <c:pt idx="434">
                  <c:v>0.87489104270935059</c:v>
                </c:pt>
                <c:pt idx="435">
                  <c:v>0.87790170311927795</c:v>
                </c:pt>
                <c:pt idx="436">
                  <c:v>0.88088035583496094</c:v>
                </c:pt>
                <c:pt idx="437">
                  <c:v>0.88382682204246521</c:v>
                </c:pt>
                <c:pt idx="438">
                  <c:v>0.88674092292785645</c:v>
                </c:pt>
                <c:pt idx="439">
                  <c:v>0.88962247967720032</c:v>
                </c:pt>
                <c:pt idx="440">
                  <c:v>0.8924713134765625</c:v>
                </c:pt>
                <c:pt idx="441">
                  <c:v>0.89528724551200867</c:v>
                </c:pt>
                <c:pt idx="442">
                  <c:v>0.89807009696960449</c:v>
                </c:pt>
                <c:pt idx="443">
                  <c:v>0.90081968903541565</c:v>
                </c:pt>
                <c:pt idx="444">
                  <c:v>0.90353584289550781</c:v>
                </c:pt>
                <c:pt idx="445">
                  <c:v>0.90621837973594666</c:v>
                </c:pt>
                <c:pt idx="446">
                  <c:v>0.90886712074279785</c:v>
                </c:pt>
                <c:pt idx="447">
                  <c:v>0.91148188710212708</c:v>
                </c:pt>
                <c:pt idx="448">
                  <c:v>0.9140625</c:v>
                </c:pt>
                <c:pt idx="449">
                  <c:v>0.9166087806224823</c:v>
                </c:pt>
                <c:pt idx="450">
                  <c:v>0.91912055015563965</c:v>
                </c:pt>
                <c:pt idx="451">
                  <c:v>0.92159762978553772</c:v>
                </c:pt>
                <c:pt idx="452">
                  <c:v>0.92403984069824219</c:v>
                </c:pt>
                <c:pt idx="453">
                  <c:v>0.92644700407981873</c:v>
                </c:pt>
                <c:pt idx="454">
                  <c:v>0.92881894111633301</c:v>
                </c:pt>
                <c:pt idx="455">
                  <c:v>0.93115547299385071</c:v>
                </c:pt>
                <c:pt idx="456">
                  <c:v>0.9334564208984375</c:v>
                </c:pt>
                <c:pt idx="457">
                  <c:v>0.93572160601615906</c:v>
                </c:pt>
                <c:pt idx="458">
                  <c:v>0.93795084953308105</c:v>
                </c:pt>
                <c:pt idx="459">
                  <c:v>0.94014397263526917</c:v>
                </c:pt>
                <c:pt idx="460">
                  <c:v>0.94230079650878906</c:v>
                </c:pt>
                <c:pt idx="461">
                  <c:v>0.94442114233970642</c:v>
                </c:pt>
                <c:pt idx="462">
                  <c:v>0.94650483131408691</c:v>
                </c:pt>
                <c:pt idx="463">
                  <c:v>0.94855168461799622</c:v>
                </c:pt>
                <c:pt idx="464">
                  <c:v>0.9505615234375</c:v>
                </c:pt>
                <c:pt idx="465">
                  <c:v>0.95253416895866394</c:v>
                </c:pt>
                <c:pt idx="466">
                  <c:v>0.95446944236755371</c:v>
                </c:pt>
                <c:pt idx="467">
                  <c:v>0.95636716485023499</c:v>
                </c:pt>
                <c:pt idx="468">
                  <c:v>0.95822715759277344</c:v>
                </c:pt>
                <c:pt idx="469">
                  <c:v>0.96004924178123474</c:v>
                </c:pt>
                <c:pt idx="470">
                  <c:v>0.96183323860168457</c:v>
                </c:pt>
                <c:pt idx="471">
                  <c:v>0.9635789692401886</c:v>
                </c:pt>
                <c:pt idx="472">
                  <c:v>0.9652862548828125</c:v>
                </c:pt>
                <c:pt idx="473">
                  <c:v>0.96695491671562195</c:v>
                </c:pt>
                <c:pt idx="474">
                  <c:v>0.96858477592468262</c:v>
                </c:pt>
                <c:pt idx="475">
                  <c:v>0.97017565369606018</c:v>
                </c:pt>
                <c:pt idx="476">
                  <c:v>0.97172737121582031</c:v>
                </c:pt>
                <c:pt idx="477">
                  <c:v>0.97323974967002869</c:v>
                </c:pt>
                <c:pt idx="478">
                  <c:v>0.97471261024475098</c:v>
                </c:pt>
                <c:pt idx="479">
                  <c:v>0.97614577412605286</c:v>
                </c:pt>
                <c:pt idx="480">
                  <c:v>0.9775390625</c:v>
                </c:pt>
                <c:pt idx="481">
                  <c:v>0.97889229655265808</c:v>
                </c:pt>
                <c:pt idx="482">
                  <c:v>0.98020529747009277</c:v>
                </c:pt>
                <c:pt idx="483">
                  <c:v>0.98147788643836975</c:v>
                </c:pt>
                <c:pt idx="484">
                  <c:v>0.98270988464355469</c:v>
                </c:pt>
                <c:pt idx="485">
                  <c:v>0.98390111327171326</c:v>
                </c:pt>
                <c:pt idx="486">
                  <c:v>0.98505139350891113</c:v>
                </c:pt>
                <c:pt idx="487">
                  <c:v>0.98616054654121399</c:v>
                </c:pt>
                <c:pt idx="488">
                  <c:v>0.9872283935546875</c:v>
                </c:pt>
                <c:pt idx="489">
                  <c:v>0.98825475573539734</c:v>
                </c:pt>
                <c:pt idx="490">
                  <c:v>0.98923945426940918</c:v>
                </c:pt>
                <c:pt idx="491">
                  <c:v>0.9901823103427887</c:v>
                </c:pt>
                <c:pt idx="492">
                  <c:v>0.99108314514160156</c:v>
                </c:pt>
                <c:pt idx="493">
                  <c:v>0.99194177985191345</c:v>
                </c:pt>
                <c:pt idx="494">
                  <c:v>0.99275803565979004</c:v>
                </c:pt>
                <c:pt idx="495">
                  <c:v>0.993531733751297</c:v>
                </c:pt>
                <c:pt idx="496">
                  <c:v>0.9942626953125</c:v>
                </c:pt>
                <c:pt idx="497">
                  <c:v>0.99495074152946472</c:v>
                </c:pt>
                <c:pt idx="498">
                  <c:v>0.99559569358825684</c:v>
                </c:pt>
                <c:pt idx="499">
                  <c:v>0.99619737267494202</c:v>
                </c:pt>
                <c:pt idx="500">
                  <c:v>0.99675559997558594</c:v>
                </c:pt>
                <c:pt idx="501">
                  <c:v>0.99727019667625427</c:v>
                </c:pt>
                <c:pt idx="502">
                  <c:v>0.9977409839630127</c:v>
                </c:pt>
                <c:pt idx="503">
                  <c:v>0.99816778302192688</c:v>
                </c:pt>
                <c:pt idx="504">
                  <c:v>0.9985504150390625</c:v>
                </c:pt>
                <c:pt idx="505">
                  <c:v>0.99888870120048523</c:v>
                </c:pt>
                <c:pt idx="506">
                  <c:v>0.99918246269226074</c:v>
                </c:pt>
                <c:pt idx="507">
                  <c:v>0.99943152070045471</c:v>
                </c:pt>
                <c:pt idx="508">
                  <c:v>0.99963569641113281</c:v>
                </c:pt>
                <c:pt idx="509">
                  <c:v>0.99979481101036072</c:v>
                </c:pt>
                <c:pt idx="510">
                  <c:v>0.9999086856842041</c:v>
                </c:pt>
                <c:pt idx="511">
                  <c:v>0.99997714161872864</c:v>
                </c:pt>
                <c:pt idx="512">
                  <c:v>1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OscClipping!$G$3</c:f>
              <c:strCache>
                <c:ptCount val="1"/>
                <c:pt idx="0">
                  <c:v>sqr</c:v>
                </c:pt>
              </c:strCache>
            </c:strRef>
          </c:tx>
          <c:marker>
            <c:symbol val="none"/>
          </c:marker>
          <c:xVal>
            <c:numRef>
              <c:f>OscClipping!$A$4:$A$516</c:f>
              <c:numCache>
                <c:formatCode>General</c:formatCode>
                <c:ptCount val="513"/>
                <c:pt idx="0">
                  <c:v>-1</c:v>
                </c:pt>
                <c:pt idx="1">
                  <c:v>-0.99609375</c:v>
                </c:pt>
                <c:pt idx="2">
                  <c:v>-0.9921875</c:v>
                </c:pt>
                <c:pt idx="3">
                  <c:v>-0.98828125</c:v>
                </c:pt>
                <c:pt idx="4">
                  <c:v>-0.984375</c:v>
                </c:pt>
                <c:pt idx="5">
                  <c:v>-0.98046875</c:v>
                </c:pt>
                <c:pt idx="6">
                  <c:v>-0.9765625</c:v>
                </c:pt>
                <c:pt idx="7">
                  <c:v>-0.97265625</c:v>
                </c:pt>
                <c:pt idx="8">
                  <c:v>-0.96875</c:v>
                </c:pt>
                <c:pt idx="9">
                  <c:v>-0.96484375</c:v>
                </c:pt>
                <c:pt idx="10">
                  <c:v>-0.9609375</c:v>
                </c:pt>
                <c:pt idx="11">
                  <c:v>-0.95703125</c:v>
                </c:pt>
                <c:pt idx="12">
                  <c:v>-0.953125</c:v>
                </c:pt>
                <c:pt idx="13">
                  <c:v>-0.94921875</c:v>
                </c:pt>
                <c:pt idx="14">
                  <c:v>-0.9453125</c:v>
                </c:pt>
                <c:pt idx="15">
                  <c:v>-0.94140625</c:v>
                </c:pt>
                <c:pt idx="16">
                  <c:v>-0.9375</c:v>
                </c:pt>
                <c:pt idx="17">
                  <c:v>-0.93359375</c:v>
                </c:pt>
                <c:pt idx="18">
                  <c:v>-0.9296875</c:v>
                </c:pt>
                <c:pt idx="19">
                  <c:v>-0.92578125</c:v>
                </c:pt>
                <c:pt idx="20">
                  <c:v>-0.921875</c:v>
                </c:pt>
                <c:pt idx="21">
                  <c:v>-0.91796875</c:v>
                </c:pt>
                <c:pt idx="22">
                  <c:v>-0.9140625</c:v>
                </c:pt>
                <c:pt idx="23">
                  <c:v>-0.91015625</c:v>
                </c:pt>
                <c:pt idx="24">
                  <c:v>-0.90625</c:v>
                </c:pt>
                <c:pt idx="25">
                  <c:v>-0.90234375</c:v>
                </c:pt>
                <c:pt idx="26">
                  <c:v>-0.8984375</c:v>
                </c:pt>
                <c:pt idx="27">
                  <c:v>-0.89453125</c:v>
                </c:pt>
                <c:pt idx="28">
                  <c:v>-0.890625</c:v>
                </c:pt>
                <c:pt idx="29">
                  <c:v>-0.88671875</c:v>
                </c:pt>
                <c:pt idx="30">
                  <c:v>-0.8828125</c:v>
                </c:pt>
                <c:pt idx="31">
                  <c:v>-0.87890625</c:v>
                </c:pt>
                <c:pt idx="32">
                  <c:v>-0.875</c:v>
                </c:pt>
                <c:pt idx="33">
                  <c:v>-0.87109375</c:v>
                </c:pt>
                <c:pt idx="34">
                  <c:v>-0.8671875</c:v>
                </c:pt>
                <c:pt idx="35">
                  <c:v>-0.86328125</c:v>
                </c:pt>
                <c:pt idx="36">
                  <c:v>-0.859375</c:v>
                </c:pt>
                <c:pt idx="37">
                  <c:v>-0.85546875</c:v>
                </c:pt>
                <c:pt idx="38">
                  <c:v>-0.8515625</c:v>
                </c:pt>
                <c:pt idx="39">
                  <c:v>-0.84765625</c:v>
                </c:pt>
                <c:pt idx="40">
                  <c:v>-0.84375</c:v>
                </c:pt>
                <c:pt idx="41">
                  <c:v>-0.83984375</c:v>
                </c:pt>
                <c:pt idx="42">
                  <c:v>-0.8359375</c:v>
                </c:pt>
                <c:pt idx="43">
                  <c:v>-0.83203125</c:v>
                </c:pt>
                <c:pt idx="44">
                  <c:v>-0.828125</c:v>
                </c:pt>
                <c:pt idx="45">
                  <c:v>-0.82421875</c:v>
                </c:pt>
                <c:pt idx="46">
                  <c:v>-0.8203125</c:v>
                </c:pt>
                <c:pt idx="47">
                  <c:v>-0.81640625</c:v>
                </c:pt>
                <c:pt idx="48">
                  <c:v>-0.8125</c:v>
                </c:pt>
                <c:pt idx="49">
                  <c:v>-0.80859375</c:v>
                </c:pt>
                <c:pt idx="50">
                  <c:v>-0.8046875</c:v>
                </c:pt>
                <c:pt idx="51">
                  <c:v>-0.80078125</c:v>
                </c:pt>
                <c:pt idx="52">
                  <c:v>-0.796875</c:v>
                </c:pt>
                <c:pt idx="53">
                  <c:v>-0.79296875</c:v>
                </c:pt>
                <c:pt idx="54">
                  <c:v>-0.7890625</c:v>
                </c:pt>
                <c:pt idx="55">
                  <c:v>-0.78515625</c:v>
                </c:pt>
                <c:pt idx="56">
                  <c:v>-0.78125</c:v>
                </c:pt>
                <c:pt idx="57">
                  <c:v>-0.77734375</c:v>
                </c:pt>
                <c:pt idx="58">
                  <c:v>-0.7734375</c:v>
                </c:pt>
                <c:pt idx="59">
                  <c:v>-0.76953125</c:v>
                </c:pt>
                <c:pt idx="60">
                  <c:v>-0.765625</c:v>
                </c:pt>
                <c:pt idx="61">
                  <c:v>-0.76171875</c:v>
                </c:pt>
                <c:pt idx="62">
                  <c:v>-0.7578125</c:v>
                </c:pt>
                <c:pt idx="63">
                  <c:v>-0.75390625</c:v>
                </c:pt>
                <c:pt idx="64">
                  <c:v>-0.75</c:v>
                </c:pt>
                <c:pt idx="65">
                  <c:v>-0.74609375</c:v>
                </c:pt>
                <c:pt idx="66">
                  <c:v>-0.7421875</c:v>
                </c:pt>
                <c:pt idx="67">
                  <c:v>-0.73828125</c:v>
                </c:pt>
                <c:pt idx="68">
                  <c:v>-0.734375</c:v>
                </c:pt>
                <c:pt idx="69">
                  <c:v>-0.73046875</c:v>
                </c:pt>
                <c:pt idx="70">
                  <c:v>-0.7265625</c:v>
                </c:pt>
                <c:pt idx="71">
                  <c:v>-0.72265625</c:v>
                </c:pt>
                <c:pt idx="72">
                  <c:v>-0.71875</c:v>
                </c:pt>
                <c:pt idx="73">
                  <c:v>-0.71484375</c:v>
                </c:pt>
                <c:pt idx="74">
                  <c:v>-0.7109375</c:v>
                </c:pt>
                <c:pt idx="75">
                  <c:v>-0.70703125</c:v>
                </c:pt>
                <c:pt idx="76">
                  <c:v>-0.703125</c:v>
                </c:pt>
                <c:pt idx="77">
                  <c:v>-0.69921875</c:v>
                </c:pt>
                <c:pt idx="78">
                  <c:v>-0.6953125</c:v>
                </c:pt>
                <c:pt idx="79">
                  <c:v>-0.69140625</c:v>
                </c:pt>
                <c:pt idx="80">
                  <c:v>-0.6875</c:v>
                </c:pt>
                <c:pt idx="81">
                  <c:v>-0.68359375</c:v>
                </c:pt>
                <c:pt idx="82">
                  <c:v>-0.6796875</c:v>
                </c:pt>
                <c:pt idx="83">
                  <c:v>-0.67578125</c:v>
                </c:pt>
                <c:pt idx="84">
                  <c:v>-0.671875</c:v>
                </c:pt>
                <c:pt idx="85">
                  <c:v>-0.66796875</c:v>
                </c:pt>
                <c:pt idx="86">
                  <c:v>-0.6640625</c:v>
                </c:pt>
                <c:pt idx="87">
                  <c:v>-0.66015625</c:v>
                </c:pt>
                <c:pt idx="88">
                  <c:v>-0.65625</c:v>
                </c:pt>
                <c:pt idx="89">
                  <c:v>-0.65234375</c:v>
                </c:pt>
                <c:pt idx="90">
                  <c:v>-0.6484375</c:v>
                </c:pt>
                <c:pt idx="91">
                  <c:v>-0.64453125</c:v>
                </c:pt>
                <c:pt idx="92">
                  <c:v>-0.640625</c:v>
                </c:pt>
                <c:pt idx="93">
                  <c:v>-0.63671875</c:v>
                </c:pt>
                <c:pt idx="94">
                  <c:v>-0.6328125</c:v>
                </c:pt>
                <c:pt idx="95">
                  <c:v>-0.62890625</c:v>
                </c:pt>
                <c:pt idx="96">
                  <c:v>-0.625</c:v>
                </c:pt>
                <c:pt idx="97">
                  <c:v>-0.62109375</c:v>
                </c:pt>
                <c:pt idx="98">
                  <c:v>-0.6171875</c:v>
                </c:pt>
                <c:pt idx="99">
                  <c:v>-0.61328125</c:v>
                </c:pt>
                <c:pt idx="100">
                  <c:v>-0.609375</c:v>
                </c:pt>
                <c:pt idx="101">
                  <c:v>-0.60546875</c:v>
                </c:pt>
                <c:pt idx="102">
                  <c:v>-0.6015625</c:v>
                </c:pt>
                <c:pt idx="103">
                  <c:v>-0.59765625</c:v>
                </c:pt>
                <c:pt idx="104">
                  <c:v>-0.59375</c:v>
                </c:pt>
                <c:pt idx="105">
                  <c:v>-0.58984375</c:v>
                </c:pt>
                <c:pt idx="106">
                  <c:v>-0.5859375</c:v>
                </c:pt>
                <c:pt idx="107">
                  <c:v>-0.58203125</c:v>
                </c:pt>
                <c:pt idx="108">
                  <c:v>-0.578125</c:v>
                </c:pt>
                <c:pt idx="109">
                  <c:v>-0.57421875</c:v>
                </c:pt>
                <c:pt idx="110">
                  <c:v>-0.5703125</c:v>
                </c:pt>
                <c:pt idx="111">
                  <c:v>-0.56640625</c:v>
                </c:pt>
                <c:pt idx="112">
                  <c:v>-0.5625</c:v>
                </c:pt>
                <c:pt idx="113">
                  <c:v>-0.55859375</c:v>
                </c:pt>
                <c:pt idx="114">
                  <c:v>-0.5546875</c:v>
                </c:pt>
                <c:pt idx="115">
                  <c:v>-0.55078125</c:v>
                </c:pt>
                <c:pt idx="116">
                  <c:v>-0.546875</c:v>
                </c:pt>
                <c:pt idx="117">
                  <c:v>-0.54296875</c:v>
                </c:pt>
                <c:pt idx="118">
                  <c:v>-0.5390625</c:v>
                </c:pt>
                <c:pt idx="119">
                  <c:v>-0.53515625</c:v>
                </c:pt>
                <c:pt idx="120">
                  <c:v>-0.53125</c:v>
                </c:pt>
                <c:pt idx="121">
                  <c:v>-0.52734375</c:v>
                </c:pt>
                <c:pt idx="122">
                  <c:v>-0.5234375</c:v>
                </c:pt>
                <c:pt idx="123">
                  <c:v>-0.51953125</c:v>
                </c:pt>
                <c:pt idx="124">
                  <c:v>-0.515625</c:v>
                </c:pt>
                <c:pt idx="125">
                  <c:v>-0.51171875</c:v>
                </c:pt>
                <c:pt idx="126">
                  <c:v>-0.5078125</c:v>
                </c:pt>
                <c:pt idx="127">
                  <c:v>-0.50390625</c:v>
                </c:pt>
                <c:pt idx="128">
                  <c:v>-0.5</c:v>
                </c:pt>
                <c:pt idx="129">
                  <c:v>-0.49609375</c:v>
                </c:pt>
                <c:pt idx="130">
                  <c:v>-0.4921875</c:v>
                </c:pt>
                <c:pt idx="131">
                  <c:v>-0.48828125</c:v>
                </c:pt>
                <c:pt idx="132">
                  <c:v>-0.484375</c:v>
                </c:pt>
                <c:pt idx="133">
                  <c:v>-0.48046875</c:v>
                </c:pt>
                <c:pt idx="134">
                  <c:v>-0.4765625</c:v>
                </c:pt>
                <c:pt idx="135">
                  <c:v>-0.47265625</c:v>
                </c:pt>
                <c:pt idx="136">
                  <c:v>-0.46875</c:v>
                </c:pt>
                <c:pt idx="137">
                  <c:v>-0.46484375</c:v>
                </c:pt>
                <c:pt idx="138">
                  <c:v>-0.4609375</c:v>
                </c:pt>
                <c:pt idx="139">
                  <c:v>-0.45703125</c:v>
                </c:pt>
                <c:pt idx="140">
                  <c:v>-0.453125</c:v>
                </c:pt>
                <c:pt idx="141">
                  <c:v>-0.44921875</c:v>
                </c:pt>
                <c:pt idx="142">
                  <c:v>-0.4453125</c:v>
                </c:pt>
                <c:pt idx="143">
                  <c:v>-0.44140625</c:v>
                </c:pt>
                <c:pt idx="144">
                  <c:v>-0.4375</c:v>
                </c:pt>
                <c:pt idx="145">
                  <c:v>-0.43359375</c:v>
                </c:pt>
                <c:pt idx="146">
                  <c:v>-0.4296875</c:v>
                </c:pt>
                <c:pt idx="147">
                  <c:v>-0.42578125</c:v>
                </c:pt>
                <c:pt idx="148">
                  <c:v>-0.421875</c:v>
                </c:pt>
                <c:pt idx="149">
                  <c:v>-0.41796875</c:v>
                </c:pt>
                <c:pt idx="150">
                  <c:v>-0.4140625</c:v>
                </c:pt>
                <c:pt idx="151">
                  <c:v>-0.41015625</c:v>
                </c:pt>
                <c:pt idx="152">
                  <c:v>-0.40625</c:v>
                </c:pt>
                <c:pt idx="153">
                  <c:v>-0.40234375</c:v>
                </c:pt>
                <c:pt idx="154">
                  <c:v>-0.3984375</c:v>
                </c:pt>
                <c:pt idx="155">
                  <c:v>-0.39453125</c:v>
                </c:pt>
                <c:pt idx="156">
                  <c:v>-0.390625</c:v>
                </c:pt>
                <c:pt idx="157">
                  <c:v>-0.38671875</c:v>
                </c:pt>
                <c:pt idx="158">
                  <c:v>-0.3828125</c:v>
                </c:pt>
                <c:pt idx="159">
                  <c:v>-0.37890625</c:v>
                </c:pt>
                <c:pt idx="160">
                  <c:v>-0.375</c:v>
                </c:pt>
                <c:pt idx="161">
                  <c:v>-0.37109375</c:v>
                </c:pt>
                <c:pt idx="162">
                  <c:v>-0.3671875</c:v>
                </c:pt>
                <c:pt idx="163">
                  <c:v>-0.36328125</c:v>
                </c:pt>
                <c:pt idx="164">
                  <c:v>-0.359375</c:v>
                </c:pt>
                <c:pt idx="165">
                  <c:v>-0.35546875</c:v>
                </c:pt>
                <c:pt idx="166">
                  <c:v>-0.3515625</c:v>
                </c:pt>
                <c:pt idx="167">
                  <c:v>-0.34765625</c:v>
                </c:pt>
                <c:pt idx="168">
                  <c:v>-0.34375</c:v>
                </c:pt>
                <c:pt idx="169">
                  <c:v>-0.33984375</c:v>
                </c:pt>
                <c:pt idx="170">
                  <c:v>-0.3359375</c:v>
                </c:pt>
                <c:pt idx="171">
                  <c:v>-0.33203125</c:v>
                </c:pt>
                <c:pt idx="172">
                  <c:v>-0.328125</c:v>
                </c:pt>
                <c:pt idx="173">
                  <c:v>-0.32421875</c:v>
                </c:pt>
                <c:pt idx="174">
                  <c:v>-0.3203125</c:v>
                </c:pt>
                <c:pt idx="175">
                  <c:v>-0.31640625</c:v>
                </c:pt>
                <c:pt idx="176">
                  <c:v>-0.3125</c:v>
                </c:pt>
                <c:pt idx="177">
                  <c:v>-0.30859375</c:v>
                </c:pt>
                <c:pt idx="178">
                  <c:v>-0.3046875</c:v>
                </c:pt>
                <c:pt idx="179">
                  <c:v>-0.30078125</c:v>
                </c:pt>
                <c:pt idx="180">
                  <c:v>-0.296875</c:v>
                </c:pt>
                <c:pt idx="181">
                  <c:v>-0.29296875</c:v>
                </c:pt>
                <c:pt idx="182">
                  <c:v>-0.2890625</c:v>
                </c:pt>
                <c:pt idx="183">
                  <c:v>-0.28515625</c:v>
                </c:pt>
                <c:pt idx="184">
                  <c:v>-0.28125</c:v>
                </c:pt>
                <c:pt idx="185">
                  <c:v>-0.27734375</c:v>
                </c:pt>
                <c:pt idx="186">
                  <c:v>-0.2734375</c:v>
                </c:pt>
                <c:pt idx="187">
                  <c:v>-0.26953125</c:v>
                </c:pt>
                <c:pt idx="188">
                  <c:v>-0.265625</c:v>
                </c:pt>
                <c:pt idx="189">
                  <c:v>-0.26171875</c:v>
                </c:pt>
                <c:pt idx="190">
                  <c:v>-0.2578125</c:v>
                </c:pt>
                <c:pt idx="191">
                  <c:v>-0.25390625</c:v>
                </c:pt>
                <c:pt idx="192">
                  <c:v>-0.25</c:v>
                </c:pt>
                <c:pt idx="193">
                  <c:v>-0.24609375</c:v>
                </c:pt>
                <c:pt idx="194">
                  <c:v>-0.2421875</c:v>
                </c:pt>
                <c:pt idx="195">
                  <c:v>-0.23828125</c:v>
                </c:pt>
                <c:pt idx="196">
                  <c:v>-0.234375</c:v>
                </c:pt>
                <c:pt idx="197">
                  <c:v>-0.23046875</c:v>
                </c:pt>
                <c:pt idx="198">
                  <c:v>-0.2265625</c:v>
                </c:pt>
                <c:pt idx="199">
                  <c:v>-0.22265625</c:v>
                </c:pt>
                <c:pt idx="200">
                  <c:v>-0.21875</c:v>
                </c:pt>
                <c:pt idx="201">
                  <c:v>-0.21484375</c:v>
                </c:pt>
                <c:pt idx="202">
                  <c:v>-0.2109375</c:v>
                </c:pt>
                <c:pt idx="203">
                  <c:v>-0.20703125</c:v>
                </c:pt>
                <c:pt idx="204">
                  <c:v>-0.203125</c:v>
                </c:pt>
                <c:pt idx="205">
                  <c:v>-0.19921875</c:v>
                </c:pt>
                <c:pt idx="206">
                  <c:v>-0.1953125</c:v>
                </c:pt>
                <c:pt idx="207">
                  <c:v>-0.19140625</c:v>
                </c:pt>
                <c:pt idx="208">
                  <c:v>-0.1875</c:v>
                </c:pt>
                <c:pt idx="209">
                  <c:v>-0.18359375</c:v>
                </c:pt>
                <c:pt idx="210">
                  <c:v>-0.1796875</c:v>
                </c:pt>
                <c:pt idx="211">
                  <c:v>-0.17578125</c:v>
                </c:pt>
                <c:pt idx="212">
                  <c:v>-0.171875</c:v>
                </c:pt>
                <c:pt idx="213">
                  <c:v>-0.16796875</c:v>
                </c:pt>
                <c:pt idx="214">
                  <c:v>-0.1640625</c:v>
                </c:pt>
                <c:pt idx="215">
                  <c:v>-0.16015625</c:v>
                </c:pt>
                <c:pt idx="216">
                  <c:v>-0.15625</c:v>
                </c:pt>
                <c:pt idx="217">
                  <c:v>-0.15234375</c:v>
                </c:pt>
                <c:pt idx="218">
                  <c:v>-0.1484375</c:v>
                </c:pt>
                <c:pt idx="219">
                  <c:v>-0.14453125</c:v>
                </c:pt>
                <c:pt idx="220">
                  <c:v>-0.140625</c:v>
                </c:pt>
                <c:pt idx="221">
                  <c:v>-0.13671875</c:v>
                </c:pt>
                <c:pt idx="222">
                  <c:v>-0.1328125</c:v>
                </c:pt>
                <c:pt idx="223">
                  <c:v>-0.12890625</c:v>
                </c:pt>
                <c:pt idx="224">
                  <c:v>-0.125</c:v>
                </c:pt>
                <c:pt idx="225">
                  <c:v>-0.12109375</c:v>
                </c:pt>
                <c:pt idx="226">
                  <c:v>-0.1171875</c:v>
                </c:pt>
                <c:pt idx="227">
                  <c:v>-0.11328125</c:v>
                </c:pt>
                <c:pt idx="228">
                  <c:v>-0.109375</c:v>
                </c:pt>
                <c:pt idx="229">
                  <c:v>-0.10546875</c:v>
                </c:pt>
                <c:pt idx="230">
                  <c:v>-0.1015625</c:v>
                </c:pt>
                <c:pt idx="231">
                  <c:v>-9.765625E-2</c:v>
                </c:pt>
                <c:pt idx="232">
                  <c:v>-9.375E-2</c:v>
                </c:pt>
                <c:pt idx="233">
                  <c:v>-8.984375E-2</c:v>
                </c:pt>
                <c:pt idx="234">
                  <c:v>-8.59375E-2</c:v>
                </c:pt>
                <c:pt idx="235">
                  <c:v>-8.203125E-2</c:v>
                </c:pt>
                <c:pt idx="236">
                  <c:v>-7.8125E-2</c:v>
                </c:pt>
                <c:pt idx="237">
                  <c:v>-7.421875E-2</c:v>
                </c:pt>
                <c:pt idx="238">
                  <c:v>-7.03125E-2</c:v>
                </c:pt>
                <c:pt idx="239">
                  <c:v>-6.640625E-2</c:v>
                </c:pt>
                <c:pt idx="240">
                  <c:v>-6.25E-2</c:v>
                </c:pt>
                <c:pt idx="241">
                  <c:v>-5.859375E-2</c:v>
                </c:pt>
                <c:pt idx="242">
                  <c:v>-5.46875E-2</c:v>
                </c:pt>
                <c:pt idx="243">
                  <c:v>-5.078125E-2</c:v>
                </c:pt>
                <c:pt idx="244">
                  <c:v>-4.6875E-2</c:v>
                </c:pt>
                <c:pt idx="245">
                  <c:v>-4.296875E-2</c:v>
                </c:pt>
                <c:pt idx="246">
                  <c:v>-3.90625E-2</c:v>
                </c:pt>
                <c:pt idx="247">
                  <c:v>-3.515625E-2</c:v>
                </c:pt>
                <c:pt idx="248">
                  <c:v>-3.125E-2</c:v>
                </c:pt>
                <c:pt idx="249">
                  <c:v>-2.734375E-2</c:v>
                </c:pt>
                <c:pt idx="250">
                  <c:v>-2.34375E-2</c:v>
                </c:pt>
                <c:pt idx="251">
                  <c:v>-1.953125E-2</c:v>
                </c:pt>
                <c:pt idx="252">
                  <c:v>-1.5625E-2</c:v>
                </c:pt>
                <c:pt idx="253">
                  <c:v>-1.171875E-2</c:v>
                </c:pt>
                <c:pt idx="254">
                  <c:v>-7.8125E-3</c:v>
                </c:pt>
                <c:pt idx="255">
                  <c:v>-3.90625E-3</c:v>
                </c:pt>
                <c:pt idx="256">
                  <c:v>0</c:v>
                </c:pt>
                <c:pt idx="257">
                  <c:v>3.90625E-3</c:v>
                </c:pt>
                <c:pt idx="258">
                  <c:v>7.8125E-3</c:v>
                </c:pt>
                <c:pt idx="259">
                  <c:v>1.171875E-2</c:v>
                </c:pt>
                <c:pt idx="260">
                  <c:v>1.5625E-2</c:v>
                </c:pt>
                <c:pt idx="261">
                  <c:v>1.953125E-2</c:v>
                </c:pt>
                <c:pt idx="262">
                  <c:v>2.34375E-2</c:v>
                </c:pt>
                <c:pt idx="263">
                  <c:v>2.734375E-2</c:v>
                </c:pt>
                <c:pt idx="264">
                  <c:v>3.125E-2</c:v>
                </c:pt>
                <c:pt idx="265">
                  <c:v>3.515625E-2</c:v>
                </c:pt>
                <c:pt idx="266">
                  <c:v>3.90625E-2</c:v>
                </c:pt>
                <c:pt idx="267">
                  <c:v>4.296875E-2</c:v>
                </c:pt>
                <c:pt idx="268">
                  <c:v>4.6875E-2</c:v>
                </c:pt>
                <c:pt idx="269">
                  <c:v>5.078125E-2</c:v>
                </c:pt>
                <c:pt idx="270">
                  <c:v>5.46875E-2</c:v>
                </c:pt>
                <c:pt idx="271">
                  <c:v>5.859375E-2</c:v>
                </c:pt>
                <c:pt idx="272">
                  <c:v>6.25E-2</c:v>
                </c:pt>
                <c:pt idx="273">
                  <c:v>6.640625E-2</c:v>
                </c:pt>
                <c:pt idx="274">
                  <c:v>7.03125E-2</c:v>
                </c:pt>
                <c:pt idx="275">
                  <c:v>7.421875E-2</c:v>
                </c:pt>
                <c:pt idx="276">
                  <c:v>7.8125E-2</c:v>
                </c:pt>
                <c:pt idx="277">
                  <c:v>8.203125E-2</c:v>
                </c:pt>
                <c:pt idx="278">
                  <c:v>8.59375E-2</c:v>
                </c:pt>
                <c:pt idx="279">
                  <c:v>8.984375E-2</c:v>
                </c:pt>
                <c:pt idx="280">
                  <c:v>9.375E-2</c:v>
                </c:pt>
                <c:pt idx="281">
                  <c:v>9.765625E-2</c:v>
                </c:pt>
                <c:pt idx="282">
                  <c:v>0.1015625</c:v>
                </c:pt>
                <c:pt idx="283">
                  <c:v>0.10546875</c:v>
                </c:pt>
                <c:pt idx="284">
                  <c:v>0.109375</c:v>
                </c:pt>
                <c:pt idx="285">
                  <c:v>0.11328125</c:v>
                </c:pt>
                <c:pt idx="286">
                  <c:v>0.1171875</c:v>
                </c:pt>
                <c:pt idx="287">
                  <c:v>0.12109375</c:v>
                </c:pt>
                <c:pt idx="288">
                  <c:v>0.125</c:v>
                </c:pt>
                <c:pt idx="289">
                  <c:v>0.12890625</c:v>
                </c:pt>
                <c:pt idx="290">
                  <c:v>0.1328125</c:v>
                </c:pt>
                <c:pt idx="291">
                  <c:v>0.13671875</c:v>
                </c:pt>
                <c:pt idx="292">
                  <c:v>0.140625</c:v>
                </c:pt>
                <c:pt idx="293">
                  <c:v>0.14453125</c:v>
                </c:pt>
                <c:pt idx="294">
                  <c:v>0.1484375</c:v>
                </c:pt>
                <c:pt idx="295">
                  <c:v>0.15234375</c:v>
                </c:pt>
                <c:pt idx="296">
                  <c:v>0.15625</c:v>
                </c:pt>
                <c:pt idx="297">
                  <c:v>0.16015625</c:v>
                </c:pt>
                <c:pt idx="298">
                  <c:v>0.1640625</c:v>
                </c:pt>
                <c:pt idx="299">
                  <c:v>0.16796875</c:v>
                </c:pt>
                <c:pt idx="300">
                  <c:v>0.171875</c:v>
                </c:pt>
                <c:pt idx="301">
                  <c:v>0.17578125</c:v>
                </c:pt>
                <c:pt idx="302">
                  <c:v>0.1796875</c:v>
                </c:pt>
                <c:pt idx="303">
                  <c:v>0.18359375</c:v>
                </c:pt>
                <c:pt idx="304">
                  <c:v>0.1875</c:v>
                </c:pt>
                <c:pt idx="305">
                  <c:v>0.19140625</c:v>
                </c:pt>
                <c:pt idx="306">
                  <c:v>0.1953125</c:v>
                </c:pt>
                <c:pt idx="307">
                  <c:v>0.19921875</c:v>
                </c:pt>
                <c:pt idx="308">
                  <c:v>0.203125</c:v>
                </c:pt>
                <c:pt idx="309">
                  <c:v>0.20703125</c:v>
                </c:pt>
                <c:pt idx="310">
                  <c:v>0.2109375</c:v>
                </c:pt>
                <c:pt idx="311">
                  <c:v>0.21484375</c:v>
                </c:pt>
                <c:pt idx="312">
                  <c:v>0.21875</c:v>
                </c:pt>
                <c:pt idx="313">
                  <c:v>0.22265625</c:v>
                </c:pt>
                <c:pt idx="314">
                  <c:v>0.2265625</c:v>
                </c:pt>
                <c:pt idx="315">
                  <c:v>0.23046875</c:v>
                </c:pt>
                <c:pt idx="316">
                  <c:v>0.234375</c:v>
                </c:pt>
                <c:pt idx="317">
                  <c:v>0.23828125</c:v>
                </c:pt>
                <c:pt idx="318">
                  <c:v>0.2421875</c:v>
                </c:pt>
                <c:pt idx="319">
                  <c:v>0.24609375</c:v>
                </c:pt>
                <c:pt idx="320">
                  <c:v>0.25</c:v>
                </c:pt>
                <c:pt idx="321">
                  <c:v>0.25390625</c:v>
                </c:pt>
                <c:pt idx="322">
                  <c:v>0.2578125</c:v>
                </c:pt>
                <c:pt idx="323">
                  <c:v>0.26171875</c:v>
                </c:pt>
                <c:pt idx="324">
                  <c:v>0.265625</c:v>
                </c:pt>
                <c:pt idx="325">
                  <c:v>0.26953125</c:v>
                </c:pt>
                <c:pt idx="326">
                  <c:v>0.2734375</c:v>
                </c:pt>
                <c:pt idx="327">
                  <c:v>0.27734375</c:v>
                </c:pt>
                <c:pt idx="328">
                  <c:v>0.28125</c:v>
                </c:pt>
                <c:pt idx="329">
                  <c:v>0.28515625</c:v>
                </c:pt>
                <c:pt idx="330">
                  <c:v>0.2890625</c:v>
                </c:pt>
                <c:pt idx="331">
                  <c:v>0.29296875</c:v>
                </c:pt>
                <c:pt idx="332">
                  <c:v>0.296875</c:v>
                </c:pt>
                <c:pt idx="333">
                  <c:v>0.30078125</c:v>
                </c:pt>
                <c:pt idx="334">
                  <c:v>0.3046875</c:v>
                </c:pt>
                <c:pt idx="335">
                  <c:v>0.30859375</c:v>
                </c:pt>
                <c:pt idx="336">
                  <c:v>0.3125</c:v>
                </c:pt>
                <c:pt idx="337">
                  <c:v>0.31640625</c:v>
                </c:pt>
                <c:pt idx="338">
                  <c:v>0.3203125</c:v>
                </c:pt>
                <c:pt idx="339">
                  <c:v>0.32421875</c:v>
                </c:pt>
                <c:pt idx="340">
                  <c:v>0.328125</c:v>
                </c:pt>
                <c:pt idx="341">
                  <c:v>0.33203125</c:v>
                </c:pt>
                <c:pt idx="342">
                  <c:v>0.3359375</c:v>
                </c:pt>
                <c:pt idx="343">
                  <c:v>0.33984375</c:v>
                </c:pt>
                <c:pt idx="344">
                  <c:v>0.34375</c:v>
                </c:pt>
                <c:pt idx="345">
                  <c:v>0.34765625</c:v>
                </c:pt>
                <c:pt idx="346">
                  <c:v>0.3515625</c:v>
                </c:pt>
                <c:pt idx="347">
                  <c:v>0.35546875</c:v>
                </c:pt>
                <c:pt idx="348">
                  <c:v>0.359375</c:v>
                </c:pt>
                <c:pt idx="349">
                  <c:v>0.36328125</c:v>
                </c:pt>
                <c:pt idx="350">
                  <c:v>0.3671875</c:v>
                </c:pt>
                <c:pt idx="351">
                  <c:v>0.37109375</c:v>
                </c:pt>
                <c:pt idx="352">
                  <c:v>0.375</c:v>
                </c:pt>
                <c:pt idx="353">
                  <c:v>0.37890625</c:v>
                </c:pt>
                <c:pt idx="354">
                  <c:v>0.3828125</c:v>
                </c:pt>
                <c:pt idx="355">
                  <c:v>0.38671875</c:v>
                </c:pt>
                <c:pt idx="356">
                  <c:v>0.390625</c:v>
                </c:pt>
                <c:pt idx="357">
                  <c:v>0.39453125</c:v>
                </c:pt>
                <c:pt idx="358">
                  <c:v>0.3984375</c:v>
                </c:pt>
                <c:pt idx="359">
                  <c:v>0.40234375</c:v>
                </c:pt>
                <c:pt idx="360">
                  <c:v>0.40625</c:v>
                </c:pt>
                <c:pt idx="361">
                  <c:v>0.41015625</c:v>
                </c:pt>
                <c:pt idx="362">
                  <c:v>0.4140625</c:v>
                </c:pt>
                <c:pt idx="363">
                  <c:v>0.41796875</c:v>
                </c:pt>
                <c:pt idx="364">
                  <c:v>0.421875</c:v>
                </c:pt>
                <c:pt idx="365">
                  <c:v>0.42578125</c:v>
                </c:pt>
                <c:pt idx="366">
                  <c:v>0.4296875</c:v>
                </c:pt>
                <c:pt idx="367">
                  <c:v>0.43359375</c:v>
                </c:pt>
                <c:pt idx="368">
                  <c:v>0.4375</c:v>
                </c:pt>
                <c:pt idx="369">
                  <c:v>0.44140625</c:v>
                </c:pt>
                <c:pt idx="370">
                  <c:v>0.4453125</c:v>
                </c:pt>
                <c:pt idx="371">
                  <c:v>0.44921875</c:v>
                </c:pt>
                <c:pt idx="372">
                  <c:v>0.453125</c:v>
                </c:pt>
                <c:pt idx="373">
                  <c:v>0.45703125</c:v>
                </c:pt>
                <c:pt idx="374">
                  <c:v>0.4609375</c:v>
                </c:pt>
                <c:pt idx="375">
                  <c:v>0.46484375</c:v>
                </c:pt>
                <c:pt idx="376">
                  <c:v>0.46875</c:v>
                </c:pt>
                <c:pt idx="377">
                  <c:v>0.47265625</c:v>
                </c:pt>
                <c:pt idx="378">
                  <c:v>0.4765625</c:v>
                </c:pt>
                <c:pt idx="379">
                  <c:v>0.48046875</c:v>
                </c:pt>
                <c:pt idx="380">
                  <c:v>0.484375</c:v>
                </c:pt>
                <c:pt idx="381">
                  <c:v>0.48828125</c:v>
                </c:pt>
                <c:pt idx="382">
                  <c:v>0.4921875</c:v>
                </c:pt>
                <c:pt idx="383">
                  <c:v>0.49609375</c:v>
                </c:pt>
                <c:pt idx="384">
                  <c:v>0.5</c:v>
                </c:pt>
                <c:pt idx="385">
                  <c:v>0.50390625</c:v>
                </c:pt>
                <c:pt idx="386">
                  <c:v>0.5078125</c:v>
                </c:pt>
                <c:pt idx="387">
                  <c:v>0.51171875</c:v>
                </c:pt>
                <c:pt idx="388">
                  <c:v>0.515625</c:v>
                </c:pt>
                <c:pt idx="389">
                  <c:v>0.51953125</c:v>
                </c:pt>
                <c:pt idx="390">
                  <c:v>0.5234375</c:v>
                </c:pt>
                <c:pt idx="391">
                  <c:v>0.52734375</c:v>
                </c:pt>
                <c:pt idx="392">
                  <c:v>0.53125</c:v>
                </c:pt>
                <c:pt idx="393">
                  <c:v>0.53515625</c:v>
                </c:pt>
                <c:pt idx="394">
                  <c:v>0.5390625</c:v>
                </c:pt>
                <c:pt idx="395">
                  <c:v>0.54296875</c:v>
                </c:pt>
                <c:pt idx="396">
                  <c:v>0.546875</c:v>
                </c:pt>
                <c:pt idx="397">
                  <c:v>0.55078125</c:v>
                </c:pt>
                <c:pt idx="398">
                  <c:v>0.5546875</c:v>
                </c:pt>
                <c:pt idx="399">
                  <c:v>0.55859375</c:v>
                </c:pt>
                <c:pt idx="400">
                  <c:v>0.5625</c:v>
                </c:pt>
                <c:pt idx="401">
                  <c:v>0.56640625</c:v>
                </c:pt>
                <c:pt idx="402">
                  <c:v>0.5703125</c:v>
                </c:pt>
                <c:pt idx="403">
                  <c:v>0.57421875</c:v>
                </c:pt>
                <c:pt idx="404">
                  <c:v>0.578125</c:v>
                </c:pt>
                <c:pt idx="405">
                  <c:v>0.58203125</c:v>
                </c:pt>
                <c:pt idx="406">
                  <c:v>0.5859375</c:v>
                </c:pt>
                <c:pt idx="407">
                  <c:v>0.58984375</c:v>
                </c:pt>
                <c:pt idx="408">
                  <c:v>0.59375</c:v>
                </c:pt>
                <c:pt idx="409">
                  <c:v>0.59765625</c:v>
                </c:pt>
                <c:pt idx="410">
                  <c:v>0.6015625</c:v>
                </c:pt>
                <c:pt idx="411">
                  <c:v>0.60546875</c:v>
                </c:pt>
                <c:pt idx="412">
                  <c:v>0.609375</c:v>
                </c:pt>
                <c:pt idx="413">
                  <c:v>0.61328125</c:v>
                </c:pt>
                <c:pt idx="414">
                  <c:v>0.6171875</c:v>
                </c:pt>
                <c:pt idx="415">
                  <c:v>0.62109375</c:v>
                </c:pt>
                <c:pt idx="416">
                  <c:v>0.625</c:v>
                </c:pt>
                <c:pt idx="417">
                  <c:v>0.62890625</c:v>
                </c:pt>
                <c:pt idx="418">
                  <c:v>0.6328125</c:v>
                </c:pt>
                <c:pt idx="419">
                  <c:v>0.63671875</c:v>
                </c:pt>
                <c:pt idx="420">
                  <c:v>0.640625</c:v>
                </c:pt>
                <c:pt idx="421">
                  <c:v>0.64453125</c:v>
                </c:pt>
                <c:pt idx="422">
                  <c:v>0.6484375</c:v>
                </c:pt>
                <c:pt idx="423">
                  <c:v>0.65234375</c:v>
                </c:pt>
                <c:pt idx="424">
                  <c:v>0.65625</c:v>
                </c:pt>
                <c:pt idx="425">
                  <c:v>0.66015625</c:v>
                </c:pt>
                <c:pt idx="426">
                  <c:v>0.6640625</c:v>
                </c:pt>
                <c:pt idx="427">
                  <c:v>0.66796875</c:v>
                </c:pt>
                <c:pt idx="428">
                  <c:v>0.671875</c:v>
                </c:pt>
                <c:pt idx="429">
                  <c:v>0.67578125</c:v>
                </c:pt>
                <c:pt idx="430">
                  <c:v>0.6796875</c:v>
                </c:pt>
                <c:pt idx="431">
                  <c:v>0.68359375</c:v>
                </c:pt>
                <c:pt idx="432">
                  <c:v>0.6875</c:v>
                </c:pt>
                <c:pt idx="433">
                  <c:v>0.69140625</c:v>
                </c:pt>
                <c:pt idx="434">
                  <c:v>0.6953125</c:v>
                </c:pt>
                <c:pt idx="435">
                  <c:v>0.69921875</c:v>
                </c:pt>
                <c:pt idx="436">
                  <c:v>0.703125</c:v>
                </c:pt>
                <c:pt idx="437">
                  <c:v>0.70703125</c:v>
                </c:pt>
                <c:pt idx="438">
                  <c:v>0.7109375</c:v>
                </c:pt>
                <c:pt idx="439">
                  <c:v>0.71484375</c:v>
                </c:pt>
                <c:pt idx="440">
                  <c:v>0.71875</c:v>
                </c:pt>
                <c:pt idx="441">
                  <c:v>0.72265625</c:v>
                </c:pt>
                <c:pt idx="442">
                  <c:v>0.7265625</c:v>
                </c:pt>
                <c:pt idx="443">
                  <c:v>0.73046875</c:v>
                </c:pt>
                <c:pt idx="444">
                  <c:v>0.734375</c:v>
                </c:pt>
                <c:pt idx="445">
                  <c:v>0.73828125</c:v>
                </c:pt>
                <c:pt idx="446">
                  <c:v>0.7421875</c:v>
                </c:pt>
                <c:pt idx="447">
                  <c:v>0.74609375</c:v>
                </c:pt>
                <c:pt idx="448">
                  <c:v>0.75</c:v>
                </c:pt>
                <c:pt idx="449">
                  <c:v>0.75390625</c:v>
                </c:pt>
                <c:pt idx="450">
                  <c:v>0.7578125</c:v>
                </c:pt>
                <c:pt idx="451">
                  <c:v>0.76171875</c:v>
                </c:pt>
                <c:pt idx="452">
                  <c:v>0.765625</c:v>
                </c:pt>
                <c:pt idx="453">
                  <c:v>0.76953125</c:v>
                </c:pt>
                <c:pt idx="454">
                  <c:v>0.7734375</c:v>
                </c:pt>
                <c:pt idx="455">
                  <c:v>0.77734375</c:v>
                </c:pt>
                <c:pt idx="456">
                  <c:v>0.78125</c:v>
                </c:pt>
                <c:pt idx="457">
                  <c:v>0.78515625</c:v>
                </c:pt>
                <c:pt idx="458">
                  <c:v>0.7890625</c:v>
                </c:pt>
                <c:pt idx="459">
                  <c:v>0.79296875</c:v>
                </c:pt>
                <c:pt idx="460">
                  <c:v>0.796875</c:v>
                </c:pt>
                <c:pt idx="461">
                  <c:v>0.80078125</c:v>
                </c:pt>
                <c:pt idx="462">
                  <c:v>0.8046875</c:v>
                </c:pt>
                <c:pt idx="463">
                  <c:v>0.80859375</c:v>
                </c:pt>
                <c:pt idx="464">
                  <c:v>0.8125</c:v>
                </c:pt>
                <c:pt idx="465">
                  <c:v>0.81640625</c:v>
                </c:pt>
                <c:pt idx="466">
                  <c:v>0.8203125</c:v>
                </c:pt>
                <c:pt idx="467">
                  <c:v>0.82421875</c:v>
                </c:pt>
                <c:pt idx="468">
                  <c:v>0.828125</c:v>
                </c:pt>
                <c:pt idx="469">
                  <c:v>0.83203125</c:v>
                </c:pt>
                <c:pt idx="470">
                  <c:v>0.8359375</c:v>
                </c:pt>
                <c:pt idx="471">
                  <c:v>0.83984375</c:v>
                </c:pt>
                <c:pt idx="472">
                  <c:v>0.84375</c:v>
                </c:pt>
                <c:pt idx="473">
                  <c:v>0.84765625</c:v>
                </c:pt>
                <c:pt idx="474">
                  <c:v>0.8515625</c:v>
                </c:pt>
                <c:pt idx="475">
                  <c:v>0.85546875</c:v>
                </c:pt>
                <c:pt idx="476">
                  <c:v>0.859375</c:v>
                </c:pt>
                <c:pt idx="477">
                  <c:v>0.86328125</c:v>
                </c:pt>
                <c:pt idx="478">
                  <c:v>0.8671875</c:v>
                </c:pt>
                <c:pt idx="479">
                  <c:v>0.87109375</c:v>
                </c:pt>
                <c:pt idx="480">
                  <c:v>0.875</c:v>
                </c:pt>
                <c:pt idx="481">
                  <c:v>0.87890625</c:v>
                </c:pt>
                <c:pt idx="482">
                  <c:v>0.8828125</c:v>
                </c:pt>
                <c:pt idx="483">
                  <c:v>0.88671875</c:v>
                </c:pt>
                <c:pt idx="484">
                  <c:v>0.890625</c:v>
                </c:pt>
                <c:pt idx="485">
                  <c:v>0.89453125</c:v>
                </c:pt>
                <c:pt idx="486">
                  <c:v>0.8984375</c:v>
                </c:pt>
                <c:pt idx="487">
                  <c:v>0.90234375</c:v>
                </c:pt>
                <c:pt idx="488">
                  <c:v>0.90625</c:v>
                </c:pt>
                <c:pt idx="489">
                  <c:v>0.91015625</c:v>
                </c:pt>
                <c:pt idx="490">
                  <c:v>0.9140625</c:v>
                </c:pt>
                <c:pt idx="491">
                  <c:v>0.91796875</c:v>
                </c:pt>
                <c:pt idx="492">
                  <c:v>0.921875</c:v>
                </c:pt>
                <c:pt idx="493">
                  <c:v>0.92578125</c:v>
                </c:pt>
                <c:pt idx="494">
                  <c:v>0.9296875</c:v>
                </c:pt>
                <c:pt idx="495">
                  <c:v>0.93359375</c:v>
                </c:pt>
                <c:pt idx="496">
                  <c:v>0.9375</c:v>
                </c:pt>
                <c:pt idx="497">
                  <c:v>0.94140625</c:v>
                </c:pt>
                <c:pt idx="498">
                  <c:v>0.9453125</c:v>
                </c:pt>
                <c:pt idx="499">
                  <c:v>0.94921875</c:v>
                </c:pt>
                <c:pt idx="500">
                  <c:v>0.953125</c:v>
                </c:pt>
                <c:pt idx="501">
                  <c:v>0.95703125</c:v>
                </c:pt>
                <c:pt idx="502">
                  <c:v>0.9609375</c:v>
                </c:pt>
                <c:pt idx="503">
                  <c:v>0.96484375</c:v>
                </c:pt>
                <c:pt idx="504">
                  <c:v>0.96875</c:v>
                </c:pt>
                <c:pt idx="505">
                  <c:v>0.97265625</c:v>
                </c:pt>
                <c:pt idx="506">
                  <c:v>0.9765625</c:v>
                </c:pt>
                <c:pt idx="507">
                  <c:v>0.98046875</c:v>
                </c:pt>
                <c:pt idx="508">
                  <c:v>0.984375</c:v>
                </c:pt>
                <c:pt idx="509">
                  <c:v>0.98828125</c:v>
                </c:pt>
                <c:pt idx="510">
                  <c:v>0.9921875</c:v>
                </c:pt>
                <c:pt idx="511">
                  <c:v>0.99609375</c:v>
                </c:pt>
                <c:pt idx="512">
                  <c:v>1</c:v>
                </c:pt>
              </c:numCache>
            </c:numRef>
          </c:xVal>
          <c:yVal>
            <c:numRef>
              <c:f>OscClipping!$G$4:$G$516</c:f>
              <c:numCache>
                <c:formatCode>General</c:formatCode>
                <c:ptCount val="513"/>
                <c:pt idx="0">
                  <c:v>-1</c:v>
                </c:pt>
                <c:pt idx="1">
                  <c:v>-0.9999847412109375</c:v>
                </c:pt>
                <c:pt idx="2">
                  <c:v>-0.99993896484375</c:v>
                </c:pt>
                <c:pt idx="3">
                  <c:v>-0.9998626708984375</c:v>
                </c:pt>
                <c:pt idx="4">
                  <c:v>-0.999755859375</c:v>
                </c:pt>
                <c:pt idx="5">
                  <c:v>-0.9996185302734375</c:v>
                </c:pt>
                <c:pt idx="6">
                  <c:v>-0.99945068359375</c:v>
                </c:pt>
                <c:pt idx="7">
                  <c:v>-0.9992523193359375</c:v>
                </c:pt>
                <c:pt idx="8">
                  <c:v>-0.9990234375</c:v>
                </c:pt>
                <c:pt idx="9">
                  <c:v>-0.9987640380859375</c:v>
                </c:pt>
                <c:pt idx="10">
                  <c:v>-0.99847412109375</c:v>
                </c:pt>
                <c:pt idx="11">
                  <c:v>-0.9981536865234375</c:v>
                </c:pt>
                <c:pt idx="12">
                  <c:v>-0.997802734375</c:v>
                </c:pt>
                <c:pt idx="13">
                  <c:v>-0.9974212646484375</c:v>
                </c:pt>
                <c:pt idx="14">
                  <c:v>-0.99700927734375</c:v>
                </c:pt>
                <c:pt idx="15">
                  <c:v>-0.9965667724609375</c:v>
                </c:pt>
                <c:pt idx="16">
                  <c:v>-0.99609375</c:v>
                </c:pt>
                <c:pt idx="17">
                  <c:v>-0.9955902099609375</c:v>
                </c:pt>
                <c:pt idx="18">
                  <c:v>-0.99505615234375</c:v>
                </c:pt>
                <c:pt idx="19">
                  <c:v>-0.9944915771484375</c:v>
                </c:pt>
                <c:pt idx="20">
                  <c:v>-0.993896484375</c:v>
                </c:pt>
                <c:pt idx="21">
                  <c:v>-0.9932708740234375</c:v>
                </c:pt>
                <c:pt idx="22">
                  <c:v>-0.99261474609375</c:v>
                </c:pt>
                <c:pt idx="23">
                  <c:v>-0.9919281005859375</c:v>
                </c:pt>
                <c:pt idx="24">
                  <c:v>-0.9912109375</c:v>
                </c:pt>
                <c:pt idx="25">
                  <c:v>-0.9904632568359375</c:v>
                </c:pt>
                <c:pt idx="26">
                  <c:v>-0.98968505859375</c:v>
                </c:pt>
                <c:pt idx="27">
                  <c:v>-0.9888763427734375</c:v>
                </c:pt>
                <c:pt idx="28">
                  <c:v>-0.988037109375</c:v>
                </c:pt>
                <c:pt idx="29">
                  <c:v>-0.9871673583984375</c:v>
                </c:pt>
                <c:pt idx="30">
                  <c:v>-0.98626708984375</c:v>
                </c:pt>
                <c:pt idx="31">
                  <c:v>-0.9853363037109375</c:v>
                </c:pt>
                <c:pt idx="32">
                  <c:v>-0.984375</c:v>
                </c:pt>
                <c:pt idx="33">
                  <c:v>-0.9833831787109375</c:v>
                </c:pt>
                <c:pt idx="34">
                  <c:v>-0.98236083984375</c:v>
                </c:pt>
                <c:pt idx="35">
                  <c:v>-0.9813079833984375</c:v>
                </c:pt>
                <c:pt idx="36">
                  <c:v>-0.980224609375</c:v>
                </c:pt>
                <c:pt idx="37">
                  <c:v>-0.9791107177734375</c:v>
                </c:pt>
                <c:pt idx="38">
                  <c:v>-0.97796630859375</c:v>
                </c:pt>
                <c:pt idx="39">
                  <c:v>-0.9767913818359375</c:v>
                </c:pt>
                <c:pt idx="40">
                  <c:v>-0.9755859375</c:v>
                </c:pt>
                <c:pt idx="41">
                  <c:v>-0.9743499755859375</c:v>
                </c:pt>
                <c:pt idx="42">
                  <c:v>-0.97308349609375</c:v>
                </c:pt>
                <c:pt idx="43">
                  <c:v>-0.9717864990234375</c:v>
                </c:pt>
                <c:pt idx="44">
                  <c:v>-0.970458984375</c:v>
                </c:pt>
                <c:pt idx="45">
                  <c:v>-0.9691009521484375</c:v>
                </c:pt>
                <c:pt idx="46">
                  <c:v>-0.96771240234375</c:v>
                </c:pt>
                <c:pt idx="47">
                  <c:v>-0.9662933349609375</c:v>
                </c:pt>
                <c:pt idx="48">
                  <c:v>-0.96484375</c:v>
                </c:pt>
                <c:pt idx="49">
                  <c:v>-0.9633636474609375</c:v>
                </c:pt>
                <c:pt idx="50">
                  <c:v>-0.96185302734375</c:v>
                </c:pt>
                <c:pt idx="51">
                  <c:v>-0.9603118896484375</c:v>
                </c:pt>
                <c:pt idx="52">
                  <c:v>-0.958740234375</c:v>
                </c:pt>
                <c:pt idx="53">
                  <c:v>-0.9571380615234375</c:v>
                </c:pt>
                <c:pt idx="54">
                  <c:v>-0.95550537109375</c:v>
                </c:pt>
                <c:pt idx="55">
                  <c:v>-0.9538421630859375</c:v>
                </c:pt>
                <c:pt idx="56">
                  <c:v>-0.9521484375</c:v>
                </c:pt>
                <c:pt idx="57">
                  <c:v>-0.9504241943359375</c:v>
                </c:pt>
                <c:pt idx="58">
                  <c:v>-0.94866943359375</c:v>
                </c:pt>
                <c:pt idx="59">
                  <c:v>-0.9468841552734375</c:v>
                </c:pt>
                <c:pt idx="60">
                  <c:v>-0.945068359375</c:v>
                </c:pt>
                <c:pt idx="61">
                  <c:v>-0.9432220458984375</c:v>
                </c:pt>
                <c:pt idx="62">
                  <c:v>-0.94134521484375</c:v>
                </c:pt>
                <c:pt idx="63">
                  <c:v>-0.9394378662109375</c:v>
                </c:pt>
                <c:pt idx="64">
                  <c:v>-0.9375</c:v>
                </c:pt>
                <c:pt idx="65">
                  <c:v>-0.9355316162109375</c:v>
                </c:pt>
                <c:pt idx="66">
                  <c:v>-0.93353271484375</c:v>
                </c:pt>
                <c:pt idx="67">
                  <c:v>-0.9315032958984375</c:v>
                </c:pt>
                <c:pt idx="68">
                  <c:v>-0.929443359375</c:v>
                </c:pt>
                <c:pt idx="69">
                  <c:v>-0.9273529052734375</c:v>
                </c:pt>
                <c:pt idx="70">
                  <c:v>-0.92523193359375</c:v>
                </c:pt>
                <c:pt idx="71">
                  <c:v>-0.9230804443359375</c:v>
                </c:pt>
                <c:pt idx="72">
                  <c:v>-0.9208984375</c:v>
                </c:pt>
                <c:pt idx="73">
                  <c:v>-0.9186859130859375</c:v>
                </c:pt>
                <c:pt idx="74">
                  <c:v>-0.91644287109375</c:v>
                </c:pt>
                <c:pt idx="75">
                  <c:v>-0.9141693115234375</c:v>
                </c:pt>
                <c:pt idx="76">
                  <c:v>-0.911865234375</c:v>
                </c:pt>
                <c:pt idx="77">
                  <c:v>-0.9095306396484375</c:v>
                </c:pt>
                <c:pt idx="78">
                  <c:v>-0.90716552734375</c:v>
                </c:pt>
                <c:pt idx="79">
                  <c:v>-0.9047698974609375</c:v>
                </c:pt>
                <c:pt idx="80">
                  <c:v>-0.90234375</c:v>
                </c:pt>
                <c:pt idx="81">
                  <c:v>-0.8998870849609375</c:v>
                </c:pt>
                <c:pt idx="82">
                  <c:v>-0.89739990234375</c:v>
                </c:pt>
                <c:pt idx="83">
                  <c:v>-0.8948822021484375</c:v>
                </c:pt>
                <c:pt idx="84">
                  <c:v>-0.892333984375</c:v>
                </c:pt>
                <c:pt idx="85">
                  <c:v>-0.8897552490234375</c:v>
                </c:pt>
                <c:pt idx="86">
                  <c:v>-0.88714599609375</c:v>
                </c:pt>
                <c:pt idx="87">
                  <c:v>-0.8845062255859375</c:v>
                </c:pt>
                <c:pt idx="88">
                  <c:v>-0.8818359375</c:v>
                </c:pt>
                <c:pt idx="89">
                  <c:v>-0.8791351318359375</c:v>
                </c:pt>
                <c:pt idx="90">
                  <c:v>-0.87640380859375</c:v>
                </c:pt>
                <c:pt idx="91">
                  <c:v>-0.8736419677734375</c:v>
                </c:pt>
                <c:pt idx="92">
                  <c:v>-0.870849609375</c:v>
                </c:pt>
                <c:pt idx="93">
                  <c:v>-0.8680267333984375</c:v>
                </c:pt>
                <c:pt idx="94">
                  <c:v>-0.86517333984375</c:v>
                </c:pt>
                <c:pt idx="95">
                  <c:v>-0.8622894287109375</c:v>
                </c:pt>
                <c:pt idx="96">
                  <c:v>-0.859375</c:v>
                </c:pt>
                <c:pt idx="97">
                  <c:v>-0.8564300537109375</c:v>
                </c:pt>
                <c:pt idx="98">
                  <c:v>-0.85345458984375</c:v>
                </c:pt>
                <c:pt idx="99">
                  <c:v>-0.8504486083984375</c:v>
                </c:pt>
                <c:pt idx="100">
                  <c:v>-0.847412109375</c:v>
                </c:pt>
                <c:pt idx="101">
                  <c:v>-0.8443450927734375</c:v>
                </c:pt>
                <c:pt idx="102">
                  <c:v>-0.84124755859375</c:v>
                </c:pt>
                <c:pt idx="103">
                  <c:v>-0.8381195068359375</c:v>
                </c:pt>
                <c:pt idx="104">
                  <c:v>-0.8349609375</c:v>
                </c:pt>
                <c:pt idx="105">
                  <c:v>-0.8317718505859375</c:v>
                </c:pt>
                <c:pt idx="106">
                  <c:v>-0.82855224609375</c:v>
                </c:pt>
                <c:pt idx="107">
                  <c:v>-0.8253021240234375</c:v>
                </c:pt>
                <c:pt idx="108">
                  <c:v>-0.822021484375</c:v>
                </c:pt>
                <c:pt idx="109">
                  <c:v>-0.8187103271484375</c:v>
                </c:pt>
                <c:pt idx="110">
                  <c:v>-0.81536865234375</c:v>
                </c:pt>
                <c:pt idx="111">
                  <c:v>-0.8119964599609375</c:v>
                </c:pt>
                <c:pt idx="112">
                  <c:v>-0.80859375</c:v>
                </c:pt>
                <c:pt idx="113">
                  <c:v>-0.8051605224609375</c:v>
                </c:pt>
                <c:pt idx="114">
                  <c:v>-0.80169677734375</c:v>
                </c:pt>
                <c:pt idx="115">
                  <c:v>-0.7982025146484375</c:v>
                </c:pt>
                <c:pt idx="116">
                  <c:v>-0.794677734375</c:v>
                </c:pt>
                <c:pt idx="117">
                  <c:v>-0.7911224365234375</c:v>
                </c:pt>
                <c:pt idx="118">
                  <c:v>-0.78753662109375</c:v>
                </c:pt>
                <c:pt idx="119">
                  <c:v>-0.7839202880859375</c:v>
                </c:pt>
                <c:pt idx="120">
                  <c:v>-0.7802734375</c:v>
                </c:pt>
                <c:pt idx="121">
                  <c:v>-0.7765960693359375</c:v>
                </c:pt>
                <c:pt idx="122">
                  <c:v>-0.77288818359375</c:v>
                </c:pt>
                <c:pt idx="123">
                  <c:v>-0.7691497802734375</c:v>
                </c:pt>
                <c:pt idx="124">
                  <c:v>-0.765380859375</c:v>
                </c:pt>
                <c:pt idx="125">
                  <c:v>-0.7615814208984375</c:v>
                </c:pt>
                <c:pt idx="126">
                  <c:v>-0.75775146484375</c:v>
                </c:pt>
                <c:pt idx="127">
                  <c:v>-0.7538909912109375</c:v>
                </c:pt>
                <c:pt idx="128">
                  <c:v>-0.75</c:v>
                </c:pt>
                <c:pt idx="129">
                  <c:v>-0.7460784912109375</c:v>
                </c:pt>
                <c:pt idx="130">
                  <c:v>-0.74212646484375</c:v>
                </c:pt>
                <c:pt idx="131">
                  <c:v>-0.7381439208984375</c:v>
                </c:pt>
                <c:pt idx="132">
                  <c:v>-0.734130859375</c:v>
                </c:pt>
                <c:pt idx="133">
                  <c:v>-0.7300872802734375</c:v>
                </c:pt>
                <c:pt idx="134">
                  <c:v>-0.72601318359375</c:v>
                </c:pt>
                <c:pt idx="135">
                  <c:v>-0.7219085693359375</c:v>
                </c:pt>
                <c:pt idx="136">
                  <c:v>-0.7177734375</c:v>
                </c:pt>
                <c:pt idx="137">
                  <c:v>-0.7136077880859375</c:v>
                </c:pt>
                <c:pt idx="138">
                  <c:v>-0.70941162109375</c:v>
                </c:pt>
                <c:pt idx="139">
                  <c:v>-0.7051849365234375</c:v>
                </c:pt>
                <c:pt idx="140">
                  <c:v>-0.700927734375</c:v>
                </c:pt>
                <c:pt idx="141">
                  <c:v>-0.6966400146484375</c:v>
                </c:pt>
                <c:pt idx="142">
                  <c:v>-0.69232177734375</c:v>
                </c:pt>
                <c:pt idx="143">
                  <c:v>-0.6879730224609375</c:v>
                </c:pt>
                <c:pt idx="144">
                  <c:v>-0.68359375</c:v>
                </c:pt>
                <c:pt idx="145">
                  <c:v>-0.6791839599609375</c:v>
                </c:pt>
                <c:pt idx="146">
                  <c:v>-0.67474365234375</c:v>
                </c:pt>
                <c:pt idx="147">
                  <c:v>-0.6702728271484375</c:v>
                </c:pt>
                <c:pt idx="148">
                  <c:v>-0.665771484375</c:v>
                </c:pt>
                <c:pt idx="149">
                  <c:v>-0.6612396240234375</c:v>
                </c:pt>
                <c:pt idx="150">
                  <c:v>-0.65667724609375</c:v>
                </c:pt>
                <c:pt idx="151">
                  <c:v>-0.6520843505859375</c:v>
                </c:pt>
                <c:pt idx="152">
                  <c:v>-0.6474609375</c:v>
                </c:pt>
                <c:pt idx="153">
                  <c:v>-0.6428070068359375</c:v>
                </c:pt>
                <c:pt idx="154">
                  <c:v>-0.63812255859375</c:v>
                </c:pt>
                <c:pt idx="155">
                  <c:v>-0.6334075927734375</c:v>
                </c:pt>
                <c:pt idx="156">
                  <c:v>-0.628662109375</c:v>
                </c:pt>
                <c:pt idx="157">
                  <c:v>-0.6238861083984375</c:v>
                </c:pt>
                <c:pt idx="158">
                  <c:v>-0.61907958984375</c:v>
                </c:pt>
                <c:pt idx="159">
                  <c:v>-0.6142425537109375</c:v>
                </c:pt>
                <c:pt idx="160">
                  <c:v>-0.609375</c:v>
                </c:pt>
                <c:pt idx="161">
                  <c:v>-0.6044769287109375</c:v>
                </c:pt>
                <c:pt idx="162">
                  <c:v>-0.59954833984375</c:v>
                </c:pt>
                <c:pt idx="163">
                  <c:v>-0.5945892333984375</c:v>
                </c:pt>
                <c:pt idx="164">
                  <c:v>-0.589599609375</c:v>
                </c:pt>
                <c:pt idx="165">
                  <c:v>-0.5845794677734375</c:v>
                </c:pt>
                <c:pt idx="166">
                  <c:v>-0.57952880859375</c:v>
                </c:pt>
                <c:pt idx="167">
                  <c:v>-0.5744476318359375</c:v>
                </c:pt>
                <c:pt idx="168">
                  <c:v>-0.5693359375</c:v>
                </c:pt>
                <c:pt idx="169">
                  <c:v>-0.5641937255859375</c:v>
                </c:pt>
                <c:pt idx="170">
                  <c:v>-0.55902099609375</c:v>
                </c:pt>
                <c:pt idx="171">
                  <c:v>-0.5538177490234375</c:v>
                </c:pt>
                <c:pt idx="172">
                  <c:v>-0.548583984375</c:v>
                </c:pt>
                <c:pt idx="173">
                  <c:v>-0.5433197021484375</c:v>
                </c:pt>
                <c:pt idx="174">
                  <c:v>-0.53802490234375</c:v>
                </c:pt>
                <c:pt idx="175">
                  <c:v>-0.5326995849609375</c:v>
                </c:pt>
                <c:pt idx="176">
                  <c:v>-0.52734375</c:v>
                </c:pt>
                <c:pt idx="177">
                  <c:v>-0.5219573974609375</c:v>
                </c:pt>
                <c:pt idx="178">
                  <c:v>-0.51654052734375</c:v>
                </c:pt>
                <c:pt idx="179">
                  <c:v>-0.5110931396484375</c:v>
                </c:pt>
                <c:pt idx="180">
                  <c:v>-0.505615234375</c:v>
                </c:pt>
                <c:pt idx="181">
                  <c:v>-0.5001068115234375</c:v>
                </c:pt>
                <c:pt idx="182">
                  <c:v>-0.49456787109375</c:v>
                </c:pt>
                <c:pt idx="183">
                  <c:v>-0.4889984130859375</c:v>
                </c:pt>
                <c:pt idx="184">
                  <c:v>-0.4833984375</c:v>
                </c:pt>
                <c:pt idx="185">
                  <c:v>-0.4777679443359375</c:v>
                </c:pt>
                <c:pt idx="186">
                  <c:v>-0.47210693359375</c:v>
                </c:pt>
                <c:pt idx="187">
                  <c:v>-0.4664154052734375</c:v>
                </c:pt>
                <c:pt idx="188">
                  <c:v>-0.460693359375</c:v>
                </c:pt>
                <c:pt idx="189">
                  <c:v>-0.4549407958984375</c:v>
                </c:pt>
                <c:pt idx="190">
                  <c:v>-0.44915771484375</c:v>
                </c:pt>
                <c:pt idx="191">
                  <c:v>-0.4433441162109375</c:v>
                </c:pt>
                <c:pt idx="192">
                  <c:v>-0.4375</c:v>
                </c:pt>
                <c:pt idx="193">
                  <c:v>-0.4316253662109375</c:v>
                </c:pt>
                <c:pt idx="194">
                  <c:v>-0.42572021484375</c:v>
                </c:pt>
                <c:pt idx="195">
                  <c:v>-0.4197845458984375</c:v>
                </c:pt>
                <c:pt idx="196">
                  <c:v>-0.413818359375</c:v>
                </c:pt>
                <c:pt idx="197">
                  <c:v>-0.4078216552734375</c:v>
                </c:pt>
                <c:pt idx="198">
                  <c:v>-0.40179443359375</c:v>
                </c:pt>
                <c:pt idx="199">
                  <c:v>-0.3957366943359375</c:v>
                </c:pt>
                <c:pt idx="200">
                  <c:v>-0.3896484375</c:v>
                </c:pt>
                <c:pt idx="201">
                  <c:v>-0.3835296630859375</c:v>
                </c:pt>
                <c:pt idx="202">
                  <c:v>-0.37738037109375</c:v>
                </c:pt>
                <c:pt idx="203">
                  <c:v>-0.3712005615234375</c:v>
                </c:pt>
                <c:pt idx="204">
                  <c:v>-0.364990234375</c:v>
                </c:pt>
                <c:pt idx="205">
                  <c:v>-0.3587493896484375</c:v>
                </c:pt>
                <c:pt idx="206">
                  <c:v>-0.35247802734375</c:v>
                </c:pt>
                <c:pt idx="207">
                  <c:v>-0.3461761474609375</c:v>
                </c:pt>
                <c:pt idx="208">
                  <c:v>-0.33984375</c:v>
                </c:pt>
                <c:pt idx="209">
                  <c:v>-0.3334808349609375</c:v>
                </c:pt>
                <c:pt idx="210">
                  <c:v>-0.32708740234375</c:v>
                </c:pt>
                <c:pt idx="211">
                  <c:v>-0.3206634521484375</c:v>
                </c:pt>
                <c:pt idx="212">
                  <c:v>-0.314208984375</c:v>
                </c:pt>
                <c:pt idx="213">
                  <c:v>-0.3077239990234375</c:v>
                </c:pt>
                <c:pt idx="214">
                  <c:v>-0.30120849609375</c:v>
                </c:pt>
                <c:pt idx="215">
                  <c:v>-0.2946624755859375</c:v>
                </c:pt>
                <c:pt idx="216">
                  <c:v>-0.2880859375</c:v>
                </c:pt>
                <c:pt idx="217">
                  <c:v>-0.2814788818359375</c:v>
                </c:pt>
                <c:pt idx="218">
                  <c:v>-0.27484130859375</c:v>
                </c:pt>
                <c:pt idx="219">
                  <c:v>-0.2681732177734375</c:v>
                </c:pt>
                <c:pt idx="220">
                  <c:v>-0.261474609375</c:v>
                </c:pt>
                <c:pt idx="221">
                  <c:v>-0.2547454833984375</c:v>
                </c:pt>
                <c:pt idx="222">
                  <c:v>-0.24798583984375</c:v>
                </c:pt>
                <c:pt idx="223">
                  <c:v>-0.2411956787109375</c:v>
                </c:pt>
                <c:pt idx="224">
                  <c:v>-0.234375</c:v>
                </c:pt>
                <c:pt idx="225">
                  <c:v>-0.2275238037109375</c:v>
                </c:pt>
                <c:pt idx="226">
                  <c:v>-0.22064208984375</c:v>
                </c:pt>
                <c:pt idx="227">
                  <c:v>-0.2137298583984375</c:v>
                </c:pt>
                <c:pt idx="228">
                  <c:v>-0.206787109375</c:v>
                </c:pt>
                <c:pt idx="229">
                  <c:v>-0.1998138427734375</c:v>
                </c:pt>
                <c:pt idx="230">
                  <c:v>-0.19281005859375</c:v>
                </c:pt>
                <c:pt idx="231">
                  <c:v>-0.1857757568359375</c:v>
                </c:pt>
                <c:pt idx="232">
                  <c:v>-0.1787109375</c:v>
                </c:pt>
                <c:pt idx="233">
                  <c:v>-0.1716156005859375</c:v>
                </c:pt>
                <c:pt idx="234">
                  <c:v>-0.16448974609375</c:v>
                </c:pt>
                <c:pt idx="235">
                  <c:v>-0.1573333740234375</c:v>
                </c:pt>
                <c:pt idx="236">
                  <c:v>-0.150146484375</c:v>
                </c:pt>
                <c:pt idx="237">
                  <c:v>-0.1429290771484375</c:v>
                </c:pt>
                <c:pt idx="238">
                  <c:v>-0.13568115234375</c:v>
                </c:pt>
                <c:pt idx="239">
                  <c:v>-0.1284027099609375</c:v>
                </c:pt>
                <c:pt idx="240">
                  <c:v>-0.12109375</c:v>
                </c:pt>
                <c:pt idx="241">
                  <c:v>-0.1137542724609375</c:v>
                </c:pt>
                <c:pt idx="242">
                  <c:v>-0.10638427734375</c:v>
                </c:pt>
                <c:pt idx="243">
                  <c:v>-9.89837646484375E-2</c:v>
                </c:pt>
                <c:pt idx="244">
                  <c:v>-9.1552734375E-2</c:v>
                </c:pt>
                <c:pt idx="245">
                  <c:v>-8.40911865234375E-2</c:v>
                </c:pt>
                <c:pt idx="246">
                  <c:v>-7.659912109375E-2</c:v>
                </c:pt>
                <c:pt idx="247">
                  <c:v>-6.90765380859375E-2</c:v>
                </c:pt>
                <c:pt idx="248">
                  <c:v>-6.15234375E-2</c:v>
                </c:pt>
                <c:pt idx="249">
                  <c:v>-5.39398193359375E-2</c:v>
                </c:pt>
                <c:pt idx="250">
                  <c:v>-4.632568359375E-2</c:v>
                </c:pt>
                <c:pt idx="251">
                  <c:v>-3.86810302734375E-2</c:v>
                </c:pt>
                <c:pt idx="252">
                  <c:v>-3.1005859375E-2</c:v>
                </c:pt>
                <c:pt idx="253">
                  <c:v>-2.33001708984375E-2</c:v>
                </c:pt>
                <c:pt idx="254">
                  <c:v>-1.556396484375E-2</c:v>
                </c:pt>
                <c:pt idx="255">
                  <c:v>-7.7972412109375E-3</c:v>
                </c:pt>
                <c:pt idx="256">
                  <c:v>0</c:v>
                </c:pt>
                <c:pt idx="257">
                  <c:v>7.7972412109375E-3</c:v>
                </c:pt>
                <c:pt idx="258">
                  <c:v>1.556396484375E-2</c:v>
                </c:pt>
                <c:pt idx="259">
                  <c:v>2.33001708984375E-2</c:v>
                </c:pt>
                <c:pt idx="260">
                  <c:v>3.1005859375E-2</c:v>
                </c:pt>
                <c:pt idx="261">
                  <c:v>3.86810302734375E-2</c:v>
                </c:pt>
                <c:pt idx="262">
                  <c:v>4.632568359375E-2</c:v>
                </c:pt>
                <c:pt idx="263">
                  <c:v>5.39398193359375E-2</c:v>
                </c:pt>
                <c:pt idx="264">
                  <c:v>6.15234375E-2</c:v>
                </c:pt>
                <c:pt idx="265">
                  <c:v>6.90765380859375E-2</c:v>
                </c:pt>
                <c:pt idx="266">
                  <c:v>7.659912109375E-2</c:v>
                </c:pt>
                <c:pt idx="267">
                  <c:v>8.40911865234375E-2</c:v>
                </c:pt>
                <c:pt idx="268">
                  <c:v>9.1552734375E-2</c:v>
                </c:pt>
                <c:pt idx="269">
                  <c:v>9.89837646484375E-2</c:v>
                </c:pt>
                <c:pt idx="270">
                  <c:v>0.10638427734375</c:v>
                </c:pt>
                <c:pt idx="271">
                  <c:v>0.1137542724609375</c:v>
                </c:pt>
                <c:pt idx="272">
                  <c:v>0.12109375</c:v>
                </c:pt>
                <c:pt idx="273">
                  <c:v>0.1284027099609375</c:v>
                </c:pt>
                <c:pt idx="274">
                  <c:v>0.13568115234375</c:v>
                </c:pt>
                <c:pt idx="275">
                  <c:v>0.1429290771484375</c:v>
                </c:pt>
                <c:pt idx="276">
                  <c:v>0.150146484375</c:v>
                </c:pt>
                <c:pt idx="277">
                  <c:v>0.1573333740234375</c:v>
                </c:pt>
                <c:pt idx="278">
                  <c:v>0.16448974609375</c:v>
                </c:pt>
                <c:pt idx="279">
                  <c:v>0.1716156005859375</c:v>
                </c:pt>
                <c:pt idx="280">
                  <c:v>0.1787109375</c:v>
                </c:pt>
                <c:pt idx="281">
                  <c:v>0.1857757568359375</c:v>
                </c:pt>
                <c:pt idx="282">
                  <c:v>0.19281005859375</c:v>
                </c:pt>
                <c:pt idx="283">
                  <c:v>0.1998138427734375</c:v>
                </c:pt>
                <c:pt idx="284">
                  <c:v>0.206787109375</c:v>
                </c:pt>
                <c:pt idx="285">
                  <c:v>0.2137298583984375</c:v>
                </c:pt>
                <c:pt idx="286">
                  <c:v>0.22064208984375</c:v>
                </c:pt>
                <c:pt idx="287">
                  <c:v>0.2275238037109375</c:v>
                </c:pt>
                <c:pt idx="288">
                  <c:v>0.234375</c:v>
                </c:pt>
                <c:pt idx="289">
                  <c:v>0.2411956787109375</c:v>
                </c:pt>
                <c:pt idx="290">
                  <c:v>0.24798583984375</c:v>
                </c:pt>
                <c:pt idx="291">
                  <c:v>0.2547454833984375</c:v>
                </c:pt>
                <c:pt idx="292">
                  <c:v>0.261474609375</c:v>
                </c:pt>
                <c:pt idx="293">
                  <c:v>0.2681732177734375</c:v>
                </c:pt>
                <c:pt idx="294">
                  <c:v>0.27484130859375</c:v>
                </c:pt>
                <c:pt idx="295">
                  <c:v>0.2814788818359375</c:v>
                </c:pt>
                <c:pt idx="296">
                  <c:v>0.2880859375</c:v>
                </c:pt>
                <c:pt idx="297">
                  <c:v>0.2946624755859375</c:v>
                </c:pt>
                <c:pt idx="298">
                  <c:v>0.30120849609375</c:v>
                </c:pt>
                <c:pt idx="299">
                  <c:v>0.3077239990234375</c:v>
                </c:pt>
                <c:pt idx="300">
                  <c:v>0.314208984375</c:v>
                </c:pt>
                <c:pt idx="301">
                  <c:v>0.3206634521484375</c:v>
                </c:pt>
                <c:pt idx="302">
                  <c:v>0.32708740234375</c:v>
                </c:pt>
                <c:pt idx="303">
                  <c:v>0.3334808349609375</c:v>
                </c:pt>
                <c:pt idx="304">
                  <c:v>0.33984375</c:v>
                </c:pt>
                <c:pt idx="305">
                  <c:v>0.3461761474609375</c:v>
                </c:pt>
                <c:pt idx="306">
                  <c:v>0.35247802734375</c:v>
                </c:pt>
                <c:pt idx="307">
                  <c:v>0.3587493896484375</c:v>
                </c:pt>
                <c:pt idx="308">
                  <c:v>0.364990234375</c:v>
                </c:pt>
                <c:pt idx="309">
                  <c:v>0.3712005615234375</c:v>
                </c:pt>
                <c:pt idx="310">
                  <c:v>0.37738037109375</c:v>
                </c:pt>
                <c:pt idx="311">
                  <c:v>0.3835296630859375</c:v>
                </c:pt>
                <c:pt idx="312">
                  <c:v>0.3896484375</c:v>
                </c:pt>
                <c:pt idx="313">
                  <c:v>0.3957366943359375</c:v>
                </c:pt>
                <c:pt idx="314">
                  <c:v>0.40179443359375</c:v>
                </c:pt>
                <c:pt idx="315">
                  <c:v>0.4078216552734375</c:v>
                </c:pt>
                <c:pt idx="316">
                  <c:v>0.413818359375</c:v>
                </c:pt>
                <c:pt idx="317">
                  <c:v>0.4197845458984375</c:v>
                </c:pt>
                <c:pt idx="318">
                  <c:v>0.42572021484375</c:v>
                </c:pt>
                <c:pt idx="319">
                  <c:v>0.4316253662109375</c:v>
                </c:pt>
                <c:pt idx="320">
                  <c:v>0.4375</c:v>
                </c:pt>
                <c:pt idx="321">
                  <c:v>0.4433441162109375</c:v>
                </c:pt>
                <c:pt idx="322">
                  <c:v>0.44915771484375</c:v>
                </c:pt>
                <c:pt idx="323">
                  <c:v>0.4549407958984375</c:v>
                </c:pt>
                <c:pt idx="324">
                  <c:v>0.460693359375</c:v>
                </c:pt>
                <c:pt idx="325">
                  <c:v>0.4664154052734375</c:v>
                </c:pt>
                <c:pt idx="326">
                  <c:v>0.47210693359375</c:v>
                </c:pt>
                <c:pt idx="327">
                  <c:v>0.4777679443359375</c:v>
                </c:pt>
                <c:pt idx="328">
                  <c:v>0.4833984375</c:v>
                </c:pt>
                <c:pt idx="329">
                  <c:v>0.4889984130859375</c:v>
                </c:pt>
                <c:pt idx="330">
                  <c:v>0.49456787109375</c:v>
                </c:pt>
                <c:pt idx="331">
                  <c:v>0.5001068115234375</c:v>
                </c:pt>
                <c:pt idx="332">
                  <c:v>0.505615234375</c:v>
                </c:pt>
                <c:pt idx="333">
                  <c:v>0.5110931396484375</c:v>
                </c:pt>
                <c:pt idx="334">
                  <c:v>0.51654052734375</c:v>
                </c:pt>
                <c:pt idx="335">
                  <c:v>0.5219573974609375</c:v>
                </c:pt>
                <c:pt idx="336">
                  <c:v>0.52734375</c:v>
                </c:pt>
                <c:pt idx="337">
                  <c:v>0.5326995849609375</c:v>
                </c:pt>
                <c:pt idx="338">
                  <c:v>0.53802490234375</c:v>
                </c:pt>
                <c:pt idx="339">
                  <c:v>0.5433197021484375</c:v>
                </c:pt>
                <c:pt idx="340">
                  <c:v>0.548583984375</c:v>
                </c:pt>
                <c:pt idx="341">
                  <c:v>0.5538177490234375</c:v>
                </c:pt>
                <c:pt idx="342">
                  <c:v>0.55902099609375</c:v>
                </c:pt>
                <c:pt idx="343">
                  <c:v>0.5641937255859375</c:v>
                </c:pt>
                <c:pt idx="344">
                  <c:v>0.5693359375</c:v>
                </c:pt>
                <c:pt idx="345">
                  <c:v>0.5744476318359375</c:v>
                </c:pt>
                <c:pt idx="346">
                  <c:v>0.57952880859375</c:v>
                </c:pt>
                <c:pt idx="347">
                  <c:v>0.5845794677734375</c:v>
                </c:pt>
                <c:pt idx="348">
                  <c:v>0.589599609375</c:v>
                </c:pt>
                <c:pt idx="349">
                  <c:v>0.5945892333984375</c:v>
                </c:pt>
                <c:pt idx="350">
                  <c:v>0.59954833984375</c:v>
                </c:pt>
                <c:pt idx="351">
                  <c:v>0.6044769287109375</c:v>
                </c:pt>
                <c:pt idx="352">
                  <c:v>0.609375</c:v>
                </c:pt>
                <c:pt idx="353">
                  <c:v>0.6142425537109375</c:v>
                </c:pt>
                <c:pt idx="354">
                  <c:v>0.61907958984375</c:v>
                </c:pt>
                <c:pt idx="355">
                  <c:v>0.6238861083984375</c:v>
                </c:pt>
                <c:pt idx="356">
                  <c:v>0.628662109375</c:v>
                </c:pt>
                <c:pt idx="357">
                  <c:v>0.6334075927734375</c:v>
                </c:pt>
                <c:pt idx="358">
                  <c:v>0.63812255859375</c:v>
                </c:pt>
                <c:pt idx="359">
                  <c:v>0.6428070068359375</c:v>
                </c:pt>
                <c:pt idx="360">
                  <c:v>0.6474609375</c:v>
                </c:pt>
                <c:pt idx="361">
                  <c:v>0.6520843505859375</c:v>
                </c:pt>
                <c:pt idx="362">
                  <c:v>0.65667724609375</c:v>
                </c:pt>
                <c:pt idx="363">
                  <c:v>0.6612396240234375</c:v>
                </c:pt>
                <c:pt idx="364">
                  <c:v>0.665771484375</c:v>
                </c:pt>
                <c:pt idx="365">
                  <c:v>0.6702728271484375</c:v>
                </c:pt>
                <c:pt idx="366">
                  <c:v>0.67474365234375</c:v>
                </c:pt>
                <c:pt idx="367">
                  <c:v>0.6791839599609375</c:v>
                </c:pt>
                <c:pt idx="368">
                  <c:v>0.68359375</c:v>
                </c:pt>
                <c:pt idx="369">
                  <c:v>0.6879730224609375</c:v>
                </c:pt>
                <c:pt idx="370">
                  <c:v>0.69232177734375</c:v>
                </c:pt>
                <c:pt idx="371">
                  <c:v>0.6966400146484375</c:v>
                </c:pt>
                <c:pt idx="372">
                  <c:v>0.700927734375</c:v>
                </c:pt>
                <c:pt idx="373">
                  <c:v>0.7051849365234375</c:v>
                </c:pt>
                <c:pt idx="374">
                  <c:v>0.70941162109375</c:v>
                </c:pt>
                <c:pt idx="375">
                  <c:v>0.7136077880859375</c:v>
                </c:pt>
                <c:pt idx="376">
                  <c:v>0.7177734375</c:v>
                </c:pt>
                <c:pt idx="377">
                  <c:v>0.7219085693359375</c:v>
                </c:pt>
                <c:pt idx="378">
                  <c:v>0.72601318359375</c:v>
                </c:pt>
                <c:pt idx="379">
                  <c:v>0.7300872802734375</c:v>
                </c:pt>
                <c:pt idx="380">
                  <c:v>0.734130859375</c:v>
                </c:pt>
                <c:pt idx="381">
                  <c:v>0.7381439208984375</c:v>
                </c:pt>
                <c:pt idx="382">
                  <c:v>0.74212646484375</c:v>
                </c:pt>
                <c:pt idx="383">
                  <c:v>0.7460784912109375</c:v>
                </c:pt>
                <c:pt idx="384">
                  <c:v>0.75</c:v>
                </c:pt>
                <c:pt idx="385">
                  <c:v>0.7538909912109375</c:v>
                </c:pt>
                <c:pt idx="386">
                  <c:v>0.75775146484375</c:v>
                </c:pt>
                <c:pt idx="387">
                  <c:v>0.7615814208984375</c:v>
                </c:pt>
                <c:pt idx="388">
                  <c:v>0.765380859375</c:v>
                </c:pt>
                <c:pt idx="389">
                  <c:v>0.7691497802734375</c:v>
                </c:pt>
                <c:pt idx="390">
                  <c:v>0.77288818359375</c:v>
                </c:pt>
                <c:pt idx="391">
                  <c:v>0.7765960693359375</c:v>
                </c:pt>
                <c:pt idx="392">
                  <c:v>0.7802734375</c:v>
                </c:pt>
                <c:pt idx="393">
                  <c:v>0.7839202880859375</c:v>
                </c:pt>
                <c:pt idx="394">
                  <c:v>0.78753662109375</c:v>
                </c:pt>
                <c:pt idx="395">
                  <c:v>0.7911224365234375</c:v>
                </c:pt>
                <c:pt idx="396">
                  <c:v>0.794677734375</c:v>
                </c:pt>
                <c:pt idx="397">
                  <c:v>0.7982025146484375</c:v>
                </c:pt>
                <c:pt idx="398">
                  <c:v>0.80169677734375</c:v>
                </c:pt>
                <c:pt idx="399">
                  <c:v>0.8051605224609375</c:v>
                </c:pt>
                <c:pt idx="400">
                  <c:v>0.80859375</c:v>
                </c:pt>
                <c:pt idx="401">
                  <c:v>0.8119964599609375</c:v>
                </c:pt>
                <c:pt idx="402">
                  <c:v>0.81536865234375</c:v>
                </c:pt>
                <c:pt idx="403">
                  <c:v>0.8187103271484375</c:v>
                </c:pt>
                <c:pt idx="404">
                  <c:v>0.822021484375</c:v>
                </c:pt>
                <c:pt idx="405">
                  <c:v>0.8253021240234375</c:v>
                </c:pt>
                <c:pt idx="406">
                  <c:v>0.82855224609375</c:v>
                </c:pt>
                <c:pt idx="407">
                  <c:v>0.8317718505859375</c:v>
                </c:pt>
                <c:pt idx="408">
                  <c:v>0.8349609375</c:v>
                </c:pt>
                <c:pt idx="409">
                  <c:v>0.8381195068359375</c:v>
                </c:pt>
                <c:pt idx="410">
                  <c:v>0.84124755859375</c:v>
                </c:pt>
                <c:pt idx="411">
                  <c:v>0.8443450927734375</c:v>
                </c:pt>
                <c:pt idx="412">
                  <c:v>0.847412109375</c:v>
                </c:pt>
                <c:pt idx="413">
                  <c:v>0.8504486083984375</c:v>
                </c:pt>
                <c:pt idx="414">
                  <c:v>0.85345458984375</c:v>
                </c:pt>
                <c:pt idx="415">
                  <c:v>0.8564300537109375</c:v>
                </c:pt>
                <c:pt idx="416">
                  <c:v>0.859375</c:v>
                </c:pt>
                <c:pt idx="417">
                  <c:v>0.8622894287109375</c:v>
                </c:pt>
                <c:pt idx="418">
                  <c:v>0.86517333984375</c:v>
                </c:pt>
                <c:pt idx="419">
                  <c:v>0.8680267333984375</c:v>
                </c:pt>
                <c:pt idx="420">
                  <c:v>0.870849609375</c:v>
                </c:pt>
                <c:pt idx="421">
                  <c:v>0.8736419677734375</c:v>
                </c:pt>
                <c:pt idx="422">
                  <c:v>0.87640380859375</c:v>
                </c:pt>
                <c:pt idx="423">
                  <c:v>0.8791351318359375</c:v>
                </c:pt>
                <c:pt idx="424">
                  <c:v>0.8818359375</c:v>
                </c:pt>
                <c:pt idx="425">
                  <c:v>0.8845062255859375</c:v>
                </c:pt>
                <c:pt idx="426">
                  <c:v>0.88714599609375</c:v>
                </c:pt>
                <c:pt idx="427">
                  <c:v>0.8897552490234375</c:v>
                </c:pt>
                <c:pt idx="428">
                  <c:v>0.892333984375</c:v>
                </c:pt>
                <c:pt idx="429">
                  <c:v>0.8948822021484375</c:v>
                </c:pt>
                <c:pt idx="430">
                  <c:v>0.89739990234375</c:v>
                </c:pt>
                <c:pt idx="431">
                  <c:v>0.8998870849609375</c:v>
                </c:pt>
                <c:pt idx="432">
                  <c:v>0.90234375</c:v>
                </c:pt>
                <c:pt idx="433">
                  <c:v>0.9047698974609375</c:v>
                </c:pt>
                <c:pt idx="434">
                  <c:v>0.90716552734375</c:v>
                </c:pt>
                <c:pt idx="435">
                  <c:v>0.9095306396484375</c:v>
                </c:pt>
                <c:pt idx="436">
                  <c:v>0.911865234375</c:v>
                </c:pt>
                <c:pt idx="437">
                  <c:v>0.9141693115234375</c:v>
                </c:pt>
                <c:pt idx="438">
                  <c:v>0.91644287109375</c:v>
                </c:pt>
                <c:pt idx="439">
                  <c:v>0.9186859130859375</c:v>
                </c:pt>
                <c:pt idx="440">
                  <c:v>0.9208984375</c:v>
                </c:pt>
                <c:pt idx="441">
                  <c:v>0.9230804443359375</c:v>
                </c:pt>
                <c:pt idx="442">
                  <c:v>0.92523193359375</c:v>
                </c:pt>
                <c:pt idx="443">
                  <c:v>0.9273529052734375</c:v>
                </c:pt>
                <c:pt idx="444">
                  <c:v>0.929443359375</c:v>
                </c:pt>
                <c:pt idx="445">
                  <c:v>0.9315032958984375</c:v>
                </c:pt>
                <c:pt idx="446">
                  <c:v>0.93353271484375</c:v>
                </c:pt>
                <c:pt idx="447">
                  <c:v>0.9355316162109375</c:v>
                </c:pt>
                <c:pt idx="448">
                  <c:v>0.9375</c:v>
                </c:pt>
                <c:pt idx="449">
                  <c:v>0.9394378662109375</c:v>
                </c:pt>
                <c:pt idx="450">
                  <c:v>0.94134521484375</c:v>
                </c:pt>
                <c:pt idx="451">
                  <c:v>0.9432220458984375</c:v>
                </c:pt>
                <c:pt idx="452">
                  <c:v>0.945068359375</c:v>
                </c:pt>
                <c:pt idx="453">
                  <c:v>0.9468841552734375</c:v>
                </c:pt>
                <c:pt idx="454">
                  <c:v>0.94866943359375</c:v>
                </c:pt>
                <c:pt idx="455">
                  <c:v>0.9504241943359375</c:v>
                </c:pt>
                <c:pt idx="456">
                  <c:v>0.9521484375</c:v>
                </c:pt>
                <c:pt idx="457">
                  <c:v>0.9538421630859375</c:v>
                </c:pt>
                <c:pt idx="458">
                  <c:v>0.95550537109375</c:v>
                </c:pt>
                <c:pt idx="459">
                  <c:v>0.9571380615234375</c:v>
                </c:pt>
                <c:pt idx="460">
                  <c:v>0.958740234375</c:v>
                </c:pt>
                <c:pt idx="461">
                  <c:v>0.9603118896484375</c:v>
                </c:pt>
                <c:pt idx="462">
                  <c:v>0.96185302734375</c:v>
                </c:pt>
                <c:pt idx="463">
                  <c:v>0.9633636474609375</c:v>
                </c:pt>
                <c:pt idx="464">
                  <c:v>0.96484375</c:v>
                </c:pt>
                <c:pt idx="465">
                  <c:v>0.9662933349609375</c:v>
                </c:pt>
                <c:pt idx="466">
                  <c:v>0.96771240234375</c:v>
                </c:pt>
                <c:pt idx="467">
                  <c:v>0.9691009521484375</c:v>
                </c:pt>
                <c:pt idx="468">
                  <c:v>0.970458984375</c:v>
                </c:pt>
                <c:pt idx="469">
                  <c:v>0.9717864990234375</c:v>
                </c:pt>
                <c:pt idx="470">
                  <c:v>0.97308349609375</c:v>
                </c:pt>
                <c:pt idx="471">
                  <c:v>0.9743499755859375</c:v>
                </c:pt>
                <c:pt idx="472">
                  <c:v>0.9755859375</c:v>
                </c:pt>
                <c:pt idx="473">
                  <c:v>0.9767913818359375</c:v>
                </c:pt>
                <c:pt idx="474">
                  <c:v>0.97796630859375</c:v>
                </c:pt>
                <c:pt idx="475">
                  <c:v>0.9791107177734375</c:v>
                </c:pt>
                <c:pt idx="476">
                  <c:v>0.980224609375</c:v>
                </c:pt>
                <c:pt idx="477">
                  <c:v>0.9813079833984375</c:v>
                </c:pt>
                <c:pt idx="478">
                  <c:v>0.98236083984375</c:v>
                </c:pt>
                <c:pt idx="479">
                  <c:v>0.9833831787109375</c:v>
                </c:pt>
                <c:pt idx="480">
                  <c:v>0.984375</c:v>
                </c:pt>
                <c:pt idx="481">
                  <c:v>0.9853363037109375</c:v>
                </c:pt>
                <c:pt idx="482">
                  <c:v>0.98626708984375</c:v>
                </c:pt>
                <c:pt idx="483">
                  <c:v>0.9871673583984375</c:v>
                </c:pt>
                <c:pt idx="484">
                  <c:v>0.988037109375</c:v>
                </c:pt>
                <c:pt idx="485">
                  <c:v>0.9888763427734375</c:v>
                </c:pt>
                <c:pt idx="486">
                  <c:v>0.98968505859375</c:v>
                </c:pt>
                <c:pt idx="487">
                  <c:v>0.9904632568359375</c:v>
                </c:pt>
                <c:pt idx="488">
                  <c:v>0.9912109375</c:v>
                </c:pt>
                <c:pt idx="489">
                  <c:v>0.9919281005859375</c:v>
                </c:pt>
                <c:pt idx="490">
                  <c:v>0.99261474609375</c:v>
                </c:pt>
                <c:pt idx="491">
                  <c:v>0.9932708740234375</c:v>
                </c:pt>
                <c:pt idx="492">
                  <c:v>0.993896484375</c:v>
                </c:pt>
                <c:pt idx="493">
                  <c:v>0.9944915771484375</c:v>
                </c:pt>
                <c:pt idx="494">
                  <c:v>0.99505615234375</c:v>
                </c:pt>
                <c:pt idx="495">
                  <c:v>0.9955902099609375</c:v>
                </c:pt>
                <c:pt idx="496">
                  <c:v>0.99609375</c:v>
                </c:pt>
                <c:pt idx="497">
                  <c:v>0.9965667724609375</c:v>
                </c:pt>
                <c:pt idx="498">
                  <c:v>0.99700927734375</c:v>
                </c:pt>
                <c:pt idx="499">
                  <c:v>0.9974212646484375</c:v>
                </c:pt>
                <c:pt idx="500">
                  <c:v>0.997802734375</c:v>
                </c:pt>
                <c:pt idx="501">
                  <c:v>0.9981536865234375</c:v>
                </c:pt>
                <c:pt idx="502">
                  <c:v>0.99847412109375</c:v>
                </c:pt>
                <c:pt idx="503">
                  <c:v>0.9987640380859375</c:v>
                </c:pt>
                <c:pt idx="504">
                  <c:v>0.9990234375</c:v>
                </c:pt>
                <c:pt idx="505">
                  <c:v>0.9992523193359375</c:v>
                </c:pt>
                <c:pt idx="506">
                  <c:v>0.99945068359375</c:v>
                </c:pt>
                <c:pt idx="507">
                  <c:v>0.9996185302734375</c:v>
                </c:pt>
                <c:pt idx="508">
                  <c:v>0.999755859375</c:v>
                </c:pt>
                <c:pt idx="509">
                  <c:v>0.9998626708984375</c:v>
                </c:pt>
                <c:pt idx="510">
                  <c:v>0.99993896484375</c:v>
                </c:pt>
                <c:pt idx="511">
                  <c:v>0.9999847412109375</c:v>
                </c:pt>
                <c:pt idx="512">
                  <c:v>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6946048"/>
        <c:axId val="306947584"/>
      </c:scatterChart>
      <c:valAx>
        <c:axId val="3069460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06947584"/>
        <c:crosses val="autoZero"/>
        <c:crossBetween val="midCat"/>
      </c:valAx>
      <c:valAx>
        <c:axId val="3069475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0694604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xVal>
            <c:numRef>
              <c:f>log_pot_curve!$B$3:$B$130</c:f>
              <c:numCache>
                <c:formatCode>General</c:formatCode>
                <c:ptCount val="128"/>
                <c:pt idx="0">
                  <c:v>0</c:v>
                </c:pt>
                <c:pt idx="1">
                  <c:v>7.8125E-3</c:v>
                </c:pt>
                <c:pt idx="2">
                  <c:v>1.5625E-2</c:v>
                </c:pt>
                <c:pt idx="3">
                  <c:v>2.34375E-2</c:v>
                </c:pt>
                <c:pt idx="4">
                  <c:v>3.125E-2</c:v>
                </c:pt>
                <c:pt idx="5">
                  <c:v>3.90625E-2</c:v>
                </c:pt>
                <c:pt idx="6">
                  <c:v>4.6875E-2</c:v>
                </c:pt>
                <c:pt idx="7">
                  <c:v>5.46875E-2</c:v>
                </c:pt>
                <c:pt idx="8">
                  <c:v>6.25E-2</c:v>
                </c:pt>
                <c:pt idx="9">
                  <c:v>7.03125E-2</c:v>
                </c:pt>
                <c:pt idx="10">
                  <c:v>7.8125E-2</c:v>
                </c:pt>
                <c:pt idx="11">
                  <c:v>8.59375E-2</c:v>
                </c:pt>
                <c:pt idx="12">
                  <c:v>9.375E-2</c:v>
                </c:pt>
                <c:pt idx="13">
                  <c:v>0.1015625</c:v>
                </c:pt>
                <c:pt idx="14">
                  <c:v>0.109375</c:v>
                </c:pt>
                <c:pt idx="15">
                  <c:v>0.1171875</c:v>
                </c:pt>
                <c:pt idx="16">
                  <c:v>0.125</c:v>
                </c:pt>
                <c:pt idx="17">
                  <c:v>0.1328125</c:v>
                </c:pt>
                <c:pt idx="18">
                  <c:v>0.140625</c:v>
                </c:pt>
                <c:pt idx="19">
                  <c:v>0.1484375</c:v>
                </c:pt>
                <c:pt idx="20">
                  <c:v>0.15625</c:v>
                </c:pt>
                <c:pt idx="21">
                  <c:v>0.1640625</c:v>
                </c:pt>
                <c:pt idx="22">
                  <c:v>0.171875</c:v>
                </c:pt>
                <c:pt idx="23">
                  <c:v>0.1796875</c:v>
                </c:pt>
                <c:pt idx="24">
                  <c:v>0.1875</c:v>
                </c:pt>
                <c:pt idx="25">
                  <c:v>0.1953125</c:v>
                </c:pt>
                <c:pt idx="26">
                  <c:v>0.203125</c:v>
                </c:pt>
                <c:pt idx="27">
                  <c:v>0.2109375</c:v>
                </c:pt>
                <c:pt idx="28">
                  <c:v>0.21875</c:v>
                </c:pt>
                <c:pt idx="29">
                  <c:v>0.2265625</c:v>
                </c:pt>
                <c:pt idx="30">
                  <c:v>0.234375</c:v>
                </c:pt>
                <c:pt idx="31">
                  <c:v>0.2421875</c:v>
                </c:pt>
                <c:pt idx="32">
                  <c:v>0.25</c:v>
                </c:pt>
                <c:pt idx="33">
                  <c:v>0.2578125</c:v>
                </c:pt>
                <c:pt idx="34">
                  <c:v>0.265625</c:v>
                </c:pt>
                <c:pt idx="35">
                  <c:v>0.2734375</c:v>
                </c:pt>
                <c:pt idx="36">
                  <c:v>0.28125</c:v>
                </c:pt>
                <c:pt idx="37">
                  <c:v>0.2890625</c:v>
                </c:pt>
                <c:pt idx="38">
                  <c:v>0.296875</c:v>
                </c:pt>
                <c:pt idx="39">
                  <c:v>0.3046875</c:v>
                </c:pt>
                <c:pt idx="40">
                  <c:v>0.3125</c:v>
                </c:pt>
                <c:pt idx="41">
                  <c:v>0.3203125</c:v>
                </c:pt>
                <c:pt idx="42">
                  <c:v>0.328125</c:v>
                </c:pt>
                <c:pt idx="43">
                  <c:v>0.3359375</c:v>
                </c:pt>
                <c:pt idx="44">
                  <c:v>0.34375</c:v>
                </c:pt>
                <c:pt idx="45">
                  <c:v>0.3515625</c:v>
                </c:pt>
                <c:pt idx="46">
                  <c:v>0.359375</c:v>
                </c:pt>
                <c:pt idx="47">
                  <c:v>0.3671875</c:v>
                </c:pt>
                <c:pt idx="48">
                  <c:v>0.375</c:v>
                </c:pt>
                <c:pt idx="49">
                  <c:v>0.3828125</c:v>
                </c:pt>
                <c:pt idx="50">
                  <c:v>0.390625</c:v>
                </c:pt>
                <c:pt idx="51">
                  <c:v>0.3984375</c:v>
                </c:pt>
                <c:pt idx="52">
                  <c:v>0.40625</c:v>
                </c:pt>
                <c:pt idx="53">
                  <c:v>0.4140625</c:v>
                </c:pt>
                <c:pt idx="54">
                  <c:v>0.421875</c:v>
                </c:pt>
                <c:pt idx="55">
                  <c:v>0.4296875</c:v>
                </c:pt>
                <c:pt idx="56">
                  <c:v>0.4375</c:v>
                </c:pt>
                <c:pt idx="57">
                  <c:v>0.4453125</c:v>
                </c:pt>
                <c:pt idx="58">
                  <c:v>0.453125</c:v>
                </c:pt>
                <c:pt idx="59">
                  <c:v>0.4609375</c:v>
                </c:pt>
                <c:pt idx="60">
                  <c:v>0.46875</c:v>
                </c:pt>
                <c:pt idx="61">
                  <c:v>0.4765625</c:v>
                </c:pt>
                <c:pt idx="62">
                  <c:v>0.484375</c:v>
                </c:pt>
                <c:pt idx="63">
                  <c:v>0.4921875</c:v>
                </c:pt>
                <c:pt idx="64">
                  <c:v>0.5</c:v>
                </c:pt>
                <c:pt idx="65">
                  <c:v>0.5078125</c:v>
                </c:pt>
                <c:pt idx="66">
                  <c:v>0.515625</c:v>
                </c:pt>
                <c:pt idx="67">
                  <c:v>0.5234375</c:v>
                </c:pt>
                <c:pt idx="68">
                  <c:v>0.53125</c:v>
                </c:pt>
                <c:pt idx="69">
                  <c:v>0.5390625</c:v>
                </c:pt>
                <c:pt idx="70">
                  <c:v>0.546875</c:v>
                </c:pt>
                <c:pt idx="71">
                  <c:v>0.5546875</c:v>
                </c:pt>
                <c:pt idx="72">
                  <c:v>0.5625</c:v>
                </c:pt>
                <c:pt idx="73">
                  <c:v>0.5703125</c:v>
                </c:pt>
                <c:pt idx="74">
                  <c:v>0.578125</c:v>
                </c:pt>
                <c:pt idx="75">
                  <c:v>0.5859375</c:v>
                </c:pt>
                <c:pt idx="76">
                  <c:v>0.59375</c:v>
                </c:pt>
                <c:pt idx="77">
                  <c:v>0.6015625</c:v>
                </c:pt>
                <c:pt idx="78">
                  <c:v>0.609375</c:v>
                </c:pt>
                <c:pt idx="79">
                  <c:v>0.6171875</c:v>
                </c:pt>
                <c:pt idx="80">
                  <c:v>0.625</c:v>
                </c:pt>
                <c:pt idx="81">
                  <c:v>0.6328125</c:v>
                </c:pt>
                <c:pt idx="82">
                  <c:v>0.640625</c:v>
                </c:pt>
                <c:pt idx="83">
                  <c:v>0.6484375</c:v>
                </c:pt>
                <c:pt idx="84">
                  <c:v>0.65625</c:v>
                </c:pt>
                <c:pt idx="85">
                  <c:v>0.6640625</c:v>
                </c:pt>
                <c:pt idx="86">
                  <c:v>0.671875</c:v>
                </c:pt>
                <c:pt idx="87">
                  <c:v>0.6796875</c:v>
                </c:pt>
                <c:pt idx="88">
                  <c:v>0.6875</c:v>
                </c:pt>
                <c:pt idx="89">
                  <c:v>0.6953125</c:v>
                </c:pt>
                <c:pt idx="90">
                  <c:v>0.703125</c:v>
                </c:pt>
                <c:pt idx="91">
                  <c:v>0.7109375</c:v>
                </c:pt>
                <c:pt idx="92">
                  <c:v>0.71875</c:v>
                </c:pt>
                <c:pt idx="93">
                  <c:v>0.7265625</c:v>
                </c:pt>
                <c:pt idx="94">
                  <c:v>0.734375</c:v>
                </c:pt>
                <c:pt idx="95">
                  <c:v>0.7421875</c:v>
                </c:pt>
                <c:pt idx="96">
                  <c:v>0.75</c:v>
                </c:pt>
                <c:pt idx="97">
                  <c:v>0.7578125</c:v>
                </c:pt>
                <c:pt idx="98">
                  <c:v>0.765625</c:v>
                </c:pt>
                <c:pt idx="99">
                  <c:v>0.7734375</c:v>
                </c:pt>
                <c:pt idx="100">
                  <c:v>0.78125</c:v>
                </c:pt>
                <c:pt idx="101">
                  <c:v>0.7890625</c:v>
                </c:pt>
                <c:pt idx="102">
                  <c:v>0.796875</c:v>
                </c:pt>
                <c:pt idx="103">
                  <c:v>0.8046875</c:v>
                </c:pt>
                <c:pt idx="104">
                  <c:v>0.8125</c:v>
                </c:pt>
                <c:pt idx="105">
                  <c:v>0.8203125</c:v>
                </c:pt>
                <c:pt idx="106">
                  <c:v>0.828125</c:v>
                </c:pt>
                <c:pt idx="107">
                  <c:v>0.8359375</c:v>
                </c:pt>
                <c:pt idx="108">
                  <c:v>0.84375</c:v>
                </c:pt>
                <c:pt idx="109">
                  <c:v>0.8515625</c:v>
                </c:pt>
                <c:pt idx="110">
                  <c:v>0.859375</c:v>
                </c:pt>
                <c:pt idx="111">
                  <c:v>0.8671875</c:v>
                </c:pt>
                <c:pt idx="112">
                  <c:v>0.875</c:v>
                </c:pt>
                <c:pt idx="113">
                  <c:v>0.8828125</c:v>
                </c:pt>
                <c:pt idx="114">
                  <c:v>0.890625</c:v>
                </c:pt>
                <c:pt idx="115">
                  <c:v>0.8984375</c:v>
                </c:pt>
                <c:pt idx="116">
                  <c:v>0.90625</c:v>
                </c:pt>
                <c:pt idx="117">
                  <c:v>0.9140625</c:v>
                </c:pt>
                <c:pt idx="118">
                  <c:v>0.921875</c:v>
                </c:pt>
                <c:pt idx="119">
                  <c:v>0.9296875</c:v>
                </c:pt>
                <c:pt idx="120">
                  <c:v>0.9375</c:v>
                </c:pt>
                <c:pt idx="121">
                  <c:v>0.9453125</c:v>
                </c:pt>
                <c:pt idx="122">
                  <c:v>0.953125</c:v>
                </c:pt>
                <c:pt idx="123">
                  <c:v>0.9609375</c:v>
                </c:pt>
                <c:pt idx="124">
                  <c:v>0.96875</c:v>
                </c:pt>
                <c:pt idx="125">
                  <c:v>0.9765625</c:v>
                </c:pt>
                <c:pt idx="126">
                  <c:v>0.984375</c:v>
                </c:pt>
                <c:pt idx="127">
                  <c:v>0.9921875</c:v>
                </c:pt>
              </c:numCache>
            </c:numRef>
          </c:xVal>
          <c:yVal>
            <c:numRef>
              <c:f>log_pot_curve!$F$3:$F$130</c:f>
              <c:numCache>
                <c:formatCode>General</c:formatCode>
                <c:ptCount val="128"/>
                <c:pt idx="0">
                  <c:v>0</c:v>
                </c:pt>
                <c:pt idx="1">
                  <c:v>2.9985869330036046E-3</c:v>
                </c:pt>
                <c:pt idx="2">
                  <c:v>6.0371361930950818E-3</c:v>
                </c:pt>
                <c:pt idx="3">
                  <c:v>9.1161803603269902E-3</c:v>
                </c:pt>
                <c:pt idx="4">
                  <c:v>1.2236259112474498E-2</c:v>
                </c:pt>
                <c:pt idx="5">
                  <c:v>1.5397919319627021E-2</c:v>
                </c:pt>
                <c:pt idx="6">
                  <c:v>1.8601715140040737E-2</c:v>
                </c:pt>
                <c:pt idx="7">
                  <c:v>2.184820811726821E-2</c:v>
                </c:pt>
                <c:pt idx="8">
                  <c:v>2.5137967278582835E-2</c:v>
                </c:pt>
                <c:pt idx="9">
                  <c:v>2.8471569234714528E-2</c:v>
                </c:pt>
                <c:pt idx="10">
                  <c:v>3.1849598280915117E-2</c:v>
                </c:pt>
                <c:pt idx="11">
                  <c:v>3.5272646499370092E-2</c:v>
                </c:pt>
                <c:pt idx="12">
                  <c:v>3.8741313862975753E-2</c:v>
                </c:pt>
                <c:pt idx="13">
                  <c:v>4.2256208340498945E-2</c:v>
                </c:pt>
                <c:pt idx="14">
                  <c:v>4.5817946003138509E-2</c:v>
                </c:pt>
                <c:pt idx="15">
                  <c:v>4.9427151132506862E-2</c:v>
                </c:pt>
                <c:pt idx="16">
                  <c:v>5.3084456330050579E-2</c:v>
                </c:pt>
                <c:pt idx="17">
                  <c:v>5.6790502627929201E-2</c:v>
                </c:pt>
                <c:pt idx="18">
                  <c:v>6.0545939601371952E-2</c:v>
                </c:pt>
                <c:pt idx="19">
                  <c:v>6.4351425482531505E-2</c:v>
                </c:pt>
                <c:pt idx="20">
                  <c:v>6.8207627275855442E-2</c:v>
                </c:pt>
                <c:pt idx="21">
                  <c:v>7.2115220874994848E-2</c:v>
                </c:pt>
                <c:pt idx="22">
                  <c:v>7.6074891181271434E-2</c:v>
                </c:pt>
                <c:pt idx="23">
                  <c:v>8.0087332223723148E-2</c:v>
                </c:pt>
                <c:pt idx="24">
                  <c:v>8.4153247280749702E-2</c:v>
                </c:pt>
                <c:pt idx="25">
                  <c:v>8.8273349003379381E-2</c:v>
                </c:pt>
                <c:pt idx="26">
                  <c:v>9.2448359540178535E-2</c:v>
                </c:pt>
                <c:pt idx="27">
                  <c:v>9.6679010663825615E-2</c:v>
                </c:pt>
                <c:pt idx="28">
                  <c:v>0.1009660438993726</c:v>
                </c:pt>
                <c:pt idx="29">
                  <c:v>0.10531021065421496</c:v>
                </c:pt>
                <c:pt idx="30">
                  <c:v>0.10971227234979446</c:v>
                </c:pt>
                <c:pt idx="31">
                  <c:v>0.11417300055505684</c:v>
                </c:pt>
                <c:pt idx="32">
                  <c:v>0.11869317712168799</c:v>
                </c:pt>
                <c:pt idx="33">
                  <c:v>0.1232735943211528</c:v>
                </c:pt>
                <c:pt idx="34">
                  <c:v>0.1279150549835599</c:v>
                </c:pt>
                <c:pt idx="35">
                  <c:v>0.13261837263837736</c:v>
                </c:pt>
                <c:pt idx="36">
                  <c:v>0.13738437165702383</c:v>
                </c:pt>
                <c:pt idx="37">
                  <c:v>0.14221388739735921</c:v>
                </c:pt>
                <c:pt idx="38">
                  <c:v>0.1471077663501022</c:v>
                </c:pt>
                <c:pt idx="39">
                  <c:v>0.15206686628719804</c:v>
                </c:pt>
                <c:pt idx="40">
                  <c:v>0.15709205641216425</c:v>
                </c:pt>
                <c:pt idx="41">
                  <c:v>0.16218421751243978</c:v>
                </c:pt>
                <c:pt idx="42">
                  <c:v>0.16734424211376428</c:v>
                </c:pt>
                <c:pt idx="43">
                  <c:v>0.1725730346366155</c:v>
                </c:pt>
                <c:pt idx="44">
                  <c:v>0.17787151155473077</c:v>
                </c:pt>
                <c:pt idx="45">
                  <c:v>0.18324060155574154</c:v>
                </c:pt>
                <c:pt idx="46">
                  <c:v>0.18868124570394851</c:v>
                </c:pt>
                <c:pt idx="47">
                  <c:v>0.19419439760526627</c:v>
                </c:pt>
                <c:pt idx="48">
                  <c:v>0.19978102357436611</c:v>
                </c:pt>
                <c:pt idx="49">
                  <c:v>0.20544210280404604</c:v>
                </c:pt>
                <c:pt idx="50">
                  <c:v>0.21117862753685845</c:v>
                </c:pt>
                <c:pt idx="51">
                  <c:v>0.21699160323902497</c:v>
                </c:pt>
                <c:pt idx="52">
                  <c:v>0.22288204877666867</c:v>
                </c:pt>
                <c:pt idx="53">
                  <c:v>0.22885099659439578</c:v>
                </c:pt>
                <c:pt idx="54">
                  <c:v>0.23489949289625625</c:v>
                </c:pt>
                <c:pt idx="55">
                  <c:v>0.24102859782911704</c:v>
                </c:pt>
                <c:pt idx="56">
                  <c:v>0.2472393856684787</c:v>
                </c:pt>
                <c:pt idx="57">
                  <c:v>0.25353294500676826</c:v>
                </c:pt>
                <c:pt idx="58">
                  <c:v>0.25991037894414171</c:v>
                </c:pt>
                <c:pt idx="59">
                  <c:v>0.26637280528182933</c:v>
                </c:pt>
                <c:pt idx="60">
                  <c:v>0.27292135671805773</c:v>
                </c:pt>
                <c:pt idx="61">
                  <c:v>0.27955718104658306</c:v>
                </c:pt>
                <c:pt idx="62">
                  <c:v>0.28628144135786926</c:v>
                </c:pt>
                <c:pt idx="63">
                  <c:v>0.29309531624294904</c:v>
                </c:pt>
                <c:pt idx="64">
                  <c:v>0.29999999999999993</c:v>
                </c:pt>
                <c:pt idx="65">
                  <c:v>0.30699670284367497</c:v>
                </c:pt>
                <c:pt idx="66">
                  <c:v>0.31408665111722184</c:v>
                </c:pt>
                <c:pt idx="67">
                  <c:v>0.32127108750742961</c:v>
                </c:pt>
                <c:pt idx="68">
                  <c:v>0.32855127126244044</c:v>
                </c:pt>
                <c:pt idx="69">
                  <c:v>0.33592847841246298</c:v>
                </c:pt>
                <c:pt idx="70">
                  <c:v>0.34340400199342824</c:v>
                </c:pt>
                <c:pt idx="71">
                  <c:v>0.35097915227362581</c:v>
                </c:pt>
                <c:pt idx="72">
                  <c:v>0.35865525698335993</c:v>
                </c:pt>
                <c:pt idx="73">
                  <c:v>0.36643366154766727</c:v>
                </c:pt>
                <c:pt idx="74">
                  <c:v>0.37431572932213525</c:v>
                </c:pt>
                <c:pt idx="75">
                  <c:v>0.38230284183186347</c:v>
                </c:pt>
                <c:pt idx="76">
                  <c:v>0.39039639901360995</c:v>
                </c:pt>
                <c:pt idx="77">
                  <c:v>0.39859781946116418</c:v>
                </c:pt>
                <c:pt idx="78">
                  <c:v>0.40690854067398985</c:v>
                </c:pt>
                <c:pt idx="79">
                  <c:v>0.41533001930918262</c:v>
                </c:pt>
                <c:pt idx="80">
                  <c:v>0.42386373143678457</c:v>
                </c:pt>
                <c:pt idx="81">
                  <c:v>0.43251117279850132</c:v>
                </c:pt>
                <c:pt idx="82">
                  <c:v>0.44127385906986794</c:v>
                </c:pt>
                <c:pt idx="83">
                  <c:v>0.45015332612590686</c:v>
                </c:pt>
                <c:pt idx="84">
                  <c:v>0.45915113031032934</c:v>
                </c:pt>
                <c:pt idx="85">
                  <c:v>0.46826884870832119</c:v>
                </c:pt>
                <c:pt idx="86">
                  <c:v>0.47750807942296652</c:v>
                </c:pt>
                <c:pt idx="87">
                  <c:v>0.486870441855354</c:v>
                </c:pt>
                <c:pt idx="88">
                  <c:v>0.49635757698841598</c:v>
                </c:pt>
                <c:pt idx="89">
                  <c:v>0.50597114767455187</c:v>
                </c:pt>
                <c:pt idx="90">
                  <c:v>0.51571283892708308</c:v>
                </c:pt>
                <c:pt idx="91">
                  <c:v>0.52558435821559302</c:v>
                </c:pt>
                <c:pt idx="92">
                  <c:v>0.53558743576520274</c:v>
                </c:pt>
                <c:pt idx="93">
                  <c:v>0.54572382485983495</c:v>
                </c:pt>
                <c:pt idx="94">
                  <c:v>0.55599530214952042</c:v>
                </c:pt>
                <c:pt idx="95">
                  <c:v>0.5664036679617992</c:v>
                </c:pt>
                <c:pt idx="96">
                  <c:v>0.57695074661727197</c:v>
                </c:pt>
                <c:pt idx="97">
                  <c:v>0.58763838674935653</c:v>
                </c:pt>
                <c:pt idx="98">
                  <c:v>0.59846846162830636</c:v>
                </c:pt>
                <c:pt idx="99">
                  <c:v>0.60944286948954729</c:v>
                </c:pt>
                <c:pt idx="100">
                  <c:v>0.62056353386638885</c:v>
                </c:pt>
                <c:pt idx="101">
                  <c:v>0.63183240392717166</c:v>
                </c:pt>
                <c:pt idx="102">
                  <c:v>0.64325145481690527</c:v>
                </c:pt>
                <c:pt idx="103">
                  <c:v>0.65482268800346211</c:v>
                </c:pt>
                <c:pt idx="104">
                  <c:v>0.66654813162838333</c:v>
                </c:pt>
                <c:pt idx="105">
                  <c:v>0.67842984086235925</c:v>
                </c:pt>
                <c:pt idx="106">
                  <c:v>0.69046989826545002</c:v>
                </c:pt>
                <c:pt idx="107">
                  <c:v>0.70267041415210285</c:v>
                </c:pt>
                <c:pt idx="108">
                  <c:v>0.7150335269610385</c:v>
                </c:pt>
                <c:pt idx="109">
                  <c:v>0.72756140363006361</c:v>
                </c:pt>
                <c:pt idx="110">
                  <c:v>0.74025623997587964</c:v>
                </c:pt>
                <c:pt idx="111">
                  <c:v>0.75312026107895469</c:v>
                </c:pt>
                <c:pt idx="112">
                  <c:v>0.76615572167352097</c:v>
                </c:pt>
                <c:pt idx="113">
                  <c:v>0.77936490654277413</c:v>
                </c:pt>
                <c:pt idx="114">
                  <c:v>0.79275013091933644</c:v>
                </c:pt>
                <c:pt idx="115">
                  <c:v>0.80631374089105801</c:v>
                </c:pt>
                <c:pt idx="116">
                  <c:v>0.82005811381222715</c:v>
                </c:pt>
                <c:pt idx="117">
                  <c:v>0.83398565872025687</c:v>
                </c:pt>
                <c:pt idx="118">
                  <c:v>0.8480988167579312</c:v>
                </c:pt>
                <c:pt idx="119">
                  <c:v>0.86240006160127314</c:v>
                </c:pt>
                <c:pt idx="120">
                  <c:v>0.87689189989311689</c:v>
                </c:pt>
                <c:pt idx="121">
                  <c:v>0.89157687168245936</c:v>
                </c:pt>
                <c:pt idx="122">
                  <c:v>0.90645755086966384</c:v>
                </c:pt>
                <c:pt idx="123">
                  <c:v>0.92153654565760168</c:v>
                </c:pt>
                <c:pt idx="124">
                  <c:v>0.93681649900880148</c:v>
                </c:pt>
                <c:pt idx="125">
                  <c:v>0.95230008910869346</c:v>
                </c:pt>
                <c:pt idx="126">
                  <c:v>0.96799002983502835</c:v>
                </c:pt>
                <c:pt idx="127">
                  <c:v>0.98388907123354763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7054080"/>
        <c:axId val="307055616"/>
      </c:scatterChart>
      <c:valAx>
        <c:axId val="307054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07055616"/>
        <c:crosses val="autoZero"/>
        <c:crossBetween val="midCat"/>
      </c:valAx>
      <c:valAx>
        <c:axId val="3070556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0705408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4" Type="http://schemas.openxmlformats.org/officeDocument/2006/relationships/chart" Target="../charts/chart11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9.xml"/><Relationship Id="rId13" Type="http://schemas.openxmlformats.org/officeDocument/2006/relationships/chart" Target="../charts/chart24.xml"/><Relationship Id="rId18" Type="http://schemas.openxmlformats.org/officeDocument/2006/relationships/chart" Target="../charts/chart29.xml"/><Relationship Id="rId26" Type="http://schemas.openxmlformats.org/officeDocument/2006/relationships/chart" Target="../charts/chart37.xml"/><Relationship Id="rId3" Type="http://schemas.openxmlformats.org/officeDocument/2006/relationships/chart" Target="../charts/chart14.xml"/><Relationship Id="rId21" Type="http://schemas.openxmlformats.org/officeDocument/2006/relationships/chart" Target="../charts/chart32.xml"/><Relationship Id="rId34" Type="http://schemas.openxmlformats.org/officeDocument/2006/relationships/chart" Target="../charts/chart45.xml"/><Relationship Id="rId7" Type="http://schemas.openxmlformats.org/officeDocument/2006/relationships/chart" Target="../charts/chart18.xml"/><Relationship Id="rId12" Type="http://schemas.openxmlformats.org/officeDocument/2006/relationships/chart" Target="../charts/chart23.xml"/><Relationship Id="rId17" Type="http://schemas.openxmlformats.org/officeDocument/2006/relationships/chart" Target="../charts/chart28.xml"/><Relationship Id="rId25" Type="http://schemas.openxmlformats.org/officeDocument/2006/relationships/chart" Target="../charts/chart36.xml"/><Relationship Id="rId33" Type="http://schemas.openxmlformats.org/officeDocument/2006/relationships/chart" Target="../charts/chart44.xml"/><Relationship Id="rId2" Type="http://schemas.openxmlformats.org/officeDocument/2006/relationships/chart" Target="../charts/chart13.xml"/><Relationship Id="rId16" Type="http://schemas.openxmlformats.org/officeDocument/2006/relationships/chart" Target="../charts/chart27.xml"/><Relationship Id="rId20" Type="http://schemas.openxmlformats.org/officeDocument/2006/relationships/chart" Target="../charts/chart31.xml"/><Relationship Id="rId29" Type="http://schemas.openxmlformats.org/officeDocument/2006/relationships/chart" Target="../charts/chart40.xml"/><Relationship Id="rId1" Type="http://schemas.openxmlformats.org/officeDocument/2006/relationships/chart" Target="../charts/chart12.xml"/><Relationship Id="rId6" Type="http://schemas.openxmlformats.org/officeDocument/2006/relationships/chart" Target="../charts/chart17.xml"/><Relationship Id="rId11" Type="http://schemas.openxmlformats.org/officeDocument/2006/relationships/chart" Target="../charts/chart22.xml"/><Relationship Id="rId24" Type="http://schemas.openxmlformats.org/officeDocument/2006/relationships/chart" Target="../charts/chart35.xml"/><Relationship Id="rId32" Type="http://schemas.openxmlformats.org/officeDocument/2006/relationships/chart" Target="../charts/chart43.xml"/><Relationship Id="rId5" Type="http://schemas.openxmlformats.org/officeDocument/2006/relationships/chart" Target="../charts/chart16.xml"/><Relationship Id="rId15" Type="http://schemas.openxmlformats.org/officeDocument/2006/relationships/chart" Target="../charts/chart26.xml"/><Relationship Id="rId23" Type="http://schemas.openxmlformats.org/officeDocument/2006/relationships/chart" Target="../charts/chart34.xml"/><Relationship Id="rId28" Type="http://schemas.openxmlformats.org/officeDocument/2006/relationships/chart" Target="../charts/chart39.xml"/><Relationship Id="rId36" Type="http://schemas.openxmlformats.org/officeDocument/2006/relationships/chart" Target="../charts/chart47.xml"/><Relationship Id="rId10" Type="http://schemas.openxmlformats.org/officeDocument/2006/relationships/chart" Target="../charts/chart21.xml"/><Relationship Id="rId19" Type="http://schemas.openxmlformats.org/officeDocument/2006/relationships/chart" Target="../charts/chart30.xml"/><Relationship Id="rId31" Type="http://schemas.openxmlformats.org/officeDocument/2006/relationships/chart" Target="../charts/chart42.xml"/><Relationship Id="rId4" Type="http://schemas.openxmlformats.org/officeDocument/2006/relationships/chart" Target="../charts/chart15.xml"/><Relationship Id="rId9" Type="http://schemas.openxmlformats.org/officeDocument/2006/relationships/chart" Target="../charts/chart20.xml"/><Relationship Id="rId14" Type="http://schemas.openxmlformats.org/officeDocument/2006/relationships/chart" Target="../charts/chart25.xml"/><Relationship Id="rId22" Type="http://schemas.openxmlformats.org/officeDocument/2006/relationships/chart" Target="../charts/chart33.xml"/><Relationship Id="rId27" Type="http://schemas.openxmlformats.org/officeDocument/2006/relationships/chart" Target="../charts/chart38.xml"/><Relationship Id="rId30" Type="http://schemas.openxmlformats.org/officeDocument/2006/relationships/chart" Target="../charts/chart41.xml"/><Relationship Id="rId35" Type="http://schemas.openxmlformats.org/officeDocument/2006/relationships/chart" Target="../charts/chart46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5.xml"/><Relationship Id="rId13" Type="http://schemas.openxmlformats.org/officeDocument/2006/relationships/chart" Target="../charts/chart60.xml"/><Relationship Id="rId18" Type="http://schemas.openxmlformats.org/officeDocument/2006/relationships/chart" Target="../charts/chart65.xml"/><Relationship Id="rId26" Type="http://schemas.openxmlformats.org/officeDocument/2006/relationships/chart" Target="../charts/chart73.xml"/><Relationship Id="rId3" Type="http://schemas.openxmlformats.org/officeDocument/2006/relationships/chart" Target="../charts/chart50.xml"/><Relationship Id="rId21" Type="http://schemas.openxmlformats.org/officeDocument/2006/relationships/chart" Target="../charts/chart68.xml"/><Relationship Id="rId7" Type="http://schemas.openxmlformats.org/officeDocument/2006/relationships/chart" Target="../charts/chart54.xml"/><Relationship Id="rId12" Type="http://schemas.openxmlformats.org/officeDocument/2006/relationships/chart" Target="../charts/chart59.xml"/><Relationship Id="rId17" Type="http://schemas.openxmlformats.org/officeDocument/2006/relationships/chart" Target="../charts/chart64.xml"/><Relationship Id="rId25" Type="http://schemas.openxmlformats.org/officeDocument/2006/relationships/chart" Target="../charts/chart72.xml"/><Relationship Id="rId2" Type="http://schemas.openxmlformats.org/officeDocument/2006/relationships/chart" Target="../charts/chart49.xml"/><Relationship Id="rId16" Type="http://schemas.openxmlformats.org/officeDocument/2006/relationships/chart" Target="../charts/chart63.xml"/><Relationship Id="rId20" Type="http://schemas.openxmlformats.org/officeDocument/2006/relationships/chart" Target="../charts/chart67.xml"/><Relationship Id="rId1" Type="http://schemas.openxmlformats.org/officeDocument/2006/relationships/chart" Target="../charts/chart48.xml"/><Relationship Id="rId6" Type="http://schemas.openxmlformats.org/officeDocument/2006/relationships/chart" Target="../charts/chart53.xml"/><Relationship Id="rId11" Type="http://schemas.openxmlformats.org/officeDocument/2006/relationships/chart" Target="../charts/chart58.xml"/><Relationship Id="rId24" Type="http://schemas.openxmlformats.org/officeDocument/2006/relationships/chart" Target="../charts/chart71.xml"/><Relationship Id="rId5" Type="http://schemas.openxmlformats.org/officeDocument/2006/relationships/chart" Target="../charts/chart52.xml"/><Relationship Id="rId15" Type="http://schemas.openxmlformats.org/officeDocument/2006/relationships/chart" Target="../charts/chart62.xml"/><Relationship Id="rId23" Type="http://schemas.openxmlformats.org/officeDocument/2006/relationships/chart" Target="../charts/chart70.xml"/><Relationship Id="rId28" Type="http://schemas.openxmlformats.org/officeDocument/2006/relationships/chart" Target="../charts/chart75.xml"/><Relationship Id="rId10" Type="http://schemas.openxmlformats.org/officeDocument/2006/relationships/chart" Target="../charts/chart57.xml"/><Relationship Id="rId19" Type="http://schemas.openxmlformats.org/officeDocument/2006/relationships/chart" Target="../charts/chart66.xml"/><Relationship Id="rId4" Type="http://schemas.openxmlformats.org/officeDocument/2006/relationships/chart" Target="../charts/chart51.xml"/><Relationship Id="rId9" Type="http://schemas.openxmlformats.org/officeDocument/2006/relationships/chart" Target="../charts/chart56.xml"/><Relationship Id="rId14" Type="http://schemas.openxmlformats.org/officeDocument/2006/relationships/chart" Target="../charts/chart61.xml"/><Relationship Id="rId22" Type="http://schemas.openxmlformats.org/officeDocument/2006/relationships/chart" Target="../charts/chart69.xml"/><Relationship Id="rId27" Type="http://schemas.openxmlformats.org/officeDocument/2006/relationships/chart" Target="../charts/chart74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3.xml"/><Relationship Id="rId3" Type="http://schemas.openxmlformats.org/officeDocument/2006/relationships/chart" Target="../charts/chart78.xml"/><Relationship Id="rId7" Type="http://schemas.openxmlformats.org/officeDocument/2006/relationships/chart" Target="../charts/chart82.xml"/><Relationship Id="rId2" Type="http://schemas.openxmlformats.org/officeDocument/2006/relationships/chart" Target="../charts/chart77.xml"/><Relationship Id="rId1" Type="http://schemas.openxmlformats.org/officeDocument/2006/relationships/chart" Target="../charts/chart76.xml"/><Relationship Id="rId6" Type="http://schemas.openxmlformats.org/officeDocument/2006/relationships/chart" Target="../charts/chart81.xml"/><Relationship Id="rId5" Type="http://schemas.openxmlformats.org/officeDocument/2006/relationships/chart" Target="../charts/chart80.xml"/><Relationship Id="rId4" Type="http://schemas.openxmlformats.org/officeDocument/2006/relationships/chart" Target="../charts/chart79.xml"/><Relationship Id="rId9" Type="http://schemas.openxmlformats.org/officeDocument/2006/relationships/chart" Target="../charts/chart84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7.xml"/><Relationship Id="rId2" Type="http://schemas.openxmlformats.org/officeDocument/2006/relationships/chart" Target="../charts/chart86.xml"/><Relationship Id="rId1" Type="http://schemas.openxmlformats.org/officeDocument/2006/relationships/chart" Target="../charts/chart85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1.xml"/><Relationship Id="rId2" Type="http://schemas.openxmlformats.org/officeDocument/2006/relationships/chart" Target="../charts/chart90.xml"/><Relationship Id="rId1" Type="http://schemas.openxmlformats.org/officeDocument/2006/relationships/chart" Target="../charts/chart89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3.xml"/><Relationship Id="rId1" Type="http://schemas.openxmlformats.org/officeDocument/2006/relationships/chart" Target="../charts/chart9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4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5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6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0</xdr:row>
      <xdr:rowOff>38100</xdr:rowOff>
    </xdr:from>
    <xdr:to>
      <xdr:col>20</xdr:col>
      <xdr:colOff>304800</xdr:colOff>
      <xdr:row>17</xdr:row>
      <xdr:rowOff>19050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571500</xdr:colOff>
      <xdr:row>18</xdr:row>
      <xdr:rowOff>95250</xdr:rowOff>
    </xdr:from>
    <xdr:to>
      <xdr:col>20</xdr:col>
      <xdr:colOff>266700</xdr:colOff>
      <xdr:row>33</xdr:row>
      <xdr:rowOff>76200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539750</xdr:colOff>
      <xdr:row>50</xdr:row>
      <xdr:rowOff>146050</xdr:rowOff>
    </xdr:from>
    <xdr:to>
      <xdr:col>20</xdr:col>
      <xdr:colOff>234950</xdr:colOff>
      <xdr:row>65</xdr:row>
      <xdr:rowOff>127000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0</xdr:colOff>
      <xdr:row>34</xdr:row>
      <xdr:rowOff>0</xdr:rowOff>
    </xdr:from>
    <xdr:to>
      <xdr:col>20</xdr:col>
      <xdr:colOff>304800</xdr:colOff>
      <xdr:row>49</xdr:row>
      <xdr:rowOff>165100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454025</xdr:colOff>
      <xdr:row>13</xdr:row>
      <xdr:rowOff>98425</xdr:rowOff>
    </xdr:from>
    <xdr:to>
      <xdr:col>28</xdr:col>
      <xdr:colOff>149225</xdr:colOff>
      <xdr:row>28</xdr:row>
      <xdr:rowOff>79375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288925</xdr:colOff>
      <xdr:row>30</xdr:row>
      <xdr:rowOff>3175</xdr:rowOff>
    </xdr:from>
    <xdr:to>
      <xdr:col>28</xdr:col>
      <xdr:colOff>593725</xdr:colOff>
      <xdr:row>45</xdr:row>
      <xdr:rowOff>168275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53974</xdr:colOff>
      <xdr:row>55</xdr:row>
      <xdr:rowOff>104774</xdr:rowOff>
    </xdr:from>
    <xdr:to>
      <xdr:col>9</xdr:col>
      <xdr:colOff>19049</xdr:colOff>
      <xdr:row>75</xdr:row>
      <xdr:rowOff>69849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69850</xdr:colOff>
      <xdr:row>0</xdr:row>
      <xdr:rowOff>76200</xdr:rowOff>
    </xdr:from>
    <xdr:to>
      <xdr:col>12</xdr:col>
      <xdr:colOff>374650</xdr:colOff>
      <xdr:row>17</xdr:row>
      <xdr:rowOff>57150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215900</xdr:colOff>
      <xdr:row>18</xdr:row>
      <xdr:rowOff>63500</xdr:rowOff>
    </xdr:from>
    <xdr:to>
      <xdr:col>11</xdr:col>
      <xdr:colOff>520700</xdr:colOff>
      <xdr:row>33</xdr:row>
      <xdr:rowOff>44450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139700</xdr:colOff>
      <xdr:row>50</xdr:row>
      <xdr:rowOff>76200</xdr:rowOff>
    </xdr:from>
    <xdr:to>
      <xdr:col>11</xdr:col>
      <xdr:colOff>444500</xdr:colOff>
      <xdr:row>65</xdr:row>
      <xdr:rowOff>57150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25400</xdr:colOff>
      <xdr:row>33</xdr:row>
      <xdr:rowOff>165100</xdr:rowOff>
    </xdr:from>
    <xdr:to>
      <xdr:col>11</xdr:col>
      <xdr:colOff>330200</xdr:colOff>
      <xdr:row>48</xdr:row>
      <xdr:rowOff>146050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485775</xdr:colOff>
      <xdr:row>14</xdr:row>
      <xdr:rowOff>50799</xdr:rowOff>
    </xdr:from>
    <xdr:to>
      <xdr:col>42</xdr:col>
      <xdr:colOff>1044762</xdr:colOff>
      <xdr:row>45</xdr:row>
      <xdr:rowOff>60138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3735</xdr:colOff>
      <xdr:row>94</xdr:row>
      <xdr:rowOff>36605</xdr:rowOff>
    </xdr:from>
    <xdr:to>
      <xdr:col>35</xdr:col>
      <xdr:colOff>821764</xdr:colOff>
      <xdr:row>117</xdr:row>
      <xdr:rowOff>119529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197970</xdr:colOff>
      <xdr:row>135</xdr:row>
      <xdr:rowOff>156136</xdr:rowOff>
    </xdr:from>
    <xdr:to>
      <xdr:col>17</xdr:col>
      <xdr:colOff>481851</xdr:colOff>
      <xdr:row>150</xdr:row>
      <xdr:rowOff>97865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28</xdr:col>
      <xdr:colOff>52300</xdr:colOff>
      <xdr:row>119</xdr:row>
      <xdr:rowOff>156136</xdr:rowOff>
    </xdr:from>
    <xdr:to>
      <xdr:col>33</xdr:col>
      <xdr:colOff>627536</xdr:colOff>
      <xdr:row>134</xdr:row>
      <xdr:rowOff>97865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28</xdr:col>
      <xdr:colOff>47625</xdr:colOff>
      <xdr:row>135</xdr:row>
      <xdr:rowOff>184150</xdr:rowOff>
    </xdr:from>
    <xdr:to>
      <xdr:col>33</xdr:col>
      <xdr:colOff>635000</xdr:colOff>
      <xdr:row>150</xdr:row>
      <xdr:rowOff>69850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27</xdr:col>
      <xdr:colOff>603251</xdr:colOff>
      <xdr:row>151</xdr:row>
      <xdr:rowOff>88900</xdr:rowOff>
    </xdr:from>
    <xdr:to>
      <xdr:col>33</xdr:col>
      <xdr:colOff>576036</xdr:colOff>
      <xdr:row>166</xdr:row>
      <xdr:rowOff>110671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20</xdr:col>
      <xdr:colOff>412750</xdr:colOff>
      <xdr:row>136</xdr:row>
      <xdr:rowOff>107042</xdr:rowOff>
    </xdr:from>
    <xdr:to>
      <xdr:col>27</xdr:col>
      <xdr:colOff>467179</xdr:colOff>
      <xdr:row>151</xdr:row>
      <xdr:rowOff>128814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20</xdr:col>
      <xdr:colOff>303892</xdr:colOff>
      <xdr:row>152</xdr:row>
      <xdr:rowOff>88900</xdr:rowOff>
    </xdr:from>
    <xdr:to>
      <xdr:col>27</xdr:col>
      <xdr:colOff>358321</xdr:colOff>
      <xdr:row>167</xdr:row>
      <xdr:rowOff>110672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20</xdr:col>
      <xdr:colOff>258537</xdr:colOff>
      <xdr:row>168</xdr:row>
      <xdr:rowOff>88901</xdr:rowOff>
    </xdr:from>
    <xdr:to>
      <xdr:col>27</xdr:col>
      <xdr:colOff>312966</xdr:colOff>
      <xdr:row>183</xdr:row>
      <xdr:rowOff>110672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33</xdr:col>
      <xdr:colOff>791616</xdr:colOff>
      <xdr:row>119</xdr:row>
      <xdr:rowOff>87298</xdr:rowOff>
    </xdr:from>
    <xdr:to>
      <xdr:col>39</xdr:col>
      <xdr:colOff>211045</xdr:colOff>
      <xdr:row>134</xdr:row>
      <xdr:rowOff>109069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22</xdr:col>
      <xdr:colOff>576822</xdr:colOff>
      <xdr:row>183</xdr:row>
      <xdr:rowOff>137411</xdr:rowOff>
    </xdr:from>
    <xdr:to>
      <xdr:col>29</xdr:col>
      <xdr:colOff>250252</xdr:colOff>
      <xdr:row>198</xdr:row>
      <xdr:rowOff>159182</xdr:rowOff>
    </xdr:to>
    <xdr:graphicFrame macro="">
      <xdr:nvGraphicFramePr>
        <xdr:cNvPr id="14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8</xdr:col>
      <xdr:colOff>548821</xdr:colOff>
      <xdr:row>150</xdr:row>
      <xdr:rowOff>179612</xdr:rowOff>
    </xdr:from>
    <xdr:to>
      <xdr:col>15</xdr:col>
      <xdr:colOff>603250</xdr:colOff>
      <xdr:row>166</xdr:row>
      <xdr:rowOff>19955</xdr:rowOff>
    </xdr:to>
    <xdr:graphicFrame macro="">
      <xdr:nvGraphicFramePr>
        <xdr:cNvPr id="16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5</xdr:col>
      <xdr:colOff>374329</xdr:colOff>
      <xdr:row>166</xdr:row>
      <xdr:rowOff>55284</xdr:rowOff>
    </xdr:from>
    <xdr:to>
      <xdr:col>12</xdr:col>
      <xdr:colOff>691829</xdr:colOff>
      <xdr:row>181</xdr:row>
      <xdr:rowOff>77055</xdr:rowOff>
    </xdr:to>
    <xdr:graphicFrame macro="">
      <xdr:nvGraphicFramePr>
        <xdr:cNvPr id="17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12</xdr:col>
      <xdr:colOff>621393</xdr:colOff>
      <xdr:row>167</xdr:row>
      <xdr:rowOff>161472</xdr:rowOff>
    </xdr:from>
    <xdr:to>
      <xdr:col>20</xdr:col>
      <xdr:colOff>68036</xdr:colOff>
      <xdr:row>183</xdr:row>
      <xdr:rowOff>1814</xdr:rowOff>
    </xdr:to>
    <xdr:graphicFrame macro="">
      <xdr:nvGraphicFramePr>
        <xdr:cNvPr id="19" name="Chart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33</xdr:col>
      <xdr:colOff>213178</xdr:colOff>
      <xdr:row>78</xdr:row>
      <xdr:rowOff>143329</xdr:rowOff>
    </xdr:from>
    <xdr:to>
      <xdr:col>38</xdr:col>
      <xdr:colOff>340178</xdr:colOff>
      <xdr:row>93</xdr:row>
      <xdr:rowOff>165101</xdr:rowOff>
    </xdr:to>
    <xdr:graphicFrame macro="">
      <xdr:nvGraphicFramePr>
        <xdr:cNvPr id="21" name="Chart 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33</xdr:col>
      <xdr:colOff>185966</xdr:colOff>
      <xdr:row>63</xdr:row>
      <xdr:rowOff>88900</xdr:rowOff>
    </xdr:from>
    <xdr:to>
      <xdr:col>38</xdr:col>
      <xdr:colOff>312966</xdr:colOff>
      <xdr:row>78</xdr:row>
      <xdr:rowOff>110671</xdr:rowOff>
    </xdr:to>
    <xdr:graphicFrame macro="">
      <xdr:nvGraphicFramePr>
        <xdr:cNvPr id="22" name="Chart 2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33</xdr:col>
      <xdr:colOff>439963</xdr:colOff>
      <xdr:row>47</xdr:row>
      <xdr:rowOff>70757</xdr:rowOff>
    </xdr:from>
    <xdr:to>
      <xdr:col>38</xdr:col>
      <xdr:colOff>566963</xdr:colOff>
      <xdr:row>62</xdr:row>
      <xdr:rowOff>92529</xdr:rowOff>
    </xdr:to>
    <xdr:graphicFrame macro="">
      <xdr:nvGraphicFramePr>
        <xdr:cNvPr id="23" name="Chart 2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27</xdr:col>
      <xdr:colOff>77108</xdr:colOff>
      <xdr:row>78</xdr:row>
      <xdr:rowOff>16328</xdr:rowOff>
    </xdr:from>
    <xdr:to>
      <xdr:col>33</xdr:col>
      <xdr:colOff>49893</xdr:colOff>
      <xdr:row>93</xdr:row>
      <xdr:rowOff>38100</xdr:rowOff>
    </xdr:to>
    <xdr:graphicFrame macro="">
      <xdr:nvGraphicFramePr>
        <xdr:cNvPr id="24" name="Chart 2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27</xdr:col>
      <xdr:colOff>104322</xdr:colOff>
      <xdr:row>62</xdr:row>
      <xdr:rowOff>107043</xdr:rowOff>
    </xdr:from>
    <xdr:to>
      <xdr:col>33</xdr:col>
      <xdr:colOff>77107</xdr:colOff>
      <xdr:row>77</xdr:row>
      <xdr:rowOff>128814</xdr:rowOff>
    </xdr:to>
    <xdr:graphicFrame macro="">
      <xdr:nvGraphicFramePr>
        <xdr:cNvPr id="25" name="Chart 2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27</xdr:col>
      <xdr:colOff>231322</xdr:colOff>
      <xdr:row>47</xdr:row>
      <xdr:rowOff>25400</xdr:rowOff>
    </xdr:from>
    <xdr:to>
      <xdr:col>33</xdr:col>
      <xdr:colOff>204107</xdr:colOff>
      <xdr:row>62</xdr:row>
      <xdr:rowOff>47172</xdr:rowOff>
    </xdr:to>
    <xdr:graphicFrame macro="">
      <xdr:nvGraphicFramePr>
        <xdr:cNvPr id="26" name="Chart 2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38</xdr:col>
      <xdr:colOff>666750</xdr:colOff>
      <xdr:row>47</xdr:row>
      <xdr:rowOff>107042</xdr:rowOff>
    </xdr:from>
    <xdr:to>
      <xdr:col>45</xdr:col>
      <xdr:colOff>594179</xdr:colOff>
      <xdr:row>62</xdr:row>
      <xdr:rowOff>128814</xdr:rowOff>
    </xdr:to>
    <xdr:graphicFrame macro="">
      <xdr:nvGraphicFramePr>
        <xdr:cNvPr id="27" name="Chart 2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43</xdr:col>
      <xdr:colOff>195036</xdr:colOff>
      <xdr:row>67</xdr:row>
      <xdr:rowOff>7258</xdr:rowOff>
    </xdr:from>
    <xdr:to>
      <xdr:col>50</xdr:col>
      <xdr:colOff>512536</xdr:colOff>
      <xdr:row>82</xdr:row>
      <xdr:rowOff>29029</xdr:rowOff>
    </xdr:to>
    <xdr:graphicFrame macro="">
      <xdr:nvGraphicFramePr>
        <xdr:cNvPr id="28" name="Chart 2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39</xdr:col>
      <xdr:colOff>358322</xdr:colOff>
      <xdr:row>83</xdr:row>
      <xdr:rowOff>7257</xdr:rowOff>
    </xdr:from>
    <xdr:to>
      <xdr:col>45</xdr:col>
      <xdr:colOff>385536</xdr:colOff>
      <xdr:row>98</xdr:row>
      <xdr:rowOff>29028</xdr:rowOff>
    </xdr:to>
    <xdr:graphicFrame macro="">
      <xdr:nvGraphicFramePr>
        <xdr:cNvPr id="29" name="Chart 2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45</xdr:col>
      <xdr:colOff>512536</xdr:colOff>
      <xdr:row>82</xdr:row>
      <xdr:rowOff>179614</xdr:rowOff>
    </xdr:from>
    <xdr:to>
      <xdr:col>53</xdr:col>
      <xdr:colOff>222250</xdr:colOff>
      <xdr:row>98</xdr:row>
      <xdr:rowOff>19957</xdr:rowOff>
    </xdr:to>
    <xdr:graphicFrame macro="">
      <xdr:nvGraphicFramePr>
        <xdr:cNvPr id="30" name="Chart 2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43</xdr:col>
      <xdr:colOff>340179</xdr:colOff>
      <xdr:row>31</xdr:row>
      <xdr:rowOff>16328</xdr:rowOff>
    </xdr:from>
    <xdr:to>
      <xdr:col>51</xdr:col>
      <xdr:colOff>49893</xdr:colOff>
      <xdr:row>46</xdr:row>
      <xdr:rowOff>38100</xdr:rowOff>
    </xdr:to>
    <xdr:graphicFrame macro="">
      <xdr:nvGraphicFramePr>
        <xdr:cNvPr id="31" name="Chart 3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43</xdr:col>
      <xdr:colOff>394608</xdr:colOff>
      <xdr:row>15</xdr:row>
      <xdr:rowOff>125184</xdr:rowOff>
    </xdr:from>
    <xdr:to>
      <xdr:col>51</xdr:col>
      <xdr:colOff>104322</xdr:colOff>
      <xdr:row>30</xdr:row>
      <xdr:rowOff>146956</xdr:rowOff>
    </xdr:to>
    <xdr:graphicFrame macro="">
      <xdr:nvGraphicFramePr>
        <xdr:cNvPr id="32" name="Chart 3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43</xdr:col>
      <xdr:colOff>430894</xdr:colOff>
      <xdr:row>1</xdr:row>
      <xdr:rowOff>116113</xdr:rowOff>
    </xdr:from>
    <xdr:to>
      <xdr:col>51</xdr:col>
      <xdr:colOff>140608</xdr:colOff>
      <xdr:row>15</xdr:row>
      <xdr:rowOff>128813</xdr:rowOff>
    </xdr:to>
    <xdr:graphicFrame macro="">
      <xdr:nvGraphicFramePr>
        <xdr:cNvPr id="33" name="Chart 3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51</xdr:col>
      <xdr:colOff>213178</xdr:colOff>
      <xdr:row>1</xdr:row>
      <xdr:rowOff>79828</xdr:rowOff>
    </xdr:from>
    <xdr:to>
      <xdr:col>58</xdr:col>
      <xdr:colOff>530678</xdr:colOff>
      <xdr:row>15</xdr:row>
      <xdr:rowOff>92528</xdr:rowOff>
    </xdr:to>
    <xdr:graphicFrame macro="">
      <xdr:nvGraphicFramePr>
        <xdr:cNvPr id="34" name="Chart 3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51</xdr:col>
      <xdr:colOff>204107</xdr:colOff>
      <xdr:row>15</xdr:row>
      <xdr:rowOff>161471</xdr:rowOff>
    </xdr:from>
    <xdr:to>
      <xdr:col>58</xdr:col>
      <xdr:colOff>521607</xdr:colOff>
      <xdr:row>31</xdr:row>
      <xdr:rowOff>1814</xdr:rowOff>
    </xdr:to>
    <xdr:graphicFrame macro="">
      <xdr:nvGraphicFramePr>
        <xdr:cNvPr id="35" name="Chart 3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51</xdr:col>
      <xdr:colOff>158750</xdr:colOff>
      <xdr:row>31</xdr:row>
      <xdr:rowOff>43542</xdr:rowOff>
    </xdr:from>
    <xdr:to>
      <xdr:col>58</xdr:col>
      <xdr:colOff>476250</xdr:colOff>
      <xdr:row>46</xdr:row>
      <xdr:rowOff>65314</xdr:rowOff>
    </xdr:to>
    <xdr:graphicFrame macro="">
      <xdr:nvGraphicFramePr>
        <xdr:cNvPr id="36" name="Chart 3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51</xdr:col>
      <xdr:colOff>160618</xdr:colOff>
      <xdr:row>46</xdr:row>
      <xdr:rowOff>111312</xdr:rowOff>
    </xdr:from>
    <xdr:to>
      <xdr:col>58</xdr:col>
      <xdr:colOff>444500</xdr:colOff>
      <xdr:row>61</xdr:row>
      <xdr:rowOff>53042</xdr:rowOff>
    </xdr:to>
    <xdr:graphicFrame macro="">
      <xdr:nvGraphicFramePr>
        <xdr:cNvPr id="38" name="Chart 3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59</xdr:col>
      <xdr:colOff>175559</xdr:colOff>
      <xdr:row>45</xdr:row>
      <xdr:rowOff>178547</xdr:rowOff>
    </xdr:from>
    <xdr:to>
      <xdr:col>66</xdr:col>
      <xdr:colOff>459441</xdr:colOff>
      <xdr:row>60</xdr:row>
      <xdr:rowOff>120277</xdr:rowOff>
    </xdr:to>
    <xdr:graphicFrame macro="">
      <xdr:nvGraphicFramePr>
        <xdr:cNvPr id="39" name="Chart 3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51</xdr:col>
      <xdr:colOff>242794</xdr:colOff>
      <xdr:row>61</xdr:row>
      <xdr:rowOff>103841</xdr:rowOff>
    </xdr:from>
    <xdr:to>
      <xdr:col>58</xdr:col>
      <xdr:colOff>526676</xdr:colOff>
      <xdr:row>76</xdr:row>
      <xdr:rowOff>45570</xdr:rowOff>
    </xdr:to>
    <xdr:graphicFrame macro="">
      <xdr:nvGraphicFramePr>
        <xdr:cNvPr id="40" name="Chart 3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58</xdr:col>
      <xdr:colOff>593912</xdr:colOff>
      <xdr:row>61</xdr:row>
      <xdr:rowOff>81429</xdr:rowOff>
    </xdr:from>
    <xdr:to>
      <xdr:col>66</xdr:col>
      <xdr:colOff>265206</xdr:colOff>
      <xdr:row>76</xdr:row>
      <xdr:rowOff>23158</xdr:rowOff>
    </xdr:to>
    <xdr:graphicFrame macro="">
      <xdr:nvGraphicFramePr>
        <xdr:cNvPr id="41" name="Chart 4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15</xdr:col>
      <xdr:colOff>77180</xdr:colOff>
      <xdr:row>184</xdr:row>
      <xdr:rowOff>84285</xdr:rowOff>
    </xdr:from>
    <xdr:to>
      <xdr:col>22</xdr:col>
      <xdr:colOff>370772</xdr:colOff>
      <xdr:row>199</xdr:row>
      <xdr:rowOff>26014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19</xdr:col>
      <xdr:colOff>254000</xdr:colOff>
      <xdr:row>202</xdr:row>
      <xdr:rowOff>94422</xdr:rowOff>
    </xdr:from>
    <xdr:to>
      <xdr:col>26</xdr:col>
      <xdr:colOff>309218</xdr:colOff>
      <xdr:row>217</xdr:row>
      <xdr:rowOff>104361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0.07289</cdr:x>
      <cdr:y>0.10446</cdr:y>
    </cdr:from>
    <cdr:to>
      <cdr:x>0.6283</cdr:x>
      <cdr:y>0.43644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838736" y="597274"/>
          <a:ext cx="6390739" cy="189827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keyfollow does not change these</a:t>
          </a:r>
          <a:r>
            <a:rPr lang="en-US" sz="1100" baseline="0"/>
            <a:t> slopes,</a:t>
          </a:r>
        </a:p>
        <a:p xmlns:a="http://schemas.openxmlformats.org/drawingml/2006/main">
          <a:r>
            <a:rPr lang="en-US" sz="1100" baseline="0"/>
            <a:t>just the offset by the kf amount.</a:t>
          </a:r>
          <a:br>
            <a:rPr lang="en-US" sz="1100" baseline="0"/>
          </a:br>
          <a:r>
            <a:rPr lang="en-US" sz="1100" baseline="0"/>
            <a:t/>
          </a:r>
          <a:br>
            <a:rPr lang="en-US" sz="1100" baseline="0"/>
          </a:br>
          <a:r>
            <a:rPr lang="en-US" sz="1100" baseline="0"/>
            <a:t>FreqOscFilter1BModFactor = FreqOscFilter1NN / NN_BModF_one;    </a:t>
          </a:r>
          <a:br>
            <a:rPr lang="en-US" sz="1100" baseline="0"/>
          </a:br>
          <a:r>
            <a:rPr lang="en-US" sz="1100" baseline="0"/>
            <a:t>mix_fcModFilter1.gain(0, BreathModOscFilter1 * FreqOscFilter1BModFactor);</a:t>
          </a:r>
        </a:p>
        <a:p xmlns:a="http://schemas.openxmlformats.org/drawingml/2006/main">
          <a:r>
            <a:rPr lang="en-US" sz="1100" baseline="0"/>
            <a:t>  mix_fcModFilter1.gain(3, modOffsetFilter1 * FreqOscFilter1BModFactor); // modOffsetFilter1 = 1 in globals</a:t>
          </a:r>
        </a:p>
        <a:p xmlns:a="http://schemas.openxmlformats.org/drawingml/2006/main">
          <a:r>
            <a:rPr lang="en-US" sz="1100" baseline="0"/>
            <a:t>  dc_modOffsetOscFilter1.amplitude(-BreathModOscFilter1);                // subtract off BM,</a:t>
          </a:r>
        </a:p>
        <a:p xmlns:a="http://schemas.openxmlformats.org/drawingml/2006/main">
          <a:endParaRPr lang="en-US" sz="1100"/>
        </a:p>
        <a:p xmlns:a="http://schemas.openxmlformats.org/drawingml/2006/main">
          <a:r>
            <a:rPr lang="en-US" sz="1100"/>
            <a:t>NN_BModF_one is FreqOscFilter1NN</a:t>
          </a:r>
          <a:r>
            <a:rPr lang="en-US" sz="1100" baseline="0"/>
            <a:t> that makes filter use octaveCotrolFilter1</a:t>
          </a:r>
          <a:br>
            <a:rPr lang="en-US" sz="1100" baseline="0"/>
          </a:br>
          <a:r>
            <a:rPr lang="en-US" sz="1100" baseline="0"/>
            <a:t>when Filter Breath Mod Knob at 100%</a:t>
          </a:r>
          <a:br>
            <a:rPr lang="en-US" sz="1100" baseline="0"/>
          </a:br>
          <a:r>
            <a:rPr lang="en-US" sz="1100" baseline="0"/>
            <a:t>Calibrate this to match EWI4k.</a:t>
          </a:r>
          <a:endParaRPr lang="en-US" sz="1100"/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204304</xdr:colOff>
      <xdr:row>132</xdr:row>
      <xdr:rowOff>167054</xdr:rowOff>
    </xdr:from>
    <xdr:to>
      <xdr:col>26</xdr:col>
      <xdr:colOff>141654</xdr:colOff>
      <xdr:row>154</xdr:row>
      <xdr:rowOff>166077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29</xdr:col>
      <xdr:colOff>280147</xdr:colOff>
      <xdr:row>155</xdr:row>
      <xdr:rowOff>47811</xdr:rowOff>
    </xdr:from>
    <xdr:to>
      <xdr:col>36</xdr:col>
      <xdr:colOff>564030</xdr:colOff>
      <xdr:row>169</xdr:row>
      <xdr:rowOff>176305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36</xdr:col>
      <xdr:colOff>571501</xdr:colOff>
      <xdr:row>155</xdr:row>
      <xdr:rowOff>2987</xdr:rowOff>
    </xdr:from>
    <xdr:to>
      <xdr:col>44</xdr:col>
      <xdr:colOff>242795</xdr:colOff>
      <xdr:row>169</xdr:row>
      <xdr:rowOff>131481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44</xdr:col>
      <xdr:colOff>250266</xdr:colOff>
      <xdr:row>154</xdr:row>
      <xdr:rowOff>152400</xdr:rowOff>
    </xdr:from>
    <xdr:to>
      <xdr:col>51</xdr:col>
      <xdr:colOff>534148</xdr:colOff>
      <xdr:row>169</xdr:row>
      <xdr:rowOff>94129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18677</xdr:colOff>
      <xdr:row>155</xdr:row>
      <xdr:rowOff>55281</xdr:rowOff>
    </xdr:from>
    <xdr:to>
      <xdr:col>29</xdr:col>
      <xdr:colOff>302559</xdr:colOff>
      <xdr:row>169</xdr:row>
      <xdr:rowOff>183775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332442</xdr:colOff>
      <xdr:row>155</xdr:row>
      <xdr:rowOff>55282</xdr:rowOff>
    </xdr:from>
    <xdr:to>
      <xdr:col>20</xdr:col>
      <xdr:colOff>3736</xdr:colOff>
      <xdr:row>169</xdr:row>
      <xdr:rowOff>183776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26148</xdr:colOff>
      <xdr:row>155</xdr:row>
      <xdr:rowOff>32870</xdr:rowOff>
    </xdr:from>
    <xdr:to>
      <xdr:col>12</xdr:col>
      <xdr:colOff>310030</xdr:colOff>
      <xdr:row>169</xdr:row>
      <xdr:rowOff>161364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601383</xdr:colOff>
      <xdr:row>170</xdr:row>
      <xdr:rowOff>70224</xdr:rowOff>
    </xdr:from>
    <xdr:to>
      <xdr:col>12</xdr:col>
      <xdr:colOff>272677</xdr:colOff>
      <xdr:row>185</xdr:row>
      <xdr:rowOff>11953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339912</xdr:colOff>
      <xdr:row>170</xdr:row>
      <xdr:rowOff>85165</xdr:rowOff>
    </xdr:from>
    <xdr:to>
      <xdr:col>20</xdr:col>
      <xdr:colOff>11206</xdr:colOff>
      <xdr:row>185</xdr:row>
      <xdr:rowOff>26894</xdr:rowOff>
    </xdr:to>
    <xdr:graphicFrame macro="">
      <xdr:nvGraphicFramePr>
        <xdr:cNvPr id="14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20</xdr:col>
      <xdr:colOff>70970</xdr:colOff>
      <xdr:row>170</xdr:row>
      <xdr:rowOff>62753</xdr:rowOff>
    </xdr:from>
    <xdr:to>
      <xdr:col>29</xdr:col>
      <xdr:colOff>354852</xdr:colOff>
      <xdr:row>185</xdr:row>
      <xdr:rowOff>4482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29</xdr:col>
      <xdr:colOff>414617</xdr:colOff>
      <xdr:row>170</xdr:row>
      <xdr:rowOff>115047</xdr:rowOff>
    </xdr:from>
    <xdr:to>
      <xdr:col>36</xdr:col>
      <xdr:colOff>545353</xdr:colOff>
      <xdr:row>185</xdr:row>
      <xdr:rowOff>7471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44</xdr:col>
      <xdr:colOff>295089</xdr:colOff>
      <xdr:row>169</xdr:row>
      <xdr:rowOff>174812</xdr:rowOff>
    </xdr:from>
    <xdr:to>
      <xdr:col>51</xdr:col>
      <xdr:colOff>578971</xdr:colOff>
      <xdr:row>184</xdr:row>
      <xdr:rowOff>116542</xdr:rowOff>
    </xdr:to>
    <xdr:graphicFrame macro="">
      <xdr:nvGraphicFramePr>
        <xdr:cNvPr id="15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36</xdr:col>
      <xdr:colOff>586442</xdr:colOff>
      <xdr:row>169</xdr:row>
      <xdr:rowOff>182281</xdr:rowOff>
    </xdr:from>
    <xdr:to>
      <xdr:col>44</xdr:col>
      <xdr:colOff>257736</xdr:colOff>
      <xdr:row>184</xdr:row>
      <xdr:rowOff>124011</xdr:rowOff>
    </xdr:to>
    <xdr:graphicFrame macro="">
      <xdr:nvGraphicFramePr>
        <xdr:cNvPr id="16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12</xdr:col>
      <xdr:colOff>466911</xdr:colOff>
      <xdr:row>187</xdr:row>
      <xdr:rowOff>144929</xdr:rowOff>
    </xdr:from>
    <xdr:to>
      <xdr:col>20</xdr:col>
      <xdr:colOff>78440</xdr:colOff>
      <xdr:row>202</xdr:row>
      <xdr:rowOff>86658</xdr:rowOff>
    </xdr:to>
    <xdr:graphicFrame macro="">
      <xdr:nvGraphicFramePr>
        <xdr:cNvPr id="18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</xdr:col>
      <xdr:colOff>265206</xdr:colOff>
      <xdr:row>202</xdr:row>
      <xdr:rowOff>159869</xdr:rowOff>
    </xdr:from>
    <xdr:to>
      <xdr:col>11</xdr:col>
      <xdr:colOff>549088</xdr:colOff>
      <xdr:row>217</xdr:row>
      <xdr:rowOff>101598</xdr:rowOff>
    </xdr:to>
    <xdr:graphicFrame macro="">
      <xdr:nvGraphicFramePr>
        <xdr:cNvPr id="20" name="Chart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12</xdr:col>
      <xdr:colOff>489324</xdr:colOff>
      <xdr:row>203</xdr:row>
      <xdr:rowOff>2988</xdr:rowOff>
    </xdr:from>
    <xdr:to>
      <xdr:col>20</xdr:col>
      <xdr:colOff>100853</xdr:colOff>
      <xdr:row>217</xdr:row>
      <xdr:rowOff>131482</xdr:rowOff>
    </xdr:to>
    <xdr:graphicFrame macro="">
      <xdr:nvGraphicFramePr>
        <xdr:cNvPr id="21" name="Chart 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20</xdr:col>
      <xdr:colOff>138205</xdr:colOff>
      <xdr:row>187</xdr:row>
      <xdr:rowOff>152401</xdr:rowOff>
    </xdr:from>
    <xdr:to>
      <xdr:col>29</xdr:col>
      <xdr:colOff>422088</xdr:colOff>
      <xdr:row>202</xdr:row>
      <xdr:rowOff>94130</xdr:rowOff>
    </xdr:to>
    <xdr:graphicFrame macro="">
      <xdr:nvGraphicFramePr>
        <xdr:cNvPr id="23" name="Chart 2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29</xdr:col>
      <xdr:colOff>474382</xdr:colOff>
      <xdr:row>187</xdr:row>
      <xdr:rowOff>159870</xdr:rowOff>
    </xdr:from>
    <xdr:to>
      <xdr:col>37</xdr:col>
      <xdr:colOff>145676</xdr:colOff>
      <xdr:row>202</xdr:row>
      <xdr:rowOff>101599</xdr:rowOff>
    </xdr:to>
    <xdr:graphicFrame macro="">
      <xdr:nvGraphicFramePr>
        <xdr:cNvPr id="24" name="Chart 2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20</xdr:col>
      <xdr:colOff>205441</xdr:colOff>
      <xdr:row>202</xdr:row>
      <xdr:rowOff>174812</xdr:rowOff>
    </xdr:from>
    <xdr:to>
      <xdr:col>29</xdr:col>
      <xdr:colOff>489324</xdr:colOff>
      <xdr:row>217</xdr:row>
      <xdr:rowOff>116541</xdr:rowOff>
    </xdr:to>
    <xdr:graphicFrame macro="">
      <xdr:nvGraphicFramePr>
        <xdr:cNvPr id="25" name="Chart 2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29</xdr:col>
      <xdr:colOff>541618</xdr:colOff>
      <xdr:row>203</xdr:row>
      <xdr:rowOff>2987</xdr:rowOff>
    </xdr:from>
    <xdr:to>
      <xdr:col>37</xdr:col>
      <xdr:colOff>212912</xdr:colOff>
      <xdr:row>217</xdr:row>
      <xdr:rowOff>131481</xdr:rowOff>
    </xdr:to>
    <xdr:graphicFrame macro="">
      <xdr:nvGraphicFramePr>
        <xdr:cNvPr id="26" name="Chart 2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37</xdr:col>
      <xdr:colOff>175559</xdr:colOff>
      <xdr:row>187</xdr:row>
      <xdr:rowOff>159870</xdr:rowOff>
    </xdr:from>
    <xdr:to>
      <xdr:col>44</xdr:col>
      <xdr:colOff>459441</xdr:colOff>
      <xdr:row>202</xdr:row>
      <xdr:rowOff>101599</xdr:rowOff>
    </xdr:to>
    <xdr:graphicFrame macro="">
      <xdr:nvGraphicFramePr>
        <xdr:cNvPr id="27" name="Chart 2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37</xdr:col>
      <xdr:colOff>220382</xdr:colOff>
      <xdr:row>203</xdr:row>
      <xdr:rowOff>25400</xdr:rowOff>
    </xdr:from>
    <xdr:to>
      <xdr:col>44</xdr:col>
      <xdr:colOff>504264</xdr:colOff>
      <xdr:row>217</xdr:row>
      <xdr:rowOff>153894</xdr:rowOff>
    </xdr:to>
    <xdr:graphicFrame macro="">
      <xdr:nvGraphicFramePr>
        <xdr:cNvPr id="28" name="Chart 2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44</xdr:col>
      <xdr:colOff>586441</xdr:colOff>
      <xdr:row>187</xdr:row>
      <xdr:rowOff>137459</xdr:rowOff>
    </xdr:from>
    <xdr:to>
      <xdr:col>52</xdr:col>
      <xdr:colOff>257735</xdr:colOff>
      <xdr:row>202</xdr:row>
      <xdr:rowOff>79188</xdr:rowOff>
    </xdr:to>
    <xdr:graphicFrame macro="">
      <xdr:nvGraphicFramePr>
        <xdr:cNvPr id="29" name="Chart 2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45</xdr:col>
      <xdr:colOff>26147</xdr:colOff>
      <xdr:row>203</xdr:row>
      <xdr:rowOff>40340</xdr:rowOff>
    </xdr:from>
    <xdr:to>
      <xdr:col>52</xdr:col>
      <xdr:colOff>310029</xdr:colOff>
      <xdr:row>217</xdr:row>
      <xdr:rowOff>168834</xdr:rowOff>
    </xdr:to>
    <xdr:graphicFrame macro="">
      <xdr:nvGraphicFramePr>
        <xdr:cNvPr id="30" name="Chart 2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45</xdr:col>
      <xdr:colOff>18677</xdr:colOff>
      <xdr:row>218</xdr:row>
      <xdr:rowOff>70224</xdr:rowOff>
    </xdr:from>
    <xdr:to>
      <xdr:col>52</xdr:col>
      <xdr:colOff>302559</xdr:colOff>
      <xdr:row>234</xdr:row>
      <xdr:rowOff>11953</xdr:rowOff>
    </xdr:to>
    <xdr:graphicFrame macro="">
      <xdr:nvGraphicFramePr>
        <xdr:cNvPr id="31" name="Chart 3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20</xdr:col>
      <xdr:colOff>302559</xdr:colOff>
      <xdr:row>304</xdr:row>
      <xdr:rowOff>70223</xdr:rowOff>
    </xdr:from>
    <xdr:to>
      <xdr:col>29</xdr:col>
      <xdr:colOff>586442</xdr:colOff>
      <xdr:row>319</xdr:row>
      <xdr:rowOff>11952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26</xdr:col>
      <xdr:colOff>347383</xdr:colOff>
      <xdr:row>140</xdr:row>
      <xdr:rowOff>62753</xdr:rowOff>
    </xdr:from>
    <xdr:to>
      <xdr:col>34</xdr:col>
      <xdr:colOff>18677</xdr:colOff>
      <xdr:row>155</xdr:row>
      <xdr:rowOff>4482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14</xdr:col>
      <xdr:colOff>354852</xdr:colOff>
      <xdr:row>219</xdr:row>
      <xdr:rowOff>115047</xdr:rowOff>
    </xdr:from>
    <xdr:to>
      <xdr:col>21</xdr:col>
      <xdr:colOff>578970</xdr:colOff>
      <xdr:row>234</xdr:row>
      <xdr:rowOff>56776</xdr:rowOff>
    </xdr:to>
    <xdr:graphicFrame macro="">
      <xdr:nvGraphicFramePr>
        <xdr:cNvPr id="17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66261</xdr:colOff>
      <xdr:row>31</xdr:row>
      <xdr:rowOff>110434</xdr:rowOff>
    </xdr:from>
    <xdr:to>
      <xdr:col>15</xdr:col>
      <xdr:colOff>331304</xdr:colOff>
      <xdr:row>60</xdr:row>
      <xdr:rowOff>55217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49695</xdr:colOff>
      <xdr:row>35</xdr:row>
      <xdr:rowOff>10768</xdr:rowOff>
    </xdr:from>
    <xdr:to>
      <xdr:col>33</xdr:col>
      <xdr:colOff>276087</xdr:colOff>
      <xdr:row>49</xdr:row>
      <xdr:rowOff>173936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574398</xdr:colOff>
      <xdr:row>58</xdr:row>
      <xdr:rowOff>54113</xdr:rowOff>
    </xdr:from>
    <xdr:to>
      <xdr:col>25</xdr:col>
      <xdr:colOff>269598</xdr:colOff>
      <xdr:row>73</xdr:row>
      <xdr:rowOff>35062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104913</xdr:colOff>
      <xdr:row>4</xdr:row>
      <xdr:rowOff>102706</xdr:rowOff>
    </xdr:from>
    <xdr:to>
      <xdr:col>28</xdr:col>
      <xdr:colOff>392044</xdr:colOff>
      <xdr:row>12</xdr:row>
      <xdr:rowOff>44175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187739</xdr:colOff>
      <xdr:row>12</xdr:row>
      <xdr:rowOff>104913</xdr:rowOff>
    </xdr:from>
    <xdr:to>
      <xdr:col>28</xdr:col>
      <xdr:colOff>408608</xdr:colOff>
      <xdr:row>19</xdr:row>
      <xdr:rowOff>112643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23</xdr:col>
      <xdr:colOff>215348</xdr:colOff>
      <xdr:row>19</xdr:row>
      <xdr:rowOff>160132</xdr:rowOff>
    </xdr:from>
    <xdr:to>
      <xdr:col>28</xdr:col>
      <xdr:colOff>452782</xdr:colOff>
      <xdr:row>26</xdr:row>
      <xdr:rowOff>127000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23</xdr:col>
      <xdr:colOff>27608</xdr:colOff>
      <xdr:row>26</xdr:row>
      <xdr:rowOff>157922</xdr:rowOff>
    </xdr:from>
    <xdr:to>
      <xdr:col>29</xdr:col>
      <xdr:colOff>44173</xdr:colOff>
      <xdr:row>33</xdr:row>
      <xdr:rowOff>127000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485913</xdr:colOff>
      <xdr:row>42</xdr:row>
      <xdr:rowOff>130313</xdr:rowOff>
    </xdr:from>
    <xdr:to>
      <xdr:col>19</xdr:col>
      <xdr:colOff>524566</xdr:colOff>
      <xdr:row>49</xdr:row>
      <xdr:rowOff>154609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15</xdr:col>
      <xdr:colOff>502478</xdr:colOff>
      <xdr:row>49</xdr:row>
      <xdr:rowOff>168965</xdr:rowOff>
    </xdr:from>
    <xdr:to>
      <xdr:col>19</xdr:col>
      <xdr:colOff>557696</xdr:colOff>
      <xdr:row>57</xdr:row>
      <xdr:rowOff>132521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279400</xdr:colOff>
      <xdr:row>31</xdr:row>
      <xdr:rowOff>171450</xdr:rowOff>
    </xdr:from>
    <xdr:to>
      <xdr:col>9</xdr:col>
      <xdr:colOff>584200</xdr:colOff>
      <xdr:row>46</xdr:row>
      <xdr:rowOff>152400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174625</xdr:colOff>
      <xdr:row>33</xdr:row>
      <xdr:rowOff>82550</xdr:rowOff>
    </xdr:from>
    <xdr:to>
      <xdr:col>21</xdr:col>
      <xdr:colOff>479425</xdr:colOff>
      <xdr:row>48</xdr:row>
      <xdr:rowOff>63500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403225</xdr:colOff>
      <xdr:row>54</xdr:row>
      <xdr:rowOff>76200</xdr:rowOff>
    </xdr:from>
    <xdr:to>
      <xdr:col>17</xdr:col>
      <xdr:colOff>98425</xdr:colOff>
      <xdr:row>69</xdr:row>
      <xdr:rowOff>57150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237436</xdr:colOff>
      <xdr:row>1</xdr:row>
      <xdr:rowOff>163443</xdr:rowOff>
    </xdr:from>
    <xdr:to>
      <xdr:col>12</xdr:col>
      <xdr:colOff>557697</xdr:colOff>
      <xdr:row>16</xdr:row>
      <xdr:rowOff>173382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3</xdr:row>
      <xdr:rowOff>0</xdr:rowOff>
    </xdr:from>
    <xdr:to>
      <xdr:col>14</xdr:col>
      <xdr:colOff>152658</xdr:colOff>
      <xdr:row>34</xdr:row>
      <xdr:rowOff>32045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552450"/>
          <a:ext cx="5029458" cy="574069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355600</xdr:colOff>
      <xdr:row>2</xdr:row>
      <xdr:rowOff>69850</xdr:rowOff>
    </xdr:from>
    <xdr:to>
      <xdr:col>14</xdr:col>
      <xdr:colOff>50800</xdr:colOff>
      <xdr:row>17</xdr:row>
      <xdr:rowOff>50800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444500</xdr:colOff>
      <xdr:row>17</xdr:row>
      <xdr:rowOff>63500</xdr:rowOff>
    </xdr:from>
    <xdr:to>
      <xdr:col>14</xdr:col>
      <xdr:colOff>139700</xdr:colOff>
      <xdr:row>32</xdr:row>
      <xdr:rowOff>44450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374650</xdr:colOff>
      <xdr:row>2</xdr:row>
      <xdr:rowOff>69850</xdr:rowOff>
    </xdr:from>
    <xdr:to>
      <xdr:col>22</xdr:col>
      <xdr:colOff>69850</xdr:colOff>
      <xdr:row>17</xdr:row>
      <xdr:rowOff>50800</xdr:rowOff>
    </xdr:to>
    <xdr:graphicFrame macro="">
      <xdr:nvGraphicFramePr>
        <xdr:cNvPr id="14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294822</xdr:colOff>
      <xdr:row>0</xdr:row>
      <xdr:rowOff>70758</xdr:rowOff>
    </xdr:from>
    <xdr:to>
      <xdr:col>23</xdr:col>
      <xdr:colOff>4535</xdr:colOff>
      <xdr:row>15</xdr:row>
      <xdr:rowOff>92529</xdr:rowOff>
    </xdr:to>
    <xdr:graphicFrame macro="">
      <xdr:nvGraphicFramePr>
        <xdr:cNvPr id="14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222250</xdr:colOff>
      <xdr:row>15</xdr:row>
      <xdr:rowOff>143328</xdr:rowOff>
    </xdr:from>
    <xdr:to>
      <xdr:col>22</xdr:col>
      <xdr:colOff>539750</xdr:colOff>
      <xdr:row>30</xdr:row>
      <xdr:rowOff>165100</xdr:rowOff>
    </xdr:to>
    <xdr:graphicFrame macro="">
      <xdr:nvGraphicFramePr>
        <xdr:cNvPr id="15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419100</xdr:colOff>
      <xdr:row>4</xdr:row>
      <xdr:rowOff>45720</xdr:rowOff>
    </xdr:from>
    <xdr:to>
      <xdr:col>13</xdr:col>
      <xdr:colOff>247650</xdr:colOff>
      <xdr:row>21</xdr:row>
      <xdr:rowOff>68580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45720</xdr:colOff>
      <xdr:row>2</xdr:row>
      <xdr:rowOff>83820</xdr:rowOff>
    </xdr:from>
    <xdr:to>
      <xdr:col>11</xdr:col>
      <xdr:colOff>350520</xdr:colOff>
      <xdr:row>17</xdr:row>
      <xdr:rowOff>83820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53974</xdr:colOff>
      <xdr:row>2</xdr:row>
      <xdr:rowOff>9524</xdr:rowOff>
    </xdr:from>
    <xdr:to>
      <xdr:col>15</xdr:col>
      <xdr:colOff>126999</xdr:colOff>
      <xdr:row>21</xdr:row>
      <xdr:rowOff>177799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98425</xdr:colOff>
      <xdr:row>2</xdr:row>
      <xdr:rowOff>38100</xdr:rowOff>
    </xdr:from>
    <xdr:to>
      <xdr:col>14</xdr:col>
      <xdr:colOff>403225</xdr:colOff>
      <xdr:row>17</xdr:row>
      <xdr:rowOff>19050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name="BC_noSysex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hyperlink" Target="mailto:cc02@127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52"/>
  <sheetViews>
    <sheetView topLeftCell="A35" workbookViewId="0">
      <selection activeCell="I52" sqref="I52"/>
    </sheetView>
  </sheetViews>
  <sheetFormatPr defaultRowHeight="14.5" x14ac:dyDescent="0.35"/>
  <cols>
    <col min="1" max="1" width="10.36328125" bestFit="1" customWidth="1"/>
    <col min="3" max="3" width="9.81640625" bestFit="1" customWidth="1"/>
  </cols>
  <sheetData>
    <row r="1" spans="1:28" x14ac:dyDescent="0.35">
      <c r="A1" t="s">
        <v>1</v>
      </c>
      <c r="B1" t="s">
        <v>0</v>
      </c>
      <c r="C1" t="s">
        <v>2</v>
      </c>
      <c r="D1" t="s">
        <v>3</v>
      </c>
    </row>
    <row r="2" spans="1:28" x14ac:dyDescent="0.35">
      <c r="A2">
        <v>1</v>
      </c>
      <c r="B2">
        <v>3.5</v>
      </c>
      <c r="C2">
        <f>0.0000003*EXP(16.27*A2)</f>
        <v>3.4921466661456062</v>
      </c>
      <c r="D2">
        <f>A2^4*1</f>
        <v>1</v>
      </c>
    </row>
    <row r="3" spans="1:28" x14ac:dyDescent="0.35">
      <c r="A3">
        <f>A2-0.01</f>
        <v>0.99</v>
      </c>
      <c r="B3">
        <v>3</v>
      </c>
      <c r="C3">
        <f t="shared" ref="C3:C11" si="0">0.0000003*EXP(16.27*A3)</f>
        <v>2.9677872388432736</v>
      </c>
      <c r="D3">
        <f t="shared" ref="D3:D24" si="1">A3^4*1</f>
        <v>0.96059600999999994</v>
      </c>
      <c r="X3">
        <v>0.85</v>
      </c>
    </row>
    <row r="4" spans="1:28" x14ac:dyDescent="0.35">
      <c r="A4">
        <f t="shared" ref="A4:A12" si="2">A3-0.01</f>
        <v>0.98</v>
      </c>
      <c r="B4">
        <v>2.5</v>
      </c>
      <c r="C4">
        <f t="shared" si="0"/>
        <v>2.5221624224512897</v>
      </c>
      <c r="D4">
        <f t="shared" si="1"/>
        <v>0.92236815999999988</v>
      </c>
    </row>
    <row r="5" spans="1:28" x14ac:dyDescent="0.35">
      <c r="A5">
        <f t="shared" si="2"/>
        <v>0.97</v>
      </c>
      <c r="B5">
        <v>2.15</v>
      </c>
      <c r="C5">
        <f t="shared" si="0"/>
        <v>2.1434499083919274</v>
      </c>
      <c r="D5">
        <f t="shared" si="1"/>
        <v>0.88529280999999993</v>
      </c>
      <c r="W5">
        <v>0</v>
      </c>
      <c r="X5">
        <v>1042</v>
      </c>
      <c r="Z5">
        <v>0</v>
      </c>
      <c r="AA5">
        <v>1.7</v>
      </c>
      <c r="AB5">
        <f t="shared" ref="AB5:AB12" si="3">(AA5-AA$12)/(AA$5-AA$12)</f>
        <v>1</v>
      </c>
    </row>
    <row r="6" spans="1:28" x14ac:dyDescent="0.35">
      <c r="A6">
        <f t="shared" si="2"/>
        <v>0.96</v>
      </c>
      <c r="B6">
        <v>1.85</v>
      </c>
      <c r="C6">
        <f t="shared" si="0"/>
        <v>1.8216025537800595</v>
      </c>
      <c r="D6">
        <f t="shared" si="1"/>
        <v>0.84934655999999997</v>
      </c>
      <c r="W6">
        <v>10</v>
      </c>
      <c r="X6">
        <v>1000</v>
      </c>
      <c r="Z6">
        <v>50</v>
      </c>
      <c r="AA6">
        <v>1.6</v>
      </c>
      <c r="AB6">
        <f t="shared" si="3"/>
        <v>0.93055555555555569</v>
      </c>
    </row>
    <row r="7" spans="1:28" x14ac:dyDescent="0.35">
      <c r="A7">
        <f t="shared" si="2"/>
        <v>0.95</v>
      </c>
      <c r="B7">
        <v>1.55</v>
      </c>
      <c r="C7">
        <f t="shared" si="0"/>
        <v>1.5480818333783486</v>
      </c>
      <c r="D7">
        <f t="shared" si="1"/>
        <v>0.81450624999999999</v>
      </c>
      <c r="W7">
        <v>20</v>
      </c>
      <c r="X7">
        <v>1000</v>
      </c>
      <c r="Z7">
        <v>100</v>
      </c>
      <c r="AA7">
        <v>1.2</v>
      </c>
      <c r="AB7">
        <f t="shared" si="3"/>
        <v>0.65277777777777779</v>
      </c>
    </row>
    <row r="8" spans="1:28" x14ac:dyDescent="0.35">
      <c r="A8">
        <f t="shared" si="2"/>
        <v>0.94</v>
      </c>
      <c r="B8">
        <v>1.35</v>
      </c>
      <c r="C8">
        <f t="shared" si="0"/>
        <v>1.3156313147798946</v>
      </c>
      <c r="D8">
        <f t="shared" si="1"/>
        <v>0.78074895999999994</v>
      </c>
      <c r="W8">
        <v>30</v>
      </c>
      <c r="X8">
        <v>961</v>
      </c>
      <c r="Z8">
        <v>150</v>
      </c>
      <c r="AA8">
        <v>0.8</v>
      </c>
      <c r="AB8">
        <f t="shared" si="3"/>
        <v>0.37500000000000006</v>
      </c>
    </row>
    <row r="9" spans="1:28" x14ac:dyDescent="0.35">
      <c r="A9">
        <f t="shared" si="2"/>
        <v>0.92999999999999994</v>
      </c>
      <c r="B9">
        <v>1.1499999999999999</v>
      </c>
      <c r="C9">
        <f t="shared" si="0"/>
        <v>1.1180841471746963</v>
      </c>
      <c r="D9">
        <f t="shared" si="1"/>
        <v>0.74805200999999977</v>
      </c>
      <c r="W9">
        <v>40</v>
      </c>
      <c r="X9">
        <v>926</v>
      </c>
      <c r="Z9">
        <v>200</v>
      </c>
      <c r="AA9">
        <v>0.6</v>
      </c>
      <c r="AB9">
        <f t="shared" si="3"/>
        <v>0.2361111111111111</v>
      </c>
    </row>
    <row r="10" spans="1:28" x14ac:dyDescent="0.35">
      <c r="A10">
        <f t="shared" si="2"/>
        <v>0.91999999999999993</v>
      </c>
      <c r="B10">
        <v>0.91</v>
      </c>
      <c r="C10">
        <f t="shared" si="0"/>
        <v>0.95019945642789305</v>
      </c>
      <c r="D10">
        <f t="shared" si="1"/>
        <v>0.71639295999999975</v>
      </c>
      <c r="W10">
        <v>60</v>
      </c>
      <c r="X10">
        <v>893</v>
      </c>
      <c r="Z10">
        <v>300</v>
      </c>
      <c r="AA10">
        <v>0.4</v>
      </c>
      <c r="AB10">
        <f t="shared" si="3"/>
        <v>9.7222222222222238E-2</v>
      </c>
    </row>
    <row r="11" spans="1:28" x14ac:dyDescent="0.35">
      <c r="A11">
        <f t="shared" si="2"/>
        <v>0.90999999999999992</v>
      </c>
      <c r="B11">
        <v>0.8</v>
      </c>
      <c r="C11">
        <f t="shared" si="0"/>
        <v>0.80752330607437772</v>
      </c>
      <c r="D11">
        <f t="shared" si="1"/>
        <v>0.68574960999999968</v>
      </c>
      <c r="W11">
        <v>80</v>
      </c>
      <c r="X11">
        <v>862</v>
      </c>
      <c r="Z11">
        <v>400</v>
      </c>
      <c r="AA11">
        <v>0.28000000000000003</v>
      </c>
      <c r="AB11">
        <f t="shared" si="3"/>
        <v>1.3888888888888902E-2</v>
      </c>
    </row>
    <row r="12" spans="1:28" x14ac:dyDescent="0.35">
      <c r="A12">
        <f t="shared" si="2"/>
        <v>0.89999999999999991</v>
      </c>
      <c r="B12">
        <v>0.7</v>
      </c>
      <c r="C12">
        <f>0.0021*EXP(6.4453*A12)</f>
        <v>0.69416337587776245</v>
      </c>
      <c r="D12">
        <f t="shared" si="1"/>
        <v>0.65609999999999968</v>
      </c>
      <c r="Z12">
        <v>500</v>
      </c>
      <c r="AA12">
        <v>0.26</v>
      </c>
      <c r="AB12">
        <f t="shared" si="3"/>
        <v>0</v>
      </c>
    </row>
    <row r="13" spans="1:28" x14ac:dyDescent="0.35">
      <c r="A13">
        <v>0.85</v>
      </c>
      <c r="B13">
        <v>0.5</v>
      </c>
      <c r="C13">
        <f>0.0021*EXP(6.4453*A13)</f>
        <v>0.5029256493343004</v>
      </c>
      <c r="D13">
        <f t="shared" si="1"/>
        <v>0.52200624999999989</v>
      </c>
    </row>
    <row r="14" spans="1:28" x14ac:dyDescent="0.35">
      <c r="A14">
        <v>0.8</v>
      </c>
      <c r="B14">
        <v>0.35</v>
      </c>
      <c r="C14">
        <f>0.0021*EXP(6.4453*A14)</f>
        <v>0.36437273637275241</v>
      </c>
      <c r="D14">
        <f t="shared" si="1"/>
        <v>0.40960000000000019</v>
      </c>
    </row>
    <row r="15" spans="1:28" x14ac:dyDescent="0.35">
      <c r="A15">
        <v>0.7</v>
      </c>
      <c r="B15">
        <v>0.193</v>
      </c>
      <c r="C15">
        <f>0.0021*EXP(6.4453*A15)</f>
        <v>0.19126259843928511</v>
      </c>
      <c r="D15">
        <f t="shared" si="1"/>
        <v>0.24009999999999992</v>
      </c>
    </row>
    <row r="16" spans="1:28" x14ac:dyDescent="0.35">
      <c r="A16">
        <v>0.6</v>
      </c>
      <c r="B16">
        <v>0.125</v>
      </c>
      <c r="C16">
        <f>0.0103*EXP(4.1647*A16)</f>
        <v>0.12533170908825497</v>
      </c>
      <c r="D16">
        <f t="shared" si="1"/>
        <v>0.12959999999999999</v>
      </c>
    </row>
    <row r="17" spans="1:9" x14ac:dyDescent="0.35">
      <c r="A17">
        <v>0.5</v>
      </c>
      <c r="B17">
        <v>8.5000000000000006E-2</v>
      </c>
      <c r="C17">
        <f t="shared" ref="C17:C23" si="4">0.0103*EXP(4.1647*A17)</f>
        <v>8.2640005819856671E-2</v>
      </c>
      <c r="D17">
        <f t="shared" si="1"/>
        <v>6.25E-2</v>
      </c>
    </row>
    <row r="18" spans="1:9" x14ac:dyDescent="0.35">
      <c r="A18">
        <v>0.4</v>
      </c>
      <c r="B18">
        <v>5.5E-2</v>
      </c>
      <c r="C18">
        <f t="shared" si="4"/>
        <v>5.4490364901167182E-2</v>
      </c>
      <c r="D18">
        <f t="shared" si="1"/>
        <v>2.5600000000000012E-2</v>
      </c>
    </row>
    <row r="19" spans="1:9" x14ac:dyDescent="0.35">
      <c r="A19">
        <v>0.38</v>
      </c>
      <c r="B19">
        <v>5.04E-2</v>
      </c>
      <c r="C19">
        <f t="shared" si="4"/>
        <v>5.0135527837078732E-2</v>
      </c>
      <c r="D19">
        <f t="shared" si="1"/>
        <v>2.0851359999999999E-2</v>
      </c>
    </row>
    <row r="20" spans="1:9" x14ac:dyDescent="0.35">
      <c r="A20">
        <v>0.3</v>
      </c>
      <c r="B20">
        <v>3.2000000000000001E-2</v>
      </c>
      <c r="C20">
        <f t="shared" si="4"/>
        <v>3.5929327903664245E-2</v>
      </c>
      <c r="D20">
        <f t="shared" si="1"/>
        <v>8.0999999999999996E-3</v>
      </c>
    </row>
    <row r="21" spans="1:9" x14ac:dyDescent="0.35">
      <c r="A21">
        <v>0.2</v>
      </c>
      <c r="B21">
        <v>2.4E-2</v>
      </c>
      <c r="C21">
        <f t="shared" si="4"/>
        <v>2.3690731488960445E-2</v>
      </c>
      <c r="D21">
        <f t="shared" si="1"/>
        <v>1.6000000000000007E-3</v>
      </c>
    </row>
    <row r="22" spans="1:9" x14ac:dyDescent="0.35">
      <c r="A22">
        <v>0.1</v>
      </c>
      <c r="B22">
        <v>1.6E-2</v>
      </c>
      <c r="C22">
        <f t="shared" si="4"/>
        <v>1.562096457765309E-2</v>
      </c>
      <c r="D22">
        <f t="shared" si="1"/>
        <v>1.0000000000000005E-4</v>
      </c>
    </row>
    <row r="23" spans="1:9" x14ac:dyDescent="0.35">
      <c r="A23">
        <v>0.05</v>
      </c>
      <c r="B23">
        <v>1.2999999999999999E-2</v>
      </c>
      <c r="C23">
        <f t="shared" si="4"/>
        <v>1.268447614802546E-2</v>
      </c>
      <c r="D23">
        <f t="shared" si="1"/>
        <v>6.2500000000000028E-6</v>
      </c>
    </row>
    <row r="24" spans="1:9" x14ac:dyDescent="0.35">
      <c r="A24">
        <v>0</v>
      </c>
      <c r="B24">
        <v>0</v>
      </c>
      <c r="D24">
        <f t="shared" si="1"/>
        <v>0</v>
      </c>
    </row>
    <row r="28" spans="1:9" x14ac:dyDescent="0.35">
      <c r="A28" t="s">
        <v>135</v>
      </c>
      <c r="B28" t="s">
        <v>0</v>
      </c>
      <c r="C28" t="s">
        <v>2</v>
      </c>
      <c r="D28" t="s">
        <v>3</v>
      </c>
      <c r="F28" t="s">
        <v>170</v>
      </c>
      <c r="G28" t="s">
        <v>169</v>
      </c>
      <c r="H28" t="s">
        <v>209</v>
      </c>
    </row>
    <row r="29" spans="1:9" x14ac:dyDescent="0.35">
      <c r="A29">
        <v>1</v>
      </c>
      <c r="C29">
        <f>0.0000003*EXP(16.27*A29)</f>
        <v>3.4921466661456062</v>
      </c>
      <c r="D29">
        <f>A29^4*1</f>
        <v>1</v>
      </c>
      <c r="F29">
        <f>IF($A29&lt;=0,30,IF($A29&lt;0.7,35,IF($A29&lt;0.9,4,0.05)))</f>
        <v>0.05</v>
      </c>
      <c r="G29">
        <f>IF($A29&lt;=0,0,IF($A29&lt;0.7,3.25,IF($A29&lt;0.9,6.38,11.2)))</f>
        <v>11.2</v>
      </c>
      <c r="H29">
        <f>$F29*EXP($G29*$A29)</f>
        <v>3656.5220916707726</v>
      </c>
      <c r="I29">
        <f>H29-15</f>
        <v>3641.5220916707726</v>
      </c>
    </row>
    <row r="30" spans="1:9" x14ac:dyDescent="0.35">
      <c r="A30">
        <f>A29-0.01</f>
        <v>0.99</v>
      </c>
      <c r="C30">
        <f t="shared" ref="C30:C38" si="5">0.0000003*EXP(16.27*A30)</f>
        <v>2.9677872388432736</v>
      </c>
      <c r="D30">
        <f t="shared" ref="D30:D52" si="6">A30^4*1</f>
        <v>0.96059600999999994</v>
      </c>
      <c r="F30">
        <f t="shared" ref="F30:F52" si="7">IF($A30&lt;=0,30,IF($A30&lt;0.7,35,IF($A30&lt;0.9,4,0.05)))</f>
        <v>0.05</v>
      </c>
      <c r="G30">
        <f t="shared" ref="G30:G52" si="8">IF($A30&lt;=0,0,IF($A30&lt;0.7,3.25,IF($A30&lt;0.9,6.38,11.2)))</f>
        <v>11.2</v>
      </c>
      <c r="H30">
        <f t="shared" ref="H30:H52" si="9">$F30*EXP($G30*$A30)</f>
        <v>3269.0925784814485</v>
      </c>
      <c r="I30">
        <f t="shared" ref="I30:I52" si="10">H30-15</f>
        <v>3254.0925784814485</v>
      </c>
    </row>
    <row r="31" spans="1:9" x14ac:dyDescent="0.35">
      <c r="A31">
        <f t="shared" ref="A31:A39" si="11">A30-0.01</f>
        <v>0.98</v>
      </c>
      <c r="C31">
        <f t="shared" si="5"/>
        <v>2.5221624224512897</v>
      </c>
      <c r="D31">
        <f t="shared" si="6"/>
        <v>0.92236815999999988</v>
      </c>
      <c r="F31">
        <f t="shared" si="7"/>
        <v>0.05</v>
      </c>
      <c r="G31">
        <f t="shared" si="8"/>
        <v>11.2</v>
      </c>
      <c r="H31">
        <f t="shared" si="9"/>
        <v>2922.713447028375</v>
      </c>
      <c r="I31">
        <f t="shared" si="10"/>
        <v>2907.713447028375</v>
      </c>
    </row>
    <row r="32" spans="1:9" x14ac:dyDescent="0.35">
      <c r="A32">
        <f t="shared" si="11"/>
        <v>0.97</v>
      </c>
      <c r="C32">
        <f t="shared" si="5"/>
        <v>2.1434499083919274</v>
      </c>
      <c r="D32">
        <f t="shared" si="6"/>
        <v>0.88529280999999993</v>
      </c>
      <c r="F32">
        <f t="shared" si="7"/>
        <v>0.05</v>
      </c>
      <c r="G32">
        <f t="shared" si="8"/>
        <v>11.2</v>
      </c>
      <c r="H32">
        <f t="shared" si="9"/>
        <v>2613.035173634793</v>
      </c>
      <c r="I32">
        <f t="shared" si="10"/>
        <v>2598.035173634793</v>
      </c>
    </row>
    <row r="33" spans="1:9" x14ac:dyDescent="0.35">
      <c r="A33">
        <f t="shared" si="11"/>
        <v>0.96</v>
      </c>
      <c r="C33">
        <f t="shared" si="5"/>
        <v>1.8216025537800595</v>
      </c>
      <c r="D33">
        <f t="shared" si="6"/>
        <v>0.84934655999999997</v>
      </c>
      <c r="F33">
        <f t="shared" si="7"/>
        <v>0.05</v>
      </c>
      <c r="G33">
        <f t="shared" si="8"/>
        <v>11.2</v>
      </c>
      <c r="H33">
        <f t="shared" si="9"/>
        <v>2336.1690916346356</v>
      </c>
      <c r="I33">
        <f t="shared" si="10"/>
        <v>2321.1690916346356</v>
      </c>
    </row>
    <row r="34" spans="1:9" x14ac:dyDescent="0.35">
      <c r="A34">
        <f t="shared" si="11"/>
        <v>0.95</v>
      </c>
      <c r="C34">
        <f t="shared" si="5"/>
        <v>1.5480818333783486</v>
      </c>
      <c r="D34">
        <f t="shared" si="6"/>
        <v>0.81450624999999999</v>
      </c>
      <c r="F34">
        <f t="shared" si="7"/>
        <v>0.05</v>
      </c>
      <c r="G34">
        <f t="shared" si="8"/>
        <v>11.2</v>
      </c>
      <c r="H34">
        <f t="shared" si="9"/>
        <v>2088.6385609257713</v>
      </c>
      <c r="I34">
        <f t="shared" si="10"/>
        <v>2073.6385609257713</v>
      </c>
    </row>
    <row r="35" spans="1:9" x14ac:dyDescent="0.35">
      <c r="A35">
        <f t="shared" si="11"/>
        <v>0.94</v>
      </c>
      <c r="C35">
        <f t="shared" si="5"/>
        <v>1.3156313147798946</v>
      </c>
      <c r="D35">
        <f t="shared" si="6"/>
        <v>0.78074895999999994</v>
      </c>
      <c r="F35">
        <f t="shared" si="7"/>
        <v>0.05</v>
      </c>
      <c r="G35">
        <f t="shared" si="8"/>
        <v>11.2</v>
      </c>
      <c r="H35">
        <f t="shared" si="9"/>
        <v>1867.3353113894959</v>
      </c>
      <c r="I35">
        <f t="shared" si="10"/>
        <v>1852.3353113894959</v>
      </c>
    </row>
    <row r="36" spans="1:9" x14ac:dyDescent="0.35">
      <c r="A36">
        <f t="shared" si="11"/>
        <v>0.92999999999999994</v>
      </c>
      <c r="C36">
        <f t="shared" si="5"/>
        <v>1.1180841471746963</v>
      </c>
      <c r="D36">
        <f t="shared" si="6"/>
        <v>0.74805200999999977</v>
      </c>
      <c r="F36">
        <f t="shared" si="7"/>
        <v>0.05</v>
      </c>
      <c r="G36">
        <f t="shared" si="8"/>
        <v>11.2</v>
      </c>
      <c r="H36">
        <f t="shared" si="9"/>
        <v>1669.4804119754201</v>
      </c>
      <c r="I36">
        <f t="shared" si="10"/>
        <v>1654.4804119754201</v>
      </c>
    </row>
    <row r="37" spans="1:9" x14ac:dyDescent="0.35">
      <c r="A37">
        <f t="shared" si="11"/>
        <v>0.91999999999999993</v>
      </c>
      <c r="C37">
        <f t="shared" si="5"/>
        <v>0.95019945642789305</v>
      </c>
      <c r="D37">
        <f t="shared" si="6"/>
        <v>0.71639295999999975</v>
      </c>
      <c r="F37">
        <f t="shared" si="7"/>
        <v>0.05</v>
      </c>
      <c r="G37">
        <f t="shared" si="8"/>
        <v>11.2</v>
      </c>
      <c r="H37">
        <f t="shared" si="9"/>
        <v>1492.5893753359549</v>
      </c>
      <c r="I37">
        <f t="shared" si="10"/>
        <v>1477.5893753359549</v>
      </c>
    </row>
    <row r="38" spans="1:9" x14ac:dyDescent="0.35">
      <c r="A38">
        <f t="shared" si="11"/>
        <v>0.90999999999999992</v>
      </c>
      <c r="C38">
        <f t="shared" si="5"/>
        <v>0.80752330607437772</v>
      </c>
      <c r="D38">
        <f t="shared" si="6"/>
        <v>0.68574960999999968</v>
      </c>
      <c r="F38">
        <f t="shared" si="7"/>
        <v>0.05</v>
      </c>
      <c r="G38">
        <f t="shared" si="8"/>
        <v>11.2</v>
      </c>
      <c r="H38">
        <f t="shared" si="9"/>
        <v>1334.4409598251557</v>
      </c>
      <c r="I38">
        <f t="shared" si="10"/>
        <v>1319.4409598251557</v>
      </c>
    </row>
    <row r="39" spans="1:9" x14ac:dyDescent="0.35">
      <c r="A39">
        <f t="shared" si="11"/>
        <v>0.89999999999999991</v>
      </c>
      <c r="C39">
        <f>0.0021*EXP(6.4453*A39)</f>
        <v>0.69416337587776245</v>
      </c>
      <c r="D39">
        <f t="shared" si="6"/>
        <v>0.65609999999999968</v>
      </c>
      <c r="F39">
        <f>IF($A39&lt;=0,30,IF($A39&lt;0.7,35,IF($A39&lt;0.85,4,0.05)))</f>
        <v>0.05</v>
      </c>
      <c r="G39">
        <f t="shared" si="8"/>
        <v>11.2</v>
      </c>
      <c r="H39">
        <f t="shared" si="9"/>
        <v>1193.0492771049453</v>
      </c>
      <c r="I39">
        <f t="shared" si="10"/>
        <v>1178.0492771049453</v>
      </c>
    </row>
    <row r="40" spans="1:9" x14ac:dyDescent="0.35">
      <c r="A40">
        <v>0.85</v>
      </c>
      <c r="C40">
        <f>0.0021*EXP(6.4453*A40)</f>
        <v>0.5029256493343004</v>
      </c>
      <c r="D40">
        <f t="shared" si="6"/>
        <v>0.52200624999999989</v>
      </c>
      <c r="F40">
        <f t="shared" si="7"/>
        <v>4</v>
      </c>
      <c r="G40">
        <f t="shared" si="8"/>
        <v>6.38</v>
      </c>
      <c r="H40">
        <f t="shared" si="9"/>
        <v>906.23110937123806</v>
      </c>
      <c r="I40">
        <f t="shared" si="10"/>
        <v>891.23110937123806</v>
      </c>
    </row>
    <row r="41" spans="1:9" x14ac:dyDescent="0.35">
      <c r="A41">
        <v>0.8</v>
      </c>
      <c r="C41">
        <f>0.0021*EXP(6.4453*A41)</f>
        <v>0.36437273637275241</v>
      </c>
      <c r="D41">
        <f t="shared" si="6"/>
        <v>0.40960000000000019</v>
      </c>
      <c r="F41">
        <f t="shared" si="7"/>
        <v>4</v>
      </c>
      <c r="G41">
        <f t="shared" si="8"/>
        <v>6.38</v>
      </c>
      <c r="H41">
        <f t="shared" si="9"/>
        <v>658.71723542271093</v>
      </c>
      <c r="I41">
        <f t="shared" si="10"/>
        <v>643.71723542271093</v>
      </c>
    </row>
    <row r="42" spans="1:9" x14ac:dyDescent="0.35">
      <c r="A42">
        <v>0.72</v>
      </c>
      <c r="B42">
        <f>0.05*7.2</f>
        <v>0.36000000000000004</v>
      </c>
      <c r="C42">
        <f>0.0021*EXP(6.4453*A42)</f>
        <v>0.21757711615644632</v>
      </c>
      <c r="F42">
        <f t="shared" si="7"/>
        <v>4</v>
      </c>
      <c r="G42">
        <f t="shared" si="8"/>
        <v>6.38</v>
      </c>
      <c r="H42">
        <f t="shared" si="9"/>
        <v>395.39859648407685</v>
      </c>
      <c r="I42">
        <f t="shared" si="10"/>
        <v>380.39859648407685</v>
      </c>
    </row>
    <row r="43" spans="1:9" x14ac:dyDescent="0.35">
      <c r="A43">
        <v>0.7</v>
      </c>
      <c r="C43">
        <f>0.0021*EXP(6.4453*A43)</f>
        <v>0.19126259843928511</v>
      </c>
      <c r="D43">
        <f t="shared" si="6"/>
        <v>0.24009999999999992</v>
      </c>
      <c r="F43">
        <f t="shared" si="7"/>
        <v>4</v>
      </c>
      <c r="G43">
        <f t="shared" si="8"/>
        <v>6.38</v>
      </c>
      <c r="H43">
        <f t="shared" si="9"/>
        <v>348.03197617718922</v>
      </c>
      <c r="I43">
        <f t="shared" si="10"/>
        <v>333.03197617718922</v>
      </c>
    </row>
    <row r="44" spans="1:9" x14ac:dyDescent="0.35">
      <c r="A44">
        <v>0.6</v>
      </c>
      <c r="C44">
        <f>0.0103*EXP(4.1647*A44)</f>
        <v>0.12533170908825497</v>
      </c>
      <c r="D44">
        <f t="shared" si="6"/>
        <v>0.12959999999999999</v>
      </c>
      <c r="F44">
        <f t="shared" si="7"/>
        <v>35</v>
      </c>
      <c r="G44">
        <f t="shared" si="8"/>
        <v>3.25</v>
      </c>
      <c r="H44">
        <f t="shared" si="9"/>
        <v>246.00406532062524</v>
      </c>
      <c r="I44">
        <f t="shared" si="10"/>
        <v>231.00406532062524</v>
      </c>
    </row>
    <row r="45" spans="1:9" x14ac:dyDescent="0.35">
      <c r="A45">
        <v>0.5</v>
      </c>
      <c r="C45">
        <f t="shared" ref="C45:C51" si="12">0.0103*EXP(4.1647*A45)</f>
        <v>8.2640005819856671E-2</v>
      </c>
      <c r="D45">
        <f t="shared" si="6"/>
        <v>6.25E-2</v>
      </c>
      <c r="F45">
        <f t="shared" si="7"/>
        <v>35</v>
      </c>
      <c r="G45">
        <f t="shared" si="8"/>
        <v>3.25</v>
      </c>
      <c r="H45">
        <f t="shared" si="9"/>
        <v>177.74466630130286</v>
      </c>
      <c r="I45">
        <f t="shared" si="10"/>
        <v>162.74466630130286</v>
      </c>
    </row>
    <row r="46" spans="1:9" x14ac:dyDescent="0.35">
      <c r="A46">
        <v>0.4</v>
      </c>
      <c r="C46">
        <f t="shared" si="12"/>
        <v>5.4490364901167182E-2</v>
      </c>
      <c r="D46">
        <f t="shared" si="6"/>
        <v>2.5600000000000012E-2</v>
      </c>
      <c r="F46">
        <f t="shared" si="7"/>
        <v>35</v>
      </c>
      <c r="G46">
        <f t="shared" si="8"/>
        <v>3.25</v>
      </c>
      <c r="H46">
        <f t="shared" si="9"/>
        <v>128.42538336667354</v>
      </c>
      <c r="I46">
        <f t="shared" si="10"/>
        <v>113.42538336667354</v>
      </c>
    </row>
    <row r="47" spans="1:9" x14ac:dyDescent="0.35">
      <c r="A47">
        <v>0.38</v>
      </c>
      <c r="C47">
        <f t="shared" si="12"/>
        <v>5.0135527837078732E-2</v>
      </c>
      <c r="D47">
        <f t="shared" si="6"/>
        <v>2.0851359999999999E-2</v>
      </c>
      <c r="F47">
        <f t="shared" si="7"/>
        <v>35</v>
      </c>
      <c r="G47">
        <f t="shared" si="8"/>
        <v>3.25</v>
      </c>
      <c r="H47">
        <f t="shared" si="9"/>
        <v>120.34324822467937</v>
      </c>
      <c r="I47">
        <f t="shared" si="10"/>
        <v>105.34324822467937</v>
      </c>
    </row>
    <row r="48" spans="1:9" x14ac:dyDescent="0.35">
      <c r="A48">
        <v>0.3</v>
      </c>
      <c r="C48">
        <f t="shared" si="12"/>
        <v>3.5929327903664245E-2</v>
      </c>
      <c r="D48">
        <f t="shared" si="6"/>
        <v>8.0999999999999996E-3</v>
      </c>
      <c r="F48">
        <f t="shared" si="7"/>
        <v>35</v>
      </c>
      <c r="G48">
        <f t="shared" si="8"/>
        <v>3.25</v>
      </c>
      <c r="H48">
        <f t="shared" si="9"/>
        <v>92.790852384391229</v>
      </c>
      <c r="I48">
        <f t="shared" si="10"/>
        <v>77.790852384391229</v>
      </c>
    </row>
    <row r="49" spans="1:9" x14ac:dyDescent="0.35">
      <c r="A49">
        <v>0.2</v>
      </c>
      <c r="C49">
        <f t="shared" si="12"/>
        <v>2.3690731488960445E-2</v>
      </c>
      <c r="D49">
        <f t="shared" si="6"/>
        <v>1.6000000000000007E-3</v>
      </c>
      <c r="F49">
        <f t="shared" si="7"/>
        <v>35</v>
      </c>
      <c r="G49">
        <f t="shared" si="8"/>
        <v>3.25</v>
      </c>
      <c r="H49">
        <f t="shared" si="9"/>
        <v>67.04392901548637</v>
      </c>
      <c r="I49">
        <f t="shared" si="10"/>
        <v>52.04392901548637</v>
      </c>
    </row>
    <row r="50" spans="1:9" x14ac:dyDescent="0.35">
      <c r="A50">
        <v>0.1</v>
      </c>
      <c r="C50">
        <f t="shared" si="12"/>
        <v>1.562096457765309E-2</v>
      </c>
      <c r="D50">
        <f t="shared" si="6"/>
        <v>1.0000000000000005E-4</v>
      </c>
      <c r="F50">
        <f t="shared" si="7"/>
        <v>35</v>
      </c>
      <c r="G50">
        <f t="shared" si="8"/>
        <v>3.25</v>
      </c>
      <c r="H50">
        <f t="shared" si="9"/>
        <v>48.441072609326298</v>
      </c>
      <c r="I50">
        <f t="shared" si="10"/>
        <v>33.441072609326298</v>
      </c>
    </row>
    <row r="51" spans="1:9" x14ac:dyDescent="0.35">
      <c r="A51">
        <v>0.05</v>
      </c>
      <c r="C51">
        <f t="shared" si="12"/>
        <v>1.268447614802546E-2</v>
      </c>
      <c r="D51">
        <f t="shared" si="6"/>
        <v>6.2500000000000028E-6</v>
      </c>
      <c r="F51">
        <f t="shared" si="7"/>
        <v>35</v>
      </c>
      <c r="G51">
        <f t="shared" si="8"/>
        <v>3.25</v>
      </c>
      <c r="H51">
        <f t="shared" si="9"/>
        <v>41.175691145704164</v>
      </c>
      <c r="I51">
        <f t="shared" si="10"/>
        <v>26.175691145704164</v>
      </c>
    </row>
    <row r="52" spans="1:9" x14ac:dyDescent="0.35">
      <c r="A52">
        <v>0</v>
      </c>
      <c r="B52">
        <v>0</v>
      </c>
      <c r="D52">
        <f t="shared" si="6"/>
        <v>0</v>
      </c>
      <c r="F52">
        <f t="shared" si="7"/>
        <v>30</v>
      </c>
      <c r="G52">
        <f t="shared" si="8"/>
        <v>0</v>
      </c>
      <c r="H52">
        <f t="shared" si="9"/>
        <v>30</v>
      </c>
      <c r="I52">
        <f t="shared" si="10"/>
        <v>15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topLeftCell="A45" workbookViewId="0">
      <selection activeCell="C7" sqref="C7"/>
    </sheetView>
  </sheetViews>
  <sheetFormatPr defaultRowHeight="14.5" x14ac:dyDescent="0.35"/>
  <sheetData>
    <row r="1" spans="1:4" x14ac:dyDescent="0.35">
      <c r="A1" t="s">
        <v>1</v>
      </c>
      <c r="B1" t="s">
        <v>0</v>
      </c>
      <c r="C1" t="s">
        <v>2</v>
      </c>
      <c r="D1" t="s">
        <v>3</v>
      </c>
    </row>
    <row r="2" spans="1:4" x14ac:dyDescent="0.35">
      <c r="A2">
        <v>1</v>
      </c>
      <c r="B2">
        <v>3.47</v>
      </c>
      <c r="C2">
        <f>0.0001*EXP(10.4*A2)</f>
        <v>3.2859625674443329</v>
      </c>
      <c r="D2">
        <f>A2^4*1</f>
        <v>1</v>
      </c>
    </row>
    <row r="3" spans="1:4" x14ac:dyDescent="0.35">
      <c r="A3">
        <f>A2-0.01</f>
        <v>0.99</v>
      </c>
      <c r="B3">
        <v>3</v>
      </c>
      <c r="C3">
        <f t="shared" ref="C3:C12" si="0">0.0001*EXP(10.4*A3)</f>
        <v>2.9613925921599615</v>
      </c>
      <c r="D3">
        <f t="shared" ref="D3:D22" si="1">A3^4*1</f>
        <v>0.96059600999999994</v>
      </c>
    </row>
    <row r="4" spans="1:4" x14ac:dyDescent="0.35">
      <c r="A4">
        <f t="shared" ref="A4:A12" si="2">A3-0.01</f>
        <v>0.98</v>
      </c>
      <c r="B4">
        <v>2.63</v>
      </c>
      <c r="C4">
        <f t="shared" si="0"/>
        <v>2.6688819196503157</v>
      </c>
      <c r="D4">
        <f t="shared" si="1"/>
        <v>0.92236815999999988</v>
      </c>
    </row>
    <row r="5" spans="1:4" x14ac:dyDescent="0.35">
      <c r="A5">
        <f t="shared" si="2"/>
        <v>0.97</v>
      </c>
      <c r="B5">
        <v>2.4</v>
      </c>
      <c r="C5">
        <f t="shared" si="0"/>
        <v>2.4052639018189295</v>
      </c>
      <c r="D5">
        <f t="shared" si="1"/>
        <v>0.88529280999999993</v>
      </c>
    </row>
    <row r="6" spans="1:4" x14ac:dyDescent="0.35">
      <c r="A6">
        <f t="shared" si="2"/>
        <v>0.96</v>
      </c>
      <c r="B6">
        <v>2.2000000000000002</v>
      </c>
      <c r="C6">
        <f t="shared" si="0"/>
        <v>2.1676846752932541</v>
      </c>
      <c r="D6">
        <f t="shared" si="1"/>
        <v>0.84934655999999997</v>
      </c>
    </row>
    <row r="7" spans="1:4" x14ac:dyDescent="0.35">
      <c r="A7">
        <f t="shared" si="2"/>
        <v>0.95</v>
      </c>
      <c r="B7">
        <v>2</v>
      </c>
      <c r="C7">
        <f t="shared" si="0"/>
        <v>1.9535722662065489</v>
      </c>
      <c r="D7">
        <f t="shared" si="1"/>
        <v>0.81450624999999999</v>
      </c>
    </row>
    <row r="8" spans="1:4" x14ac:dyDescent="0.35">
      <c r="A8">
        <f t="shared" si="2"/>
        <v>0.94</v>
      </c>
      <c r="B8">
        <v>1.8</v>
      </c>
      <c r="C8">
        <f t="shared" si="0"/>
        <v>1.7606087466458153</v>
      </c>
      <c r="D8">
        <f t="shared" si="1"/>
        <v>0.78074895999999994</v>
      </c>
    </row>
    <row r="9" spans="1:4" x14ac:dyDescent="0.35">
      <c r="A9">
        <f t="shared" si="2"/>
        <v>0.92999999999999994</v>
      </c>
      <c r="B9">
        <v>1.65</v>
      </c>
      <c r="C9">
        <f t="shared" si="0"/>
        <v>1.5867051413382478</v>
      </c>
      <c r="D9">
        <f t="shared" si="1"/>
        <v>0.74805200999999977</v>
      </c>
    </row>
    <row r="10" spans="1:4" x14ac:dyDescent="0.35">
      <c r="A10">
        <f t="shared" si="2"/>
        <v>0.91999999999999993</v>
      </c>
      <c r="B10">
        <v>1.5</v>
      </c>
      <c r="C10">
        <f t="shared" si="0"/>
        <v>1.4299788129223183</v>
      </c>
      <c r="D10">
        <f t="shared" si="1"/>
        <v>0.71639295999999975</v>
      </c>
    </row>
    <row r="11" spans="1:4" x14ac:dyDescent="0.35">
      <c r="A11">
        <f t="shared" si="2"/>
        <v>0.90999999999999992</v>
      </c>
      <c r="B11">
        <v>1.35</v>
      </c>
      <c r="C11">
        <f t="shared" si="0"/>
        <v>1.2887330809819364</v>
      </c>
      <c r="D11">
        <f t="shared" si="1"/>
        <v>0.68574960999999968</v>
      </c>
    </row>
    <row r="12" spans="1:4" x14ac:dyDescent="0.35">
      <c r="A12">
        <f t="shared" si="2"/>
        <v>0.89999999999999991</v>
      </c>
      <c r="B12">
        <v>1.2</v>
      </c>
      <c r="C12">
        <f t="shared" si="0"/>
        <v>1.161438854204492</v>
      </c>
      <c r="D12">
        <f t="shared" si="1"/>
        <v>0.65609999999999968</v>
      </c>
    </row>
    <row r="13" spans="1:4" x14ac:dyDescent="0.35">
      <c r="A13">
        <v>0.85</v>
      </c>
      <c r="B13">
        <v>0.85</v>
      </c>
      <c r="C13">
        <f>0.0105*EXP(5.2*A13)</f>
        <v>0.87251099626260953</v>
      </c>
      <c r="D13">
        <f t="shared" si="1"/>
        <v>0.52200624999999989</v>
      </c>
    </row>
    <row r="14" spans="1:4" x14ac:dyDescent="0.35">
      <c r="A14">
        <v>0.8</v>
      </c>
      <c r="B14">
        <v>0.63600000000000001</v>
      </c>
      <c r="C14">
        <f>0.0105*EXP(5.2*A14)</f>
        <v>0.6727509872993348</v>
      </c>
      <c r="D14">
        <f t="shared" si="1"/>
        <v>0.40960000000000019</v>
      </c>
    </row>
    <row r="15" spans="1:4" x14ac:dyDescent="0.35">
      <c r="A15">
        <v>0.7</v>
      </c>
      <c r="B15">
        <v>0.41699999999999998</v>
      </c>
      <c r="C15">
        <f>0.0105*EXP(5.2*A15)</f>
        <v>0.39996428561668956</v>
      </c>
      <c r="D15">
        <f t="shared" si="1"/>
        <v>0.24009999999999992</v>
      </c>
    </row>
    <row r="16" spans="1:4" x14ac:dyDescent="0.35">
      <c r="A16">
        <v>0.6</v>
      </c>
      <c r="B16">
        <v>0.28999999999999998</v>
      </c>
      <c r="C16">
        <f t="shared" ref="C16:C22" si="3" xml:space="preserve"> 0.0564*EXP(2.75*A16)</f>
        <v>0.29367366225294345</v>
      </c>
      <c r="D16">
        <f t="shared" si="1"/>
        <v>0.12959999999999999</v>
      </c>
    </row>
    <row r="17" spans="1:4" x14ac:dyDescent="0.35">
      <c r="A17">
        <v>0.5</v>
      </c>
      <c r="B17">
        <v>0.22</v>
      </c>
      <c r="C17">
        <f t="shared" si="3"/>
        <v>0.22306632717272054</v>
      </c>
      <c r="D17">
        <f t="shared" si="1"/>
        <v>6.25E-2</v>
      </c>
    </row>
    <row r="18" spans="1:4" x14ac:dyDescent="0.35">
      <c r="A18">
        <v>0.4</v>
      </c>
      <c r="B18">
        <v>0.156</v>
      </c>
      <c r="C18">
        <f t="shared" si="3"/>
        <v>0.16943496375057884</v>
      </c>
      <c r="D18">
        <f t="shared" si="1"/>
        <v>2.5600000000000012E-2</v>
      </c>
    </row>
    <row r="19" spans="1:4" x14ac:dyDescent="0.35">
      <c r="A19">
        <v>0.3</v>
      </c>
      <c r="B19">
        <v>0.121</v>
      </c>
      <c r="C19">
        <f t="shared" si="3"/>
        <v>0.12869807516457271</v>
      </c>
      <c r="D19">
        <f t="shared" si="1"/>
        <v>8.0999999999999996E-3</v>
      </c>
    </row>
    <row r="20" spans="1:4" x14ac:dyDescent="0.35">
      <c r="A20">
        <v>0.2</v>
      </c>
      <c r="B20">
        <v>9.8000000000000004E-2</v>
      </c>
      <c r="C20">
        <f t="shared" si="3"/>
        <v>9.7755470207721087E-2</v>
      </c>
      <c r="D20">
        <f t="shared" si="1"/>
        <v>1.6000000000000007E-3</v>
      </c>
    </row>
    <row r="21" spans="1:4" x14ac:dyDescent="0.35">
      <c r="A21">
        <v>0.1</v>
      </c>
      <c r="B21">
        <v>7.9000000000000001E-2</v>
      </c>
      <c r="C21">
        <f t="shared" si="3"/>
        <v>7.4252330062533858E-2</v>
      </c>
      <c r="D21">
        <f t="shared" si="1"/>
        <v>1.0000000000000005E-4</v>
      </c>
    </row>
    <row r="22" spans="1:4" x14ac:dyDescent="0.35">
      <c r="A22">
        <v>0.05</v>
      </c>
      <c r="B22">
        <v>6.3E-2</v>
      </c>
      <c r="C22">
        <f t="shared" si="3"/>
        <v>6.471345621682488E-2</v>
      </c>
      <c r="D22">
        <f t="shared" si="1"/>
        <v>6.2500000000000028E-6</v>
      </c>
    </row>
    <row r="23" spans="1:4" x14ac:dyDescent="0.35">
      <c r="A23">
        <v>0</v>
      </c>
      <c r="B23">
        <v>0</v>
      </c>
      <c r="D23">
        <f>A23^4*1</f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312"/>
  <sheetViews>
    <sheetView zoomScaleNormal="100" workbookViewId="0">
      <pane xSplit="2" ySplit="3" topLeftCell="AB4" activePane="bottomRight" state="frozen"/>
      <selection pane="topRight" activeCell="C1" sqref="C1"/>
      <selection pane="bottomLeft" activeCell="A4" sqref="A4"/>
      <selection pane="bottomRight" activeCell="AE3" sqref="AE3"/>
    </sheetView>
  </sheetViews>
  <sheetFormatPr defaultRowHeight="14.5" x14ac:dyDescent="0.35"/>
  <cols>
    <col min="2" max="2" width="20.90625" bestFit="1" customWidth="1"/>
    <col min="3" max="3" width="6.90625" bestFit="1" customWidth="1"/>
    <col min="13" max="13" width="12.453125" bestFit="1" customWidth="1"/>
    <col min="25" max="25" width="12.453125" bestFit="1" customWidth="1"/>
    <col min="29" max="29" width="12.90625" customWidth="1"/>
    <col min="30" max="30" width="10.6328125" customWidth="1"/>
    <col min="31" max="31" width="14.1796875" bestFit="1" customWidth="1"/>
    <col min="32" max="32" width="12.81640625" bestFit="1" customWidth="1"/>
    <col min="33" max="38" width="12.81640625" customWidth="1"/>
    <col min="39" max="39" width="10.1796875" bestFit="1" customWidth="1"/>
    <col min="40" max="40" width="11.453125" bestFit="1" customWidth="1"/>
    <col min="42" max="42" width="11.81640625" bestFit="1" customWidth="1"/>
    <col min="43" max="43" width="16.90625" customWidth="1"/>
  </cols>
  <sheetData>
    <row r="1" spans="1:43" x14ac:dyDescent="0.35">
      <c r="B1" t="s">
        <v>144</v>
      </c>
      <c r="M1" s="13">
        <f>0.25</f>
        <v>0.25</v>
      </c>
      <c r="X1">
        <v>3</v>
      </c>
      <c r="AD1" s="19" t="s">
        <v>221</v>
      </c>
      <c r="AH1" t="s">
        <v>223</v>
      </c>
    </row>
    <row r="2" spans="1:43" x14ac:dyDescent="0.35">
      <c r="A2" t="s">
        <v>4</v>
      </c>
      <c r="B2" t="s">
        <v>5</v>
      </c>
      <c r="D2">
        <v>127</v>
      </c>
      <c r="E2" t="s">
        <v>141</v>
      </c>
      <c r="F2">
        <v>120</v>
      </c>
      <c r="H2">
        <v>112</v>
      </c>
      <c r="K2">
        <v>96</v>
      </c>
      <c r="N2">
        <v>80</v>
      </c>
      <c r="P2">
        <v>64</v>
      </c>
      <c r="S2">
        <v>48</v>
      </c>
      <c r="T2">
        <v>32</v>
      </c>
      <c r="W2">
        <v>16</v>
      </c>
      <c r="Z2">
        <v>0</v>
      </c>
      <c r="AD2" t="s">
        <v>222</v>
      </c>
    </row>
    <row r="3" spans="1:43" ht="43.5" x14ac:dyDescent="0.35">
      <c r="B3">
        <v>0</v>
      </c>
      <c r="C3" s="8"/>
      <c r="D3" s="8">
        <f>D2/127</f>
        <v>1</v>
      </c>
      <c r="E3" s="8"/>
      <c r="F3" s="8">
        <f>F2/127</f>
        <v>0.94488188976377951</v>
      </c>
      <c r="G3" s="8"/>
      <c r="H3" s="8">
        <f>H2/127</f>
        <v>0.88188976377952755</v>
      </c>
      <c r="I3" s="8"/>
      <c r="J3" s="8"/>
      <c r="K3" s="8">
        <f>K2/127</f>
        <v>0.75590551181102361</v>
      </c>
      <c r="L3" s="8"/>
      <c r="M3" s="8" t="s">
        <v>145</v>
      </c>
      <c r="N3" s="8">
        <f>N2/127</f>
        <v>0.62992125984251968</v>
      </c>
      <c r="O3" s="8"/>
      <c r="P3" s="8">
        <f>P2/127</f>
        <v>0.50393700787401574</v>
      </c>
      <c r="Q3" s="8"/>
      <c r="R3" s="8" t="s">
        <v>147</v>
      </c>
      <c r="S3" s="8">
        <f>S2/127</f>
        <v>0.37795275590551181</v>
      </c>
      <c r="T3" s="8">
        <f>T2/127</f>
        <v>0.25196850393700787</v>
      </c>
      <c r="U3" s="8"/>
      <c r="V3" s="8" t="s">
        <v>146</v>
      </c>
      <c r="W3" s="8">
        <f>W2/127</f>
        <v>0.12598425196850394</v>
      </c>
      <c r="X3" s="8"/>
      <c r="Z3" s="8">
        <f>Z2/127</f>
        <v>0</v>
      </c>
      <c r="AE3" t="s">
        <v>226</v>
      </c>
      <c r="AH3" t="s">
        <v>214</v>
      </c>
      <c r="AO3" s="18" t="s">
        <v>224</v>
      </c>
      <c r="AQ3" s="12" t="s">
        <v>225</v>
      </c>
    </row>
    <row r="4" spans="1:43" x14ac:dyDescent="0.35">
      <c r="A4">
        <v>127</v>
      </c>
      <c r="B4" s="7">
        <f>A4/127</f>
        <v>1</v>
      </c>
      <c r="D4">
        <v>0</v>
      </c>
      <c r="F4">
        <v>0</v>
      </c>
      <c r="G4">
        <f>(F$131-F4)/F$131</f>
        <v>1</v>
      </c>
      <c r="H4">
        <v>0</v>
      </c>
      <c r="I4">
        <f>(H$131-H4)/H$131</f>
        <v>1</v>
      </c>
      <c r="J4">
        <f>POWER($B4,4*H$3^2-8*H$3+4)</f>
        <v>1</v>
      </c>
      <c r="K4">
        <v>0</v>
      </c>
      <c r="L4">
        <f>(K$130-K4)/K$130</f>
        <v>1</v>
      </c>
      <c r="M4">
        <f>POWER(B4,4*K$3^2-8*K$3+4)</f>
        <v>1</v>
      </c>
      <c r="N4">
        <v>0</v>
      </c>
      <c r="O4">
        <f>(N$130-N4)/N$130</f>
        <v>1</v>
      </c>
      <c r="P4">
        <v>0</v>
      </c>
      <c r="Q4">
        <f>(P$130-P4)/P$130</f>
        <v>1</v>
      </c>
      <c r="R4">
        <f>POWER($B4,4*P$3^2-8*P$3+4)</f>
        <v>1</v>
      </c>
      <c r="T4">
        <v>0.56000000000000005</v>
      </c>
      <c r="U4">
        <f t="shared" ref="U4:U10" si="0">(T$131-T4)/T$131</f>
        <v>0.97683078196110884</v>
      </c>
      <c r="V4">
        <f>POWER(L4,1-$T$3)</f>
        <v>1</v>
      </c>
      <c r="W4">
        <v>0.93</v>
      </c>
      <c r="X4">
        <f>(W$130-W4)/W$130</f>
        <v>0.9561320754716981</v>
      </c>
      <c r="Y4">
        <f>POWER($B4,$X$1)</f>
        <v>1</v>
      </c>
      <c r="Z4">
        <v>1</v>
      </c>
      <c r="AA4">
        <f>(Z$130-Z4)/Z$130</f>
        <v>0.93377483443708609</v>
      </c>
      <c r="AD4" t="s">
        <v>213</v>
      </c>
      <c r="AH4" s="9">
        <v>-0.25</v>
      </c>
      <c r="AO4">
        <v>60</v>
      </c>
      <c r="AP4">
        <f>60/12</f>
        <v>5</v>
      </c>
      <c r="AQ4">
        <f t="shared" ref="AQ4:AQ9" si="1">AO4/96</f>
        <v>0.625</v>
      </c>
    </row>
    <row r="5" spans="1:43" x14ac:dyDescent="0.35">
      <c r="A5">
        <f>A4-1</f>
        <v>126</v>
      </c>
      <c r="B5" s="7">
        <f t="shared" ref="B5:B68" si="2">A5/127</f>
        <v>0.99212598425196852</v>
      </c>
      <c r="T5">
        <v>1.4</v>
      </c>
      <c r="U5">
        <f t="shared" si="0"/>
        <v>0.9420769549027721</v>
      </c>
      <c r="W5">
        <v>1.94</v>
      </c>
      <c r="AC5" t="s">
        <v>139</v>
      </c>
      <c r="AD5" t="s">
        <v>215</v>
      </c>
      <c r="AE5" t="s">
        <v>216</v>
      </c>
      <c r="AF5" t="s">
        <v>217</v>
      </c>
      <c r="AG5" t="s">
        <v>218</v>
      </c>
      <c r="AH5" s="9" t="s">
        <v>142</v>
      </c>
      <c r="AI5" t="s">
        <v>143</v>
      </c>
      <c r="AJ5" t="s">
        <v>219</v>
      </c>
      <c r="AK5" t="s">
        <v>220</v>
      </c>
      <c r="AL5" t="s">
        <v>153</v>
      </c>
      <c r="AM5" t="s">
        <v>154</v>
      </c>
      <c r="AO5">
        <v>72</v>
      </c>
      <c r="AP5">
        <f>72/12</f>
        <v>6</v>
      </c>
      <c r="AQ5">
        <f t="shared" si="1"/>
        <v>0.75</v>
      </c>
    </row>
    <row r="6" spans="1:43" x14ac:dyDescent="0.35">
      <c r="A6">
        <f t="shared" ref="A6:A69" si="3">A5-1</f>
        <v>125</v>
      </c>
      <c r="B6" s="7">
        <f t="shared" si="2"/>
        <v>0.98425196850393704</v>
      </c>
      <c r="T6">
        <v>2.1</v>
      </c>
      <c r="U6">
        <f t="shared" si="0"/>
        <v>0.91311543235415804</v>
      </c>
      <c r="AC6" s="9">
        <v>0.06</v>
      </c>
      <c r="AD6">
        <v>6</v>
      </c>
      <c r="AH6">
        <v>4.5999999999999996</v>
      </c>
      <c r="AI6">
        <v>4.4000000000000004</v>
      </c>
      <c r="AL6">
        <v>9.6999999999999993</v>
      </c>
      <c r="AM6">
        <v>15.8</v>
      </c>
      <c r="AO6" s="11">
        <v>84</v>
      </c>
      <c r="AP6" s="11">
        <v>7</v>
      </c>
      <c r="AQ6" s="11">
        <f t="shared" si="1"/>
        <v>0.875</v>
      </c>
    </row>
    <row r="7" spans="1:43" x14ac:dyDescent="0.35">
      <c r="A7">
        <f t="shared" si="3"/>
        <v>124</v>
      </c>
      <c r="B7" s="7">
        <f t="shared" si="2"/>
        <v>0.97637795275590555</v>
      </c>
      <c r="T7">
        <v>2.7</v>
      </c>
      <c r="U7">
        <f t="shared" si="0"/>
        <v>0.88829127016963183</v>
      </c>
      <c r="W7">
        <v>3.9</v>
      </c>
      <c r="Z7">
        <v>4.32</v>
      </c>
      <c r="AA7">
        <f>(Z$130-Z7)/Z$130</f>
        <v>0.71390728476821186</v>
      </c>
      <c r="AC7" s="9">
        <v>0.125</v>
      </c>
      <c r="AD7">
        <v>15</v>
      </c>
      <c r="AE7">
        <v>13</v>
      </c>
      <c r="AG7">
        <v>10.5</v>
      </c>
      <c r="AH7">
        <v>10.5</v>
      </c>
      <c r="AI7">
        <v>10.4</v>
      </c>
      <c r="AK7">
        <v>8</v>
      </c>
      <c r="AL7">
        <v>13.6</v>
      </c>
      <c r="AM7">
        <v>19.5</v>
      </c>
      <c r="AO7">
        <v>96</v>
      </c>
      <c r="AP7">
        <f>96/12</f>
        <v>8</v>
      </c>
      <c r="AQ7">
        <f t="shared" si="1"/>
        <v>1</v>
      </c>
    </row>
    <row r="8" spans="1:43" x14ac:dyDescent="0.35">
      <c r="A8">
        <f t="shared" si="3"/>
        <v>123</v>
      </c>
      <c r="B8" s="7">
        <f t="shared" si="2"/>
        <v>0.96850393700787396</v>
      </c>
      <c r="T8">
        <v>3.5</v>
      </c>
      <c r="U8">
        <f t="shared" si="0"/>
        <v>0.85519238725693014</v>
      </c>
      <c r="AC8" s="10">
        <v>0.25</v>
      </c>
      <c r="AD8" s="11">
        <v>30</v>
      </c>
      <c r="AE8" s="11">
        <v>27</v>
      </c>
      <c r="AF8" s="11">
        <v>25</v>
      </c>
      <c r="AG8" s="11"/>
      <c r="AH8">
        <v>21.5</v>
      </c>
      <c r="AI8">
        <v>21.5</v>
      </c>
      <c r="AJ8" s="11">
        <v>18</v>
      </c>
      <c r="AK8" s="11">
        <v>15</v>
      </c>
      <c r="AL8" s="11">
        <v>21.19</v>
      </c>
      <c r="AM8" s="11">
        <v>27.13</v>
      </c>
      <c r="AO8">
        <v>108</v>
      </c>
      <c r="AP8">
        <f>108/12</f>
        <v>9</v>
      </c>
      <c r="AQ8">
        <f t="shared" si="1"/>
        <v>1.125</v>
      </c>
    </row>
    <row r="9" spans="1:43" x14ac:dyDescent="0.35">
      <c r="A9">
        <f t="shared" si="3"/>
        <v>122</v>
      </c>
      <c r="B9" s="7">
        <f t="shared" si="2"/>
        <v>0.96062992125984248</v>
      </c>
      <c r="T9">
        <v>4.2</v>
      </c>
      <c r="U9">
        <f t="shared" si="0"/>
        <v>0.82623086470831608</v>
      </c>
      <c r="AC9" s="9">
        <v>0.5</v>
      </c>
      <c r="AD9">
        <v>60</v>
      </c>
      <c r="AE9">
        <v>54</v>
      </c>
      <c r="AF9">
        <v>51</v>
      </c>
      <c r="AG9">
        <v>42</v>
      </c>
      <c r="AH9">
        <v>42.4</v>
      </c>
      <c r="AI9">
        <v>42.4</v>
      </c>
      <c r="AJ9">
        <v>36</v>
      </c>
      <c r="AO9">
        <v>120</v>
      </c>
      <c r="AP9">
        <f>120/12</f>
        <v>10</v>
      </c>
      <c r="AQ9">
        <f t="shared" si="1"/>
        <v>1.25</v>
      </c>
    </row>
    <row r="10" spans="1:43" x14ac:dyDescent="0.35">
      <c r="A10">
        <f t="shared" si="3"/>
        <v>121</v>
      </c>
      <c r="B10" s="7">
        <f t="shared" si="2"/>
        <v>0.952755905511811</v>
      </c>
      <c r="T10">
        <v>4.82</v>
      </c>
      <c r="U10">
        <f t="shared" si="0"/>
        <v>0.80057923045097223</v>
      </c>
      <c r="AC10" s="9">
        <v>0.62</v>
      </c>
      <c r="AD10">
        <v>74</v>
      </c>
      <c r="AG10">
        <v>48</v>
      </c>
    </row>
    <row r="11" spans="1:43" x14ac:dyDescent="0.35">
      <c r="A11">
        <f t="shared" si="3"/>
        <v>120</v>
      </c>
      <c r="B11" s="7">
        <f t="shared" si="2"/>
        <v>0.94488188976377951</v>
      </c>
      <c r="J11">
        <f>POWER($B11,4*H$3^2-8*H$3+4)</f>
        <v>0.9968413924257542</v>
      </c>
      <c r="K11">
        <v>0.25</v>
      </c>
      <c r="L11">
        <f>(K$130-K11)/K$130</f>
        <v>0.98750000000000004</v>
      </c>
      <c r="M11">
        <f>POWER(B11,4*K$3^2-8*K$3+4)</f>
        <v>0.9865787639501834</v>
      </c>
      <c r="N11">
        <v>0.5</v>
      </c>
      <c r="O11">
        <f>(N$130-N11)/N$130</f>
        <v>0.9663752521856086</v>
      </c>
      <c r="T11">
        <v>5.5</v>
      </c>
      <c r="U11">
        <f>(T$131-T11)/T$131</f>
        <v>0.77244517997517581</v>
      </c>
      <c r="V11">
        <f>POWER(L11,1-$T$3)</f>
        <v>0.99063480391112224</v>
      </c>
      <c r="W11">
        <v>7.85</v>
      </c>
      <c r="X11">
        <f>(W$130-W11)/W$130</f>
        <v>0.62971698113207553</v>
      </c>
      <c r="Y11">
        <f>POWER($B11,$X$1)</f>
        <v>0.84359223836557906</v>
      </c>
      <c r="Z11">
        <v>8.5</v>
      </c>
      <c r="AA11">
        <f>(Z$130-Z11)/Z$130</f>
        <v>0.4370860927152318</v>
      </c>
      <c r="AC11" s="9">
        <v>0.65</v>
      </c>
      <c r="AD11">
        <v>78</v>
      </c>
    </row>
    <row r="12" spans="1:43" x14ac:dyDescent="0.35">
      <c r="A12">
        <f t="shared" si="3"/>
        <v>119</v>
      </c>
      <c r="B12" s="7">
        <f t="shared" si="2"/>
        <v>0.93700787401574803</v>
      </c>
      <c r="AC12" s="9">
        <v>0.69</v>
      </c>
      <c r="AD12">
        <v>82</v>
      </c>
    </row>
    <row r="13" spans="1:43" x14ac:dyDescent="0.35">
      <c r="A13">
        <f t="shared" si="3"/>
        <v>118</v>
      </c>
      <c r="B13" s="7">
        <f t="shared" si="2"/>
        <v>0.92913385826771655</v>
      </c>
      <c r="AC13" s="9">
        <v>0.75</v>
      </c>
      <c r="AD13">
        <v>84</v>
      </c>
      <c r="AE13" t="s">
        <v>140</v>
      </c>
    </row>
    <row r="14" spans="1:43" x14ac:dyDescent="0.35">
      <c r="A14">
        <f t="shared" si="3"/>
        <v>117</v>
      </c>
      <c r="B14" s="7">
        <f t="shared" si="2"/>
        <v>0.92125984251968507</v>
      </c>
      <c r="AC14" s="9">
        <v>1</v>
      </c>
      <c r="AD14">
        <v>84</v>
      </c>
      <c r="AE14" t="s">
        <v>140</v>
      </c>
    </row>
    <row r="15" spans="1:43" x14ac:dyDescent="0.35">
      <c r="A15">
        <f t="shared" si="3"/>
        <v>116</v>
      </c>
      <c r="B15" s="7">
        <f t="shared" si="2"/>
        <v>0.91338582677165359</v>
      </c>
    </row>
    <row r="16" spans="1:43" x14ac:dyDescent="0.35">
      <c r="A16">
        <f t="shared" si="3"/>
        <v>115</v>
      </c>
      <c r="B16" s="7">
        <f t="shared" si="2"/>
        <v>0.90551181102362199</v>
      </c>
    </row>
    <row r="17" spans="1:27" x14ac:dyDescent="0.35">
      <c r="A17">
        <f t="shared" si="3"/>
        <v>114</v>
      </c>
      <c r="B17" s="7">
        <f t="shared" si="2"/>
        <v>0.89763779527559051</v>
      </c>
    </row>
    <row r="18" spans="1:27" x14ac:dyDescent="0.35">
      <c r="A18">
        <f t="shared" si="3"/>
        <v>113</v>
      </c>
      <c r="B18" s="7">
        <f t="shared" si="2"/>
        <v>0.88976377952755903</v>
      </c>
    </row>
    <row r="19" spans="1:27" x14ac:dyDescent="0.35">
      <c r="A19">
        <f t="shared" si="3"/>
        <v>112</v>
      </c>
      <c r="B19" s="7">
        <f t="shared" si="2"/>
        <v>0.88188976377952755</v>
      </c>
      <c r="F19">
        <v>0.11</v>
      </c>
      <c r="G19">
        <f>(F$131-F19)/F$131</f>
        <v>0.99517543859649127</v>
      </c>
      <c r="J19">
        <f>POWER($B19,4*H$3^2-8*H$3+4)</f>
        <v>0.99301112017674498</v>
      </c>
      <c r="K19">
        <v>0.5</v>
      </c>
      <c r="L19">
        <f>(K$130-K19)/K$130</f>
        <v>0.97499999999999998</v>
      </c>
      <c r="M19">
        <f>POWER(B19,4*K$3^2-8*K$3+4)</f>
        <v>0.97048912611251981</v>
      </c>
      <c r="N19">
        <v>0.85</v>
      </c>
      <c r="O19">
        <f>(N$130-N19)/N$130</f>
        <v>0.94283792871553462</v>
      </c>
      <c r="P19">
        <v>3</v>
      </c>
      <c r="Q19">
        <f>(P$130-P19)/P$130</f>
        <v>0.8571428571428571</v>
      </c>
      <c r="R19">
        <f>POWER($B19,4*P$3^2-8*P$3+4)</f>
        <v>0.88363016799637173</v>
      </c>
      <c r="T19">
        <v>9.15</v>
      </c>
      <c r="U19">
        <f>(T$131-T19)/T$131</f>
        <v>0.62143152668597434</v>
      </c>
      <c r="V19">
        <f>POWER(L19,1-$T$3)</f>
        <v>0.98123968917925519</v>
      </c>
      <c r="W19">
        <v>10.67</v>
      </c>
      <c r="X19">
        <f>(W$130-W19)/W$130</f>
        <v>0.49669811320754714</v>
      </c>
      <c r="Y19">
        <f>POWER($B19,$X$1)</f>
        <v>0.68587173394819234</v>
      </c>
      <c r="Z19">
        <v>9.5</v>
      </c>
      <c r="AA19">
        <f>(Z$130-Z19)/Z$130</f>
        <v>0.37086092715231789</v>
      </c>
    </row>
    <row r="20" spans="1:27" x14ac:dyDescent="0.35">
      <c r="A20">
        <f t="shared" si="3"/>
        <v>111</v>
      </c>
      <c r="B20" s="7">
        <f t="shared" si="2"/>
        <v>0.87401574803149606</v>
      </c>
    </row>
    <row r="21" spans="1:27" x14ac:dyDescent="0.35">
      <c r="A21">
        <f t="shared" si="3"/>
        <v>110</v>
      </c>
      <c r="B21" s="7">
        <f t="shared" si="2"/>
        <v>0.86614173228346458</v>
      </c>
    </row>
    <row r="22" spans="1:27" x14ac:dyDescent="0.35">
      <c r="A22">
        <f t="shared" si="3"/>
        <v>109</v>
      </c>
      <c r="B22" s="7">
        <f t="shared" si="2"/>
        <v>0.8582677165354331</v>
      </c>
    </row>
    <row r="23" spans="1:27" x14ac:dyDescent="0.35">
      <c r="A23">
        <f t="shared" si="3"/>
        <v>108</v>
      </c>
      <c r="B23" s="7">
        <f t="shared" si="2"/>
        <v>0.85039370078740162</v>
      </c>
    </row>
    <row r="24" spans="1:27" x14ac:dyDescent="0.35">
      <c r="A24">
        <f t="shared" si="3"/>
        <v>107</v>
      </c>
      <c r="B24" s="7">
        <f t="shared" si="2"/>
        <v>0.84251968503937003</v>
      </c>
    </row>
    <row r="25" spans="1:27" x14ac:dyDescent="0.35">
      <c r="A25">
        <f t="shared" si="3"/>
        <v>106</v>
      </c>
      <c r="B25" s="7">
        <f t="shared" si="2"/>
        <v>0.83464566929133854</v>
      </c>
    </row>
    <row r="26" spans="1:27" x14ac:dyDescent="0.35">
      <c r="A26">
        <f t="shared" si="3"/>
        <v>105</v>
      </c>
      <c r="B26" s="7">
        <f t="shared" si="2"/>
        <v>0.82677165354330706</v>
      </c>
    </row>
    <row r="27" spans="1:27" x14ac:dyDescent="0.35">
      <c r="A27">
        <f t="shared" si="3"/>
        <v>104</v>
      </c>
      <c r="B27" s="7">
        <f t="shared" si="2"/>
        <v>0.81889763779527558</v>
      </c>
    </row>
    <row r="28" spans="1:27" x14ac:dyDescent="0.35">
      <c r="A28">
        <f t="shared" si="3"/>
        <v>103</v>
      </c>
      <c r="B28" s="7">
        <f t="shared" si="2"/>
        <v>0.8110236220472441</v>
      </c>
    </row>
    <row r="29" spans="1:27" x14ac:dyDescent="0.35">
      <c r="A29">
        <f t="shared" si="3"/>
        <v>102</v>
      </c>
      <c r="B29" s="7">
        <f t="shared" si="2"/>
        <v>0.80314960629921262</v>
      </c>
    </row>
    <row r="30" spans="1:27" x14ac:dyDescent="0.35">
      <c r="A30">
        <f t="shared" si="3"/>
        <v>101</v>
      </c>
      <c r="B30" s="7">
        <f t="shared" si="2"/>
        <v>0.79527559055118113</v>
      </c>
    </row>
    <row r="31" spans="1:27" x14ac:dyDescent="0.35">
      <c r="A31">
        <f t="shared" si="3"/>
        <v>100</v>
      </c>
      <c r="B31" s="7">
        <f t="shared" si="2"/>
        <v>0.78740157480314965</v>
      </c>
    </row>
    <row r="32" spans="1:27" x14ac:dyDescent="0.35">
      <c r="A32">
        <f t="shared" si="3"/>
        <v>99</v>
      </c>
      <c r="B32" s="7">
        <f t="shared" si="2"/>
        <v>0.77952755905511806</v>
      </c>
    </row>
    <row r="33" spans="1:27" x14ac:dyDescent="0.35">
      <c r="A33">
        <f t="shared" si="3"/>
        <v>98</v>
      </c>
      <c r="B33" s="7">
        <f t="shared" si="2"/>
        <v>0.77165354330708658</v>
      </c>
    </row>
    <row r="34" spans="1:27" x14ac:dyDescent="0.35">
      <c r="A34">
        <f t="shared" si="3"/>
        <v>97</v>
      </c>
      <c r="B34" s="7">
        <f t="shared" si="2"/>
        <v>0.76377952755905509</v>
      </c>
    </row>
    <row r="35" spans="1:27" x14ac:dyDescent="0.35">
      <c r="A35">
        <f t="shared" si="3"/>
        <v>96</v>
      </c>
      <c r="B35" s="7">
        <f t="shared" si="2"/>
        <v>0.75590551181102361</v>
      </c>
      <c r="H35">
        <v>0.44</v>
      </c>
      <c r="J35">
        <f>POWER($B35,4*H$3^2-8*H$3+4)</f>
        <v>0.98450624109251961</v>
      </c>
      <c r="K35">
        <v>1</v>
      </c>
      <c r="L35">
        <f>(K$130-K35)/K$130</f>
        <v>0.95</v>
      </c>
      <c r="M35">
        <f>POWER(B35,4*K$3^2-8*K$3+4)</f>
        <v>0.93548181004867836</v>
      </c>
      <c r="N35">
        <v>1.69</v>
      </c>
      <c r="O35">
        <f>(N$130-N35)/N$130</f>
        <v>0.8863483523873571</v>
      </c>
      <c r="P35">
        <v>5</v>
      </c>
      <c r="Q35">
        <f>(P$130-P35)/P$130</f>
        <v>0.76190476190476186</v>
      </c>
      <c r="R35">
        <f>POWER($B35,4*P$3^2-8*P$3+4)</f>
        <v>0.75923089884008221</v>
      </c>
      <c r="T35">
        <v>12.25</v>
      </c>
      <c r="U35">
        <f>(T$131-T35)/T$131</f>
        <v>0.49317335539925533</v>
      </c>
      <c r="V35">
        <f>POWER(L35,1-$T$3)</f>
        <v>0.96235776560137398</v>
      </c>
      <c r="W35">
        <v>13.4</v>
      </c>
      <c r="X35">
        <f>(W$130-W35)/W$130</f>
        <v>0.36792452830188677</v>
      </c>
      <c r="Y35">
        <f>POWER($B35,$X$1)</f>
        <v>0.43191922604317645</v>
      </c>
      <c r="Z35">
        <v>11.5</v>
      </c>
      <c r="AA35">
        <f>(Z$130-Z35)/Z$130</f>
        <v>0.23841059602649003</v>
      </c>
    </row>
    <row r="36" spans="1:27" x14ac:dyDescent="0.35">
      <c r="A36">
        <f t="shared" si="3"/>
        <v>95</v>
      </c>
      <c r="B36" s="7">
        <f t="shared" si="2"/>
        <v>0.74803149606299213</v>
      </c>
    </row>
    <row r="37" spans="1:27" x14ac:dyDescent="0.35">
      <c r="A37">
        <f t="shared" si="3"/>
        <v>94</v>
      </c>
      <c r="B37" s="7">
        <f t="shared" si="2"/>
        <v>0.74015748031496065</v>
      </c>
    </row>
    <row r="38" spans="1:27" x14ac:dyDescent="0.35">
      <c r="A38">
        <f t="shared" si="3"/>
        <v>93</v>
      </c>
      <c r="B38" s="7">
        <f t="shared" si="2"/>
        <v>0.73228346456692917</v>
      </c>
    </row>
    <row r="39" spans="1:27" x14ac:dyDescent="0.35">
      <c r="A39">
        <f t="shared" si="3"/>
        <v>92</v>
      </c>
      <c r="B39" s="7">
        <f t="shared" si="2"/>
        <v>0.72440944881889768</v>
      </c>
    </row>
    <row r="40" spans="1:27" x14ac:dyDescent="0.35">
      <c r="A40">
        <f t="shared" si="3"/>
        <v>91</v>
      </c>
      <c r="B40" s="7">
        <f t="shared" si="2"/>
        <v>0.71653543307086609</v>
      </c>
    </row>
    <row r="41" spans="1:27" x14ac:dyDescent="0.35">
      <c r="A41">
        <f t="shared" si="3"/>
        <v>90</v>
      </c>
      <c r="B41" s="7">
        <f t="shared" si="2"/>
        <v>0.70866141732283461</v>
      </c>
    </row>
    <row r="42" spans="1:27" x14ac:dyDescent="0.35">
      <c r="A42">
        <f t="shared" si="3"/>
        <v>89</v>
      </c>
      <c r="B42" s="7">
        <f t="shared" si="2"/>
        <v>0.70078740157480313</v>
      </c>
    </row>
    <row r="43" spans="1:27" x14ac:dyDescent="0.35">
      <c r="A43">
        <f t="shared" si="3"/>
        <v>88</v>
      </c>
      <c r="B43" s="7">
        <f t="shared" si="2"/>
        <v>0.69291338582677164</v>
      </c>
    </row>
    <row r="44" spans="1:27" x14ac:dyDescent="0.35">
      <c r="A44">
        <f t="shared" si="3"/>
        <v>87</v>
      </c>
      <c r="B44" s="7">
        <f t="shared" si="2"/>
        <v>0.68503937007874016</v>
      </c>
    </row>
    <row r="45" spans="1:27" x14ac:dyDescent="0.35">
      <c r="A45">
        <f t="shared" si="3"/>
        <v>86</v>
      </c>
      <c r="B45" s="7">
        <f t="shared" si="2"/>
        <v>0.67716535433070868</v>
      </c>
    </row>
    <row r="46" spans="1:27" x14ac:dyDescent="0.35">
      <c r="A46">
        <f t="shared" si="3"/>
        <v>85</v>
      </c>
      <c r="B46" s="7">
        <f t="shared" si="2"/>
        <v>0.6692913385826772</v>
      </c>
    </row>
    <row r="47" spans="1:27" x14ac:dyDescent="0.35">
      <c r="A47">
        <f t="shared" si="3"/>
        <v>84</v>
      </c>
      <c r="B47" s="7">
        <f t="shared" si="2"/>
        <v>0.66141732283464572</v>
      </c>
    </row>
    <row r="48" spans="1:27" x14ac:dyDescent="0.35">
      <c r="A48">
        <f t="shared" si="3"/>
        <v>83</v>
      </c>
      <c r="B48" s="7">
        <f t="shared" si="2"/>
        <v>0.65354330708661412</v>
      </c>
    </row>
    <row r="49" spans="1:49" x14ac:dyDescent="0.35">
      <c r="A49">
        <f t="shared" si="3"/>
        <v>82</v>
      </c>
      <c r="B49" s="7">
        <f t="shared" si="2"/>
        <v>0.64566929133858264</v>
      </c>
      <c r="AU49" t="s">
        <v>148</v>
      </c>
      <c r="AV49" t="s">
        <v>150</v>
      </c>
      <c r="AW49" t="s">
        <v>152</v>
      </c>
    </row>
    <row r="50" spans="1:49" x14ac:dyDescent="0.35">
      <c r="A50">
        <f t="shared" si="3"/>
        <v>81</v>
      </c>
      <c r="B50" s="7">
        <f t="shared" si="2"/>
        <v>0.63779527559055116</v>
      </c>
      <c r="AU50">
        <v>120</v>
      </c>
      <c r="AV50">
        <f>AU50/127</f>
        <v>0.94488188976377951</v>
      </c>
      <c r="AW50">
        <v>2.7699999999999999E-2</v>
      </c>
    </row>
    <row r="51" spans="1:49" x14ac:dyDescent="0.35">
      <c r="A51">
        <f t="shared" si="3"/>
        <v>80</v>
      </c>
      <c r="B51" s="7">
        <f t="shared" si="2"/>
        <v>0.62992125984251968</v>
      </c>
      <c r="J51">
        <f>POWER($B51,4*H$3^2-8*H$3+4)</f>
        <v>0.97454108115479521</v>
      </c>
      <c r="K51">
        <v>1.6</v>
      </c>
      <c r="L51">
        <f>(K$130-K51)/K$130</f>
        <v>0.91999999999999993</v>
      </c>
      <c r="M51">
        <f>POWER(B51,4*K$3^2-8*K$3+4)</f>
        <v>0.89570335624439057</v>
      </c>
      <c r="N51">
        <v>2.5</v>
      </c>
      <c r="O51">
        <f>(N$130-N51)/N$130</f>
        <v>0.83187626092804301</v>
      </c>
      <c r="P51">
        <v>8</v>
      </c>
      <c r="Q51">
        <f>(P$130-P51)/P$130</f>
        <v>0.61904761904761907</v>
      </c>
      <c r="R51">
        <f>POWER($B51,4*P$3^2-8*P$3+4)</f>
        <v>0.6345044436656313</v>
      </c>
      <c r="T51">
        <v>15.35</v>
      </c>
      <c r="U51">
        <f>(T$131-T51)/T$131</f>
        <v>0.36491518411253626</v>
      </c>
      <c r="V51">
        <f>POWER(L51,1-$T$3)</f>
        <v>0.93953324991594767</v>
      </c>
      <c r="W51">
        <v>16</v>
      </c>
      <c r="X51">
        <f>(W$130-W51)/W$130</f>
        <v>0.2452830188679245</v>
      </c>
      <c r="Y51">
        <f>POWER($B51,$X$1)</f>
        <v>0.24995325581202343</v>
      </c>
      <c r="Z51">
        <v>13.3</v>
      </c>
      <c r="AA51">
        <f>(Z$130-Z51)/Z$130</f>
        <v>0.11920529801324496</v>
      </c>
      <c r="AU51">
        <v>112</v>
      </c>
      <c r="AV51">
        <f t="shared" ref="AV51:AV57" si="4">AU51/127</f>
        <v>0.88188976377952755</v>
      </c>
      <c r="AW51">
        <v>6.3799999999999996E-2</v>
      </c>
    </row>
    <row r="52" spans="1:49" x14ac:dyDescent="0.35">
      <c r="A52">
        <f t="shared" si="3"/>
        <v>79</v>
      </c>
      <c r="B52" s="7">
        <f t="shared" si="2"/>
        <v>0.62204724409448819</v>
      </c>
      <c r="AU52">
        <v>96</v>
      </c>
      <c r="AV52">
        <f t="shared" si="4"/>
        <v>0.75590551181102361</v>
      </c>
      <c r="AW52">
        <v>0.20449999999999999</v>
      </c>
    </row>
    <row r="53" spans="1:49" x14ac:dyDescent="0.35">
      <c r="A53">
        <f t="shared" si="3"/>
        <v>78</v>
      </c>
      <c r="B53" s="7">
        <f t="shared" si="2"/>
        <v>0.61417322834645671</v>
      </c>
      <c r="AU53">
        <v>80</v>
      </c>
      <c r="AV53">
        <f t="shared" si="4"/>
        <v>0.62992125984251968</v>
      </c>
      <c r="AW53">
        <v>0.4456</v>
      </c>
    </row>
    <row r="54" spans="1:49" x14ac:dyDescent="0.35">
      <c r="A54">
        <f t="shared" si="3"/>
        <v>77</v>
      </c>
      <c r="B54" s="7">
        <f t="shared" si="2"/>
        <v>0.60629921259842523</v>
      </c>
      <c r="AU54">
        <v>64</v>
      </c>
      <c r="AV54">
        <f t="shared" si="4"/>
        <v>0.50393700787401574</v>
      </c>
      <c r="AW54">
        <v>1</v>
      </c>
    </row>
    <row r="55" spans="1:49" x14ac:dyDescent="0.35">
      <c r="A55">
        <f t="shared" si="3"/>
        <v>76</v>
      </c>
      <c r="B55" s="7">
        <f t="shared" si="2"/>
        <v>0.59842519685039375</v>
      </c>
      <c r="AU55">
        <v>32</v>
      </c>
      <c r="AV55">
        <f t="shared" si="4"/>
        <v>0.25196850393700787</v>
      </c>
      <c r="AW55">
        <v>3.65</v>
      </c>
    </row>
    <row r="56" spans="1:49" x14ac:dyDescent="0.35">
      <c r="A56">
        <f t="shared" si="3"/>
        <v>75</v>
      </c>
      <c r="B56" s="7">
        <f t="shared" si="2"/>
        <v>0.59055118110236215</v>
      </c>
      <c r="AU56">
        <v>16</v>
      </c>
      <c r="AV56">
        <f t="shared" si="4"/>
        <v>0.12598425196850394</v>
      </c>
      <c r="AW56">
        <v>7.18</v>
      </c>
    </row>
    <row r="57" spans="1:49" x14ac:dyDescent="0.35">
      <c r="A57">
        <f t="shared" si="3"/>
        <v>74</v>
      </c>
      <c r="B57" s="7">
        <f t="shared" si="2"/>
        <v>0.58267716535433067</v>
      </c>
      <c r="AU57">
        <v>0</v>
      </c>
      <c r="AV57">
        <f t="shared" si="4"/>
        <v>0</v>
      </c>
      <c r="AW57">
        <v>9</v>
      </c>
    </row>
    <row r="58" spans="1:49" x14ac:dyDescent="0.35">
      <c r="A58">
        <f t="shared" si="3"/>
        <v>73</v>
      </c>
      <c r="B58" s="7">
        <f t="shared" si="2"/>
        <v>0.57480314960629919</v>
      </c>
    </row>
    <row r="59" spans="1:49" x14ac:dyDescent="0.35">
      <c r="A59">
        <f t="shared" si="3"/>
        <v>72</v>
      </c>
      <c r="B59" s="7">
        <f t="shared" si="2"/>
        <v>0.56692913385826771</v>
      </c>
    </row>
    <row r="60" spans="1:49" x14ac:dyDescent="0.35">
      <c r="A60">
        <f t="shared" si="3"/>
        <v>71</v>
      </c>
      <c r="B60" s="7">
        <f t="shared" si="2"/>
        <v>0.55905511811023623</v>
      </c>
    </row>
    <row r="61" spans="1:49" x14ac:dyDescent="0.35">
      <c r="A61">
        <f t="shared" si="3"/>
        <v>70</v>
      </c>
      <c r="B61" s="7">
        <f t="shared" si="2"/>
        <v>0.55118110236220474</v>
      </c>
    </row>
    <row r="62" spans="1:49" x14ac:dyDescent="0.35">
      <c r="A62">
        <f t="shared" si="3"/>
        <v>69</v>
      </c>
      <c r="B62" s="7">
        <f t="shared" si="2"/>
        <v>0.54330708661417326</v>
      </c>
    </row>
    <row r="63" spans="1:49" x14ac:dyDescent="0.35">
      <c r="A63">
        <f t="shared" si="3"/>
        <v>68</v>
      </c>
      <c r="B63" s="7">
        <f t="shared" si="2"/>
        <v>0.53543307086614178</v>
      </c>
    </row>
    <row r="64" spans="1:49" x14ac:dyDescent="0.35">
      <c r="A64">
        <f t="shared" si="3"/>
        <v>67</v>
      </c>
      <c r="B64" s="7">
        <f t="shared" si="2"/>
        <v>0.52755905511811019</v>
      </c>
    </row>
    <row r="65" spans="1:43" x14ac:dyDescent="0.35">
      <c r="A65">
        <f t="shared" si="3"/>
        <v>66</v>
      </c>
      <c r="B65" s="7">
        <f t="shared" si="2"/>
        <v>0.51968503937007871</v>
      </c>
    </row>
    <row r="66" spans="1:43" x14ac:dyDescent="0.35">
      <c r="A66">
        <f t="shared" si="3"/>
        <v>65</v>
      </c>
      <c r="B66" s="7">
        <f t="shared" si="2"/>
        <v>0.51181102362204722</v>
      </c>
    </row>
    <row r="67" spans="1:43" x14ac:dyDescent="0.35">
      <c r="A67">
        <f t="shared" si="3"/>
        <v>64</v>
      </c>
      <c r="B67" s="7">
        <f t="shared" si="2"/>
        <v>0.50393700787401574</v>
      </c>
      <c r="F67">
        <v>0.28999999999999998</v>
      </c>
      <c r="G67">
        <f>(F$131-F67)/F$131</f>
        <v>0.98728070175438598</v>
      </c>
      <c r="H67">
        <v>0.92</v>
      </c>
      <c r="I67">
        <f>(H$131-H67)/H$131</f>
        <v>0.95964912280701742</v>
      </c>
      <c r="J67">
        <f>POWER($B67,4*H$3^2-8*H$3+4)</f>
        <v>0.96248187915150973</v>
      </c>
      <c r="K67">
        <v>2</v>
      </c>
      <c r="L67">
        <f>(K$130-K67)/K$130</f>
        <v>0.9</v>
      </c>
      <c r="M67">
        <f>POWER(B67,4*K$3^2-8*K$3+4)</f>
        <v>0.84931302758964367</v>
      </c>
      <c r="N67">
        <v>3.7</v>
      </c>
      <c r="O67">
        <f>(N$130-N67)/N$130</f>
        <v>0.75117686617350365</v>
      </c>
      <c r="P67">
        <v>11</v>
      </c>
      <c r="Q67">
        <f>(P$130-P67)/P$130</f>
        <v>0.47619047619047616</v>
      </c>
      <c r="R67">
        <f>POWER($B67,4*P$3^2-8*P$3+4)</f>
        <v>0.50938340067163523</v>
      </c>
      <c r="T67">
        <v>18.350000000000001</v>
      </c>
      <c r="U67">
        <f>(T$131-T67)/T$131</f>
        <v>0.24079437318990485</v>
      </c>
      <c r="V67">
        <f>POWER(L67,1-$T$3)</f>
        <v>0.92421275071388576</v>
      </c>
      <c r="W67">
        <v>18.100000000000001</v>
      </c>
      <c r="X67">
        <f>(W$130-W67)/W$130</f>
        <v>0.14622641509433953</v>
      </c>
      <c r="Y67">
        <f>POWER($B67,$X$1)</f>
        <v>0.12797606697575598</v>
      </c>
      <c r="Z67">
        <v>13.64</v>
      </c>
      <c r="AA67">
        <f>(Z$130-Z67)/Z$130</f>
        <v>9.6688741721854252E-2</v>
      </c>
    </row>
    <row r="68" spans="1:43" x14ac:dyDescent="0.35">
      <c r="A68">
        <f t="shared" si="3"/>
        <v>63</v>
      </c>
      <c r="B68" s="7">
        <f t="shared" si="2"/>
        <v>0.49606299212598426</v>
      </c>
      <c r="AO68" t="s">
        <v>148</v>
      </c>
      <c r="AP68" t="s">
        <v>150</v>
      </c>
      <c r="AQ68" t="s">
        <v>151</v>
      </c>
    </row>
    <row r="69" spans="1:43" x14ac:dyDescent="0.35">
      <c r="A69">
        <f t="shared" si="3"/>
        <v>62</v>
      </c>
      <c r="B69" s="7">
        <f t="shared" ref="B69:B131" si="5">A69/127</f>
        <v>0.48818897637795278</v>
      </c>
      <c r="AO69">
        <v>120</v>
      </c>
      <c r="AP69">
        <f>AO69/127</f>
        <v>0.94488188976377951</v>
      </c>
      <c r="AQ69">
        <v>0.89</v>
      </c>
    </row>
    <row r="70" spans="1:43" x14ac:dyDescent="0.35">
      <c r="A70">
        <f t="shared" ref="A70:A131" si="6">A69-1</f>
        <v>61</v>
      </c>
      <c r="B70" s="7">
        <f t="shared" si="5"/>
        <v>0.48031496062992124</v>
      </c>
      <c r="AO70">
        <v>112</v>
      </c>
      <c r="AP70">
        <f t="shared" ref="AP70:AP76" si="7">AO70/127</f>
        <v>0.88188976377952755</v>
      </c>
      <c r="AQ70">
        <v>0.74750000000000005</v>
      </c>
    </row>
    <row r="71" spans="1:43" x14ac:dyDescent="0.35">
      <c r="A71">
        <f t="shared" si="6"/>
        <v>60</v>
      </c>
      <c r="B71" s="7">
        <f t="shared" si="5"/>
        <v>0.47244094488188976</v>
      </c>
      <c r="AO71">
        <v>96</v>
      </c>
      <c r="AP71">
        <f t="shared" si="7"/>
        <v>0.75590551181102361</v>
      </c>
      <c r="AQ71">
        <v>0.45829999999999999</v>
      </c>
    </row>
    <row r="72" spans="1:43" x14ac:dyDescent="0.35">
      <c r="A72">
        <f t="shared" si="6"/>
        <v>59</v>
      </c>
      <c r="B72" s="7">
        <f t="shared" si="5"/>
        <v>0.46456692913385828</v>
      </c>
      <c r="AO72">
        <v>80</v>
      </c>
      <c r="AP72">
        <f t="shared" si="7"/>
        <v>0.62992125984251968</v>
      </c>
      <c r="AQ72">
        <v>0.23280000000000001</v>
      </c>
    </row>
    <row r="73" spans="1:43" x14ac:dyDescent="0.35">
      <c r="A73">
        <f t="shared" si="6"/>
        <v>58</v>
      </c>
      <c r="B73" s="7">
        <f t="shared" si="5"/>
        <v>0.45669291338582679</v>
      </c>
      <c r="AO73">
        <v>64</v>
      </c>
      <c r="AP73">
        <f t="shared" si="7"/>
        <v>0.50393700787401574</v>
      </c>
      <c r="AQ73">
        <v>0</v>
      </c>
    </row>
    <row r="74" spans="1:43" x14ac:dyDescent="0.35">
      <c r="A74">
        <f t="shared" si="6"/>
        <v>57</v>
      </c>
      <c r="B74" s="7">
        <f t="shared" si="5"/>
        <v>0.44881889763779526</v>
      </c>
      <c r="AO74">
        <v>32</v>
      </c>
      <c r="AP74">
        <f t="shared" si="7"/>
        <v>0.25196850393700787</v>
      </c>
      <c r="AQ74">
        <v>-0.26850000000000002</v>
      </c>
    </row>
    <row r="75" spans="1:43" x14ac:dyDescent="0.35">
      <c r="A75">
        <f t="shared" si="6"/>
        <v>56</v>
      </c>
      <c r="B75" s="7">
        <f t="shared" si="5"/>
        <v>0.44094488188976377</v>
      </c>
      <c r="J75">
        <f>POWER($B75,4*H$3^2-8*H$3+4)</f>
        <v>0.95533701404730387</v>
      </c>
      <c r="K75">
        <v>2.5</v>
      </c>
      <c r="L75">
        <f>(K$130-K75)/K$130</f>
        <v>0.875</v>
      </c>
      <c r="M75">
        <f>POWER(B75,4*K$3^2-8*K$3+4)</f>
        <v>0.82270976740880897</v>
      </c>
      <c r="N75">
        <v>4.7</v>
      </c>
      <c r="O75">
        <f>(N$130-N75)/N$130</f>
        <v>0.68392737054472086</v>
      </c>
      <c r="AO75">
        <v>16</v>
      </c>
      <c r="AP75">
        <f t="shared" si="7"/>
        <v>0.12598425196850394</v>
      </c>
      <c r="AQ75">
        <v>-0.38429999999999997</v>
      </c>
    </row>
    <row r="76" spans="1:43" x14ac:dyDescent="0.35">
      <c r="A76">
        <f t="shared" si="6"/>
        <v>55</v>
      </c>
      <c r="B76" s="7">
        <f t="shared" si="5"/>
        <v>0.43307086614173229</v>
      </c>
      <c r="AO76">
        <v>0</v>
      </c>
      <c r="AP76">
        <f t="shared" si="7"/>
        <v>0</v>
      </c>
      <c r="AQ76">
        <v>-0.52149999999999996</v>
      </c>
    </row>
    <row r="77" spans="1:43" x14ac:dyDescent="0.35">
      <c r="A77">
        <f t="shared" si="6"/>
        <v>54</v>
      </c>
      <c r="B77" s="7">
        <f t="shared" si="5"/>
        <v>0.42519685039370081</v>
      </c>
    </row>
    <row r="78" spans="1:43" x14ac:dyDescent="0.35">
      <c r="A78">
        <f t="shared" si="6"/>
        <v>53</v>
      </c>
      <c r="B78" s="7">
        <f t="shared" si="5"/>
        <v>0.41732283464566927</v>
      </c>
    </row>
    <row r="79" spans="1:43" x14ac:dyDescent="0.35">
      <c r="A79">
        <f t="shared" si="6"/>
        <v>52</v>
      </c>
      <c r="B79" s="7">
        <f t="shared" si="5"/>
        <v>0.40944881889763779</v>
      </c>
    </row>
    <row r="80" spans="1:43" x14ac:dyDescent="0.35">
      <c r="A80">
        <f t="shared" si="6"/>
        <v>51</v>
      </c>
      <c r="B80" s="7">
        <f t="shared" si="5"/>
        <v>0.40157480314960631</v>
      </c>
    </row>
    <row r="81" spans="1:27" x14ac:dyDescent="0.35">
      <c r="A81">
        <f t="shared" si="6"/>
        <v>50</v>
      </c>
      <c r="B81" s="7">
        <f t="shared" si="5"/>
        <v>0.39370078740157483</v>
      </c>
    </row>
    <row r="82" spans="1:27" x14ac:dyDescent="0.35">
      <c r="A82">
        <f t="shared" si="6"/>
        <v>49</v>
      </c>
      <c r="B82" s="7">
        <f t="shared" si="5"/>
        <v>0.38582677165354329</v>
      </c>
    </row>
    <row r="83" spans="1:27" x14ac:dyDescent="0.35">
      <c r="A83">
        <f t="shared" si="6"/>
        <v>48</v>
      </c>
      <c r="B83" s="7">
        <f t="shared" si="5"/>
        <v>0.37795275590551181</v>
      </c>
      <c r="J83">
        <f>POWER($B83,4*H$3^2-8*H$3+4)</f>
        <v>0.94715480377385686</v>
      </c>
      <c r="K83">
        <v>3</v>
      </c>
      <c r="L83">
        <f>(K$130-K83)/K$130</f>
        <v>0.85</v>
      </c>
      <c r="M83">
        <f>POWER(B83,4*K$3^2-8*K$3+4)</f>
        <v>0.79303312283695582</v>
      </c>
      <c r="N83">
        <v>5.5</v>
      </c>
      <c r="O83">
        <f>(N$130-N83)/N$130</f>
        <v>0.63012777404169462</v>
      </c>
      <c r="P83">
        <v>13</v>
      </c>
      <c r="Q83">
        <f>(P$130-P83)/P$130</f>
        <v>0.38095238095238093</v>
      </c>
      <c r="R83">
        <f>POWER($B83,4*P$3^2-8*P$3+4)</f>
        <v>0.38376542500144833</v>
      </c>
      <c r="T83">
        <v>20.37</v>
      </c>
      <c r="U83">
        <f>(T$131-T83)/T$131</f>
        <v>0.15721969383533307</v>
      </c>
      <c r="V83">
        <f>POWER(L83,1-$T$3)</f>
        <v>0.88552970352287375</v>
      </c>
      <c r="W83">
        <v>18.899999999999999</v>
      </c>
      <c r="X83">
        <f>(W$130-W83)/W$130</f>
        <v>0.10849056603773588</v>
      </c>
      <c r="Y83">
        <f>POWER($B83,$X$1)</f>
        <v>5.3989903255397056E-2</v>
      </c>
      <c r="Z83">
        <v>13.95</v>
      </c>
      <c r="AA83">
        <f>(Z$130-Z83)/Z$130</f>
        <v>7.6158940397351022E-2</v>
      </c>
    </row>
    <row r="84" spans="1:27" x14ac:dyDescent="0.35">
      <c r="A84">
        <f t="shared" si="6"/>
        <v>47</v>
      </c>
      <c r="B84" s="7">
        <f t="shared" si="5"/>
        <v>0.37007874015748032</v>
      </c>
    </row>
    <row r="85" spans="1:27" x14ac:dyDescent="0.35">
      <c r="A85">
        <f t="shared" si="6"/>
        <v>46</v>
      </c>
      <c r="B85" s="7">
        <f t="shared" si="5"/>
        <v>0.36220472440944884</v>
      </c>
    </row>
    <row r="86" spans="1:27" x14ac:dyDescent="0.35">
      <c r="A86">
        <f t="shared" si="6"/>
        <v>45</v>
      </c>
      <c r="B86" s="7">
        <f t="shared" si="5"/>
        <v>0.3543307086614173</v>
      </c>
    </row>
    <row r="87" spans="1:27" x14ac:dyDescent="0.35">
      <c r="A87">
        <f t="shared" si="6"/>
        <v>44</v>
      </c>
      <c r="B87" s="7">
        <f t="shared" si="5"/>
        <v>0.34645669291338582</v>
      </c>
    </row>
    <row r="88" spans="1:27" x14ac:dyDescent="0.35">
      <c r="A88">
        <f t="shared" si="6"/>
        <v>43</v>
      </c>
      <c r="B88" s="7">
        <f t="shared" si="5"/>
        <v>0.33858267716535434</v>
      </c>
    </row>
    <row r="89" spans="1:27" x14ac:dyDescent="0.35">
      <c r="A89">
        <f t="shared" si="6"/>
        <v>42</v>
      </c>
      <c r="B89" s="7">
        <f t="shared" si="5"/>
        <v>0.33070866141732286</v>
      </c>
    </row>
    <row r="90" spans="1:27" x14ac:dyDescent="0.35">
      <c r="A90">
        <f t="shared" si="6"/>
        <v>41</v>
      </c>
      <c r="B90" s="7">
        <f t="shared" si="5"/>
        <v>0.32283464566929132</v>
      </c>
    </row>
    <row r="91" spans="1:27" x14ac:dyDescent="0.35">
      <c r="A91">
        <f t="shared" si="6"/>
        <v>40</v>
      </c>
      <c r="B91" s="7">
        <f t="shared" si="5"/>
        <v>0.31496062992125984</v>
      </c>
      <c r="J91">
        <f>POWER($B91,4*H$3^2-8*H$3+4)</f>
        <v>0.9375677146204997</v>
      </c>
      <c r="K91">
        <v>4.1500000000000004</v>
      </c>
      <c r="L91">
        <f>(K$130-K91)/K$130</f>
        <v>0.79249999999999998</v>
      </c>
      <c r="M91">
        <f>POWER(B91,4*K$3^2-8*K$3+4)</f>
        <v>0.75931185631612585</v>
      </c>
      <c r="N91">
        <v>6.56</v>
      </c>
      <c r="O91">
        <f>(N$130-N91)/N$130</f>
        <v>0.55884330867518484</v>
      </c>
    </row>
    <row r="92" spans="1:27" x14ac:dyDescent="0.35">
      <c r="A92">
        <f t="shared" si="6"/>
        <v>39</v>
      </c>
      <c r="B92" s="7">
        <f t="shared" si="5"/>
        <v>0.30708661417322836</v>
      </c>
    </row>
    <row r="93" spans="1:27" x14ac:dyDescent="0.35">
      <c r="A93">
        <f t="shared" si="6"/>
        <v>38</v>
      </c>
      <c r="B93" s="7">
        <f t="shared" si="5"/>
        <v>0.29921259842519687</v>
      </c>
    </row>
    <row r="94" spans="1:27" x14ac:dyDescent="0.35">
      <c r="A94">
        <f t="shared" si="6"/>
        <v>37</v>
      </c>
      <c r="B94" s="7">
        <f t="shared" si="5"/>
        <v>0.29133858267716534</v>
      </c>
    </row>
    <row r="95" spans="1:27" x14ac:dyDescent="0.35">
      <c r="A95">
        <f t="shared" si="6"/>
        <v>36</v>
      </c>
      <c r="B95" s="7">
        <f t="shared" si="5"/>
        <v>0.28346456692913385</v>
      </c>
    </row>
    <row r="96" spans="1:27" x14ac:dyDescent="0.35">
      <c r="A96">
        <f t="shared" si="6"/>
        <v>35</v>
      </c>
      <c r="B96" s="7">
        <f t="shared" si="5"/>
        <v>0.27559055118110237</v>
      </c>
    </row>
    <row r="97" spans="1:27" x14ac:dyDescent="0.35">
      <c r="A97">
        <f t="shared" si="6"/>
        <v>34</v>
      </c>
      <c r="B97" s="7">
        <f t="shared" si="5"/>
        <v>0.26771653543307089</v>
      </c>
    </row>
    <row r="98" spans="1:27" x14ac:dyDescent="0.35">
      <c r="A98">
        <f t="shared" si="6"/>
        <v>33</v>
      </c>
      <c r="B98" s="7">
        <f t="shared" si="5"/>
        <v>0.25984251968503935</v>
      </c>
    </row>
    <row r="99" spans="1:27" x14ac:dyDescent="0.35">
      <c r="A99">
        <f t="shared" si="6"/>
        <v>32</v>
      </c>
      <c r="B99" s="7">
        <f t="shared" si="5"/>
        <v>0.25196850393700787</v>
      </c>
      <c r="F99">
        <v>0.5</v>
      </c>
      <c r="G99">
        <f>(F$131-F99)/F$131</f>
        <v>0.97807017543859653</v>
      </c>
      <c r="H99">
        <v>1.35</v>
      </c>
      <c r="I99">
        <f>(H$131-H99)/H$131</f>
        <v>0.94078947368421051</v>
      </c>
      <c r="J99">
        <f>POWER($B99,4*H$3^2-8*H$3+4)</f>
        <v>0.92596602980597176</v>
      </c>
      <c r="K99">
        <v>5</v>
      </c>
      <c r="L99">
        <f>(K$130-K99)/K$130</f>
        <v>0.75</v>
      </c>
      <c r="M99">
        <f>POWER(B99,4*K$3^2-8*K$3+4)</f>
        <v>0.71998552542724159</v>
      </c>
      <c r="N99">
        <v>7.5</v>
      </c>
      <c r="O99">
        <f>(N$130-N99)/N$130</f>
        <v>0.49562878278412908</v>
      </c>
      <c r="P99">
        <v>16</v>
      </c>
      <c r="Q99">
        <f>(P$130-P99)/P$130</f>
        <v>0.23809523809523808</v>
      </c>
      <c r="R99">
        <f>POWER($B99,4*P$3^2-8*P$3+4)</f>
        <v>0.25747600307901614</v>
      </c>
      <c r="T99">
        <v>21.65</v>
      </c>
      <c r="U99">
        <f>(T$131-T99)/T$131</f>
        <v>0.10426148117501047</v>
      </c>
      <c r="V99">
        <f>POWER(L99,1-$T$3)</f>
        <v>0.80638397748987722</v>
      </c>
      <c r="W99">
        <v>19.64</v>
      </c>
      <c r="X99">
        <f>(W$130-W99)/W$130</f>
        <v>7.3584905660377301E-2</v>
      </c>
      <c r="Y99">
        <f>POWER($B99,$X$1)</f>
        <v>1.5997008371969497E-2</v>
      </c>
      <c r="Z99">
        <v>14.38</v>
      </c>
      <c r="AA99">
        <f>(Z$130-Z99)/Z$130</f>
        <v>4.768211920529794E-2</v>
      </c>
    </row>
    <row r="100" spans="1:27" x14ac:dyDescent="0.35">
      <c r="A100">
        <f t="shared" si="6"/>
        <v>31</v>
      </c>
      <c r="B100" s="7">
        <f t="shared" si="5"/>
        <v>0.24409448818897639</v>
      </c>
    </row>
    <row r="101" spans="1:27" x14ac:dyDescent="0.35">
      <c r="A101">
        <f t="shared" si="6"/>
        <v>30</v>
      </c>
      <c r="B101" s="7">
        <f t="shared" si="5"/>
        <v>0.23622047244094488</v>
      </c>
    </row>
    <row r="102" spans="1:27" x14ac:dyDescent="0.35">
      <c r="A102">
        <f t="shared" si="6"/>
        <v>29</v>
      </c>
      <c r="B102" s="7">
        <f t="shared" si="5"/>
        <v>0.2283464566929134</v>
      </c>
    </row>
    <row r="103" spans="1:27" x14ac:dyDescent="0.35">
      <c r="A103">
        <f t="shared" si="6"/>
        <v>28</v>
      </c>
      <c r="B103" s="7">
        <f t="shared" si="5"/>
        <v>0.22047244094488189</v>
      </c>
    </row>
    <row r="104" spans="1:27" x14ac:dyDescent="0.35">
      <c r="A104">
        <f t="shared" si="6"/>
        <v>27</v>
      </c>
      <c r="B104" s="7">
        <f t="shared" si="5"/>
        <v>0.2125984251968504</v>
      </c>
    </row>
    <row r="105" spans="1:27" x14ac:dyDescent="0.35">
      <c r="A105">
        <f t="shared" si="6"/>
        <v>26</v>
      </c>
      <c r="B105" s="7">
        <f t="shared" si="5"/>
        <v>0.20472440944881889</v>
      </c>
    </row>
    <row r="106" spans="1:27" x14ac:dyDescent="0.35">
      <c r="A106">
        <f t="shared" si="6"/>
        <v>25</v>
      </c>
      <c r="B106" s="7">
        <f t="shared" si="5"/>
        <v>0.19685039370078741</v>
      </c>
    </row>
    <row r="107" spans="1:27" x14ac:dyDescent="0.35">
      <c r="A107">
        <f t="shared" si="6"/>
        <v>24</v>
      </c>
      <c r="B107" s="7">
        <f t="shared" si="5"/>
        <v>0.1889763779527559</v>
      </c>
      <c r="H107">
        <v>1.43</v>
      </c>
      <c r="I107">
        <f>(H$131-H107)/H$131</f>
        <v>0.93728070175438594</v>
      </c>
      <c r="N107">
        <v>8.4499999999999993</v>
      </c>
      <c r="O107">
        <f>(N$130-N107)/N$130</f>
        <v>0.43174176193678548</v>
      </c>
    </row>
    <row r="108" spans="1:27" x14ac:dyDescent="0.35">
      <c r="A108">
        <f t="shared" si="6"/>
        <v>23</v>
      </c>
      <c r="B108" s="7">
        <f t="shared" si="5"/>
        <v>0.18110236220472442</v>
      </c>
    </row>
    <row r="109" spans="1:27" x14ac:dyDescent="0.35">
      <c r="A109">
        <f t="shared" si="6"/>
        <v>22</v>
      </c>
      <c r="B109" s="7">
        <f t="shared" si="5"/>
        <v>0.17322834645669291</v>
      </c>
    </row>
    <row r="110" spans="1:27" x14ac:dyDescent="0.35">
      <c r="A110">
        <f t="shared" si="6"/>
        <v>21</v>
      </c>
      <c r="B110" s="7">
        <f t="shared" si="5"/>
        <v>0.16535433070866143</v>
      </c>
    </row>
    <row r="111" spans="1:27" x14ac:dyDescent="0.35">
      <c r="A111">
        <f t="shared" si="6"/>
        <v>20</v>
      </c>
      <c r="B111" s="7">
        <f t="shared" si="5"/>
        <v>0.15748031496062992</v>
      </c>
    </row>
    <row r="112" spans="1:27" x14ac:dyDescent="0.35">
      <c r="A112">
        <f t="shared" si="6"/>
        <v>19</v>
      </c>
      <c r="B112" s="7">
        <f t="shared" si="5"/>
        <v>0.14960629921259844</v>
      </c>
    </row>
    <row r="113" spans="1:27" x14ac:dyDescent="0.35">
      <c r="A113">
        <f t="shared" si="6"/>
        <v>18</v>
      </c>
      <c r="B113" s="7">
        <f t="shared" si="5"/>
        <v>0.14173228346456693</v>
      </c>
    </row>
    <row r="114" spans="1:27" x14ac:dyDescent="0.35">
      <c r="A114">
        <f t="shared" si="6"/>
        <v>17</v>
      </c>
      <c r="B114" s="7">
        <f t="shared" si="5"/>
        <v>0.13385826771653545</v>
      </c>
    </row>
    <row r="115" spans="1:27" x14ac:dyDescent="0.35">
      <c r="A115">
        <f t="shared" si="6"/>
        <v>16</v>
      </c>
      <c r="B115" s="7">
        <f t="shared" si="5"/>
        <v>0.12598425196850394</v>
      </c>
      <c r="F115">
        <v>0.67</v>
      </c>
      <c r="G115">
        <f>(F$131-F115)/F$131</f>
        <v>0.97061403508771926</v>
      </c>
      <c r="H115">
        <v>2.7</v>
      </c>
      <c r="I115">
        <f>(H$131-H115)/H$131</f>
        <v>0.88157894736842113</v>
      </c>
      <c r="J115">
        <f>POWER($B115,4*H$3^2-8*H$3+4)</f>
        <v>0.89083556472824099</v>
      </c>
      <c r="K115">
        <v>8.1300000000000008</v>
      </c>
      <c r="L115">
        <f>(K$130-K115)/K$130</f>
        <v>0.59349999999999992</v>
      </c>
      <c r="M115">
        <f>POWER(B115,4*K$3^2-8*K$3+4)</f>
        <v>0.61035111906372719</v>
      </c>
      <c r="N115">
        <v>9.5</v>
      </c>
      <c r="O115">
        <f>(N$130-N115)/N$130</f>
        <v>0.36112979152656349</v>
      </c>
      <c r="P115">
        <v>19</v>
      </c>
      <c r="Q115">
        <f>(P$130-P115)/P$130</f>
        <v>9.5238095238095233E-2</v>
      </c>
      <c r="R115">
        <f>POWER($B115,4*P$3^2-8*P$3+4)</f>
        <v>0.13014537198137061</v>
      </c>
      <c r="T115">
        <v>22.91</v>
      </c>
      <c r="U115">
        <f>(T$131-T115)/T$131</f>
        <v>5.2130740587505234E-2</v>
      </c>
      <c r="V115">
        <f>POWER(L115,1-$T$3)</f>
        <v>0.67687981706062039</v>
      </c>
      <c r="W115">
        <v>20.5</v>
      </c>
      <c r="X115">
        <f>(W$130-W115)/W$130</f>
        <v>3.3018867924528267E-2</v>
      </c>
      <c r="Y115">
        <f>POWER($B115,$X$1)</f>
        <v>1.9996260464961871E-3</v>
      </c>
      <c r="Z115">
        <v>14.8</v>
      </c>
      <c r="AA115">
        <f>(Z$130-Z115)/Z$130</f>
        <v>1.9867549668874104E-2</v>
      </c>
    </row>
    <row r="116" spans="1:27" x14ac:dyDescent="0.35">
      <c r="A116">
        <f t="shared" si="6"/>
        <v>15</v>
      </c>
      <c r="B116" s="7">
        <f t="shared" si="5"/>
        <v>0.11811023622047244</v>
      </c>
    </row>
    <row r="117" spans="1:27" x14ac:dyDescent="0.35">
      <c r="A117">
        <f t="shared" si="6"/>
        <v>14</v>
      </c>
      <c r="B117" s="7">
        <f t="shared" si="5"/>
        <v>0.11023622047244094</v>
      </c>
    </row>
    <row r="118" spans="1:27" x14ac:dyDescent="0.35">
      <c r="A118">
        <f t="shared" si="6"/>
        <v>13</v>
      </c>
      <c r="B118" s="7">
        <f t="shared" si="5"/>
        <v>0.10236220472440945</v>
      </c>
    </row>
    <row r="119" spans="1:27" x14ac:dyDescent="0.35">
      <c r="A119">
        <f t="shared" si="6"/>
        <v>12</v>
      </c>
      <c r="B119" s="7">
        <f t="shared" si="5"/>
        <v>9.4488188976377951E-2</v>
      </c>
      <c r="J119">
        <f>POWER($B119,4*H$3^2-8*H$3+4)</f>
        <v>0.8766494235182678</v>
      </c>
      <c r="K119">
        <v>8.75</v>
      </c>
      <c r="L119">
        <f>(K$130-K119)/K$130</f>
        <v>0.5625</v>
      </c>
      <c r="M119">
        <f>POWER(B119,4*K$3^2-8*K$3+4)</f>
        <v>0.56990607497428236</v>
      </c>
      <c r="N119">
        <v>9.9</v>
      </c>
      <c r="O119">
        <f>(N$130-N119)/N$130</f>
        <v>0.33422999327505037</v>
      </c>
    </row>
    <row r="120" spans="1:27" x14ac:dyDescent="0.35">
      <c r="A120">
        <f t="shared" si="6"/>
        <v>11</v>
      </c>
      <c r="B120" s="7">
        <f t="shared" si="5"/>
        <v>8.6614173228346455E-2</v>
      </c>
    </row>
    <row r="121" spans="1:27" x14ac:dyDescent="0.35">
      <c r="A121">
        <f t="shared" si="6"/>
        <v>10</v>
      </c>
      <c r="B121" s="7">
        <f t="shared" si="5"/>
        <v>7.874015748031496E-2</v>
      </c>
      <c r="H121">
        <v>3.86</v>
      </c>
      <c r="I121">
        <f>(H$131-H121)/H$131</f>
        <v>0.83070175438596494</v>
      </c>
    </row>
    <row r="122" spans="1:27" x14ac:dyDescent="0.35">
      <c r="A122">
        <f t="shared" si="6"/>
        <v>9</v>
      </c>
      <c r="B122" s="7">
        <f t="shared" si="5"/>
        <v>7.0866141732283464E-2</v>
      </c>
    </row>
    <row r="123" spans="1:27" x14ac:dyDescent="0.35">
      <c r="A123">
        <f t="shared" si="6"/>
        <v>8</v>
      </c>
      <c r="B123" s="7">
        <f t="shared" si="5"/>
        <v>6.2992125984251968E-2</v>
      </c>
      <c r="F123">
        <v>1.05</v>
      </c>
      <c r="G123">
        <f>(F$131-F123)/F$131</f>
        <v>0.95394736842105265</v>
      </c>
      <c r="J123">
        <f>POWER($B123,4*H$3^2-8*H$3+4)</f>
        <v>0.85703792346569518</v>
      </c>
      <c r="K123">
        <v>9.5</v>
      </c>
      <c r="L123">
        <f>(K$130-K123)/K$130</f>
        <v>0.52500000000000002</v>
      </c>
      <c r="M123">
        <f>POWER(B123,4*K$3^2-8*K$3+4)</f>
        <v>0.51741108034260064</v>
      </c>
      <c r="N123">
        <v>11.7</v>
      </c>
      <c r="O123">
        <f>(N$130-N123)/N$130</f>
        <v>0.21318090114324142</v>
      </c>
    </row>
    <row r="124" spans="1:27" x14ac:dyDescent="0.35">
      <c r="A124">
        <f t="shared" si="6"/>
        <v>7</v>
      </c>
      <c r="B124" s="7">
        <f t="shared" si="5"/>
        <v>5.5118110236220472E-2</v>
      </c>
    </row>
    <row r="125" spans="1:27" x14ac:dyDescent="0.35">
      <c r="A125">
        <f t="shared" si="6"/>
        <v>6</v>
      </c>
      <c r="B125" s="7">
        <f t="shared" si="5"/>
        <v>4.7244094488188976E-2</v>
      </c>
      <c r="H125">
        <v>4.5999999999999996</v>
      </c>
      <c r="I125">
        <f t="shared" ref="I125:I130" si="8">(H$131-H125)/H$131</f>
        <v>0.79824561403508787</v>
      </c>
    </row>
    <row r="126" spans="1:27" x14ac:dyDescent="0.35">
      <c r="A126">
        <f t="shared" si="6"/>
        <v>5</v>
      </c>
      <c r="B126" s="7">
        <f t="shared" si="5"/>
        <v>3.937007874015748E-2</v>
      </c>
      <c r="F126">
        <v>1.72</v>
      </c>
      <c r="G126">
        <f t="shared" ref="G126:G131" si="9">(F$131-F126)/F$131</f>
        <v>0.92456140350877203</v>
      </c>
      <c r="H126">
        <v>4.8</v>
      </c>
      <c r="I126">
        <f t="shared" si="8"/>
        <v>0.78947368421052633</v>
      </c>
    </row>
    <row r="127" spans="1:27" x14ac:dyDescent="0.35">
      <c r="A127">
        <f t="shared" si="6"/>
        <v>4</v>
      </c>
      <c r="B127" s="7">
        <f t="shared" si="5"/>
        <v>3.1496062992125984E-2</v>
      </c>
      <c r="F127">
        <v>1.85</v>
      </c>
      <c r="G127">
        <f t="shared" si="9"/>
        <v>0.91885964912280693</v>
      </c>
      <c r="H127">
        <v>5</v>
      </c>
      <c r="I127">
        <f t="shared" si="8"/>
        <v>0.7807017543859649</v>
      </c>
      <c r="J127">
        <f>POWER($B127,4*H$3^2-8*H$3+4)</f>
        <v>0.82452253967034006</v>
      </c>
      <c r="K127">
        <v>15.5</v>
      </c>
      <c r="L127">
        <f>(K$130-K127)/K$130</f>
        <v>0.22500000000000001</v>
      </c>
      <c r="M127">
        <f>POWER(B127,4*K$3^2-8*K$3+4)</f>
        <v>0.43862330665006105</v>
      </c>
      <c r="N127">
        <v>13.37</v>
      </c>
      <c r="O127">
        <f>(N$130-N127)/N$130</f>
        <v>0.10087424344317418</v>
      </c>
    </row>
    <row r="128" spans="1:27" x14ac:dyDescent="0.35">
      <c r="A128">
        <f t="shared" si="6"/>
        <v>3</v>
      </c>
      <c r="B128" s="7">
        <f t="shared" si="5"/>
        <v>2.3622047244094488E-2</v>
      </c>
      <c r="F128">
        <v>2.02</v>
      </c>
      <c r="G128">
        <f t="shared" si="9"/>
        <v>0.91140350877192988</v>
      </c>
      <c r="H128">
        <v>5.72</v>
      </c>
      <c r="I128">
        <f t="shared" si="8"/>
        <v>0.74912280701754397</v>
      </c>
    </row>
    <row r="129" spans="1:27" x14ac:dyDescent="0.35">
      <c r="A129">
        <f t="shared" si="6"/>
        <v>2</v>
      </c>
      <c r="B129" s="7">
        <f t="shared" si="5"/>
        <v>1.5748031496062992E-2</v>
      </c>
      <c r="F129">
        <v>2.2000000000000002</v>
      </c>
      <c r="G129">
        <f t="shared" si="9"/>
        <v>0.90350877192982459</v>
      </c>
      <c r="H129">
        <v>13.07</v>
      </c>
      <c r="I129">
        <f t="shared" si="8"/>
        <v>0.42675438596491228</v>
      </c>
    </row>
    <row r="130" spans="1:27" x14ac:dyDescent="0.35">
      <c r="A130">
        <f t="shared" si="6"/>
        <v>1</v>
      </c>
      <c r="B130" s="7">
        <f t="shared" si="5"/>
        <v>7.874015748031496E-3</v>
      </c>
      <c r="D130">
        <v>0</v>
      </c>
      <c r="F130">
        <v>11.87</v>
      </c>
      <c r="G130">
        <f t="shared" si="9"/>
        <v>0.47938596491228075</v>
      </c>
      <c r="H130">
        <v>19.100000000000001</v>
      </c>
      <c r="I130">
        <f t="shared" si="8"/>
        <v>0.16228070175438594</v>
      </c>
      <c r="J130">
        <f>POWER($B130,4*H$3^2-8*H$3+4)</f>
        <v>0.76314579855354014</v>
      </c>
      <c r="K130">
        <v>20</v>
      </c>
      <c r="L130">
        <f>(K$130-K130)/K$130</f>
        <v>0</v>
      </c>
      <c r="M130">
        <f>POWER(B130,4*K$3^2-8*K$3+4)</f>
        <v>0.31521266878605642</v>
      </c>
      <c r="N130">
        <v>14.87</v>
      </c>
      <c r="O130">
        <f>(N$130-N130)/N$130</f>
        <v>0</v>
      </c>
      <c r="P130">
        <v>21</v>
      </c>
      <c r="Q130">
        <f>(P$130-P130)/P$130</f>
        <v>0</v>
      </c>
      <c r="R130">
        <f>POWER($B130,4*P$3^2-8*P$3+4)</f>
        <v>8.4956499604080665E-3</v>
      </c>
      <c r="T130">
        <v>24.17</v>
      </c>
      <c r="U130">
        <f>(T$131-T130)/T$131</f>
        <v>0</v>
      </c>
      <c r="V130">
        <f>POWER(L130,1-$T$3)</f>
        <v>0</v>
      </c>
      <c r="W130">
        <v>21.2</v>
      </c>
      <c r="X130">
        <f>(W$130-W130)/W$130</f>
        <v>0</v>
      </c>
      <c r="Y130">
        <f>POWER($B130,$X$1)</f>
        <v>4.8818995275785818E-7</v>
      </c>
      <c r="Z130">
        <v>15.1</v>
      </c>
      <c r="AA130">
        <f>(Z$130-Z130)/Z$130</f>
        <v>0</v>
      </c>
    </row>
    <row r="131" spans="1:27" x14ac:dyDescent="0.35">
      <c r="A131">
        <f t="shared" si="6"/>
        <v>0</v>
      </c>
      <c r="B131" s="7">
        <f t="shared" si="5"/>
        <v>0</v>
      </c>
      <c r="F131">
        <v>22.8</v>
      </c>
      <c r="G131">
        <f t="shared" si="9"/>
        <v>0</v>
      </c>
      <c r="H131">
        <v>22.8</v>
      </c>
      <c r="I131">
        <f>(H$131-H131)/H$131</f>
        <v>0</v>
      </c>
      <c r="J131">
        <f>POWER($B131,4*H$3^2-8*H$3+4)</f>
        <v>0</v>
      </c>
      <c r="M131">
        <f>POWER(B131,4*K$3^2-8*K$3+4)</f>
        <v>0</v>
      </c>
      <c r="R131">
        <f>POWER($B131,4*P$3^2-8*P$3+4)</f>
        <v>0</v>
      </c>
      <c r="T131">
        <v>24.17</v>
      </c>
      <c r="U131">
        <f>(T$131-T131)/T$131</f>
        <v>0</v>
      </c>
      <c r="V131">
        <f>POWER(L131,1-$T$3)</f>
        <v>0</v>
      </c>
      <c r="Y131">
        <f>POWER($B131,$X$1)</f>
        <v>0</v>
      </c>
    </row>
    <row r="133" spans="1:27" x14ac:dyDescent="0.35">
      <c r="M133">
        <f>(M123-M130)/(B123-B130)</f>
        <v>3.6684568953830166</v>
      </c>
    </row>
    <row r="134" spans="1:27" x14ac:dyDescent="0.35">
      <c r="J134" t="e">
        <f>IF(#REF!&lt;=$B$123,7*#REF!,POWER(#REF!,1-$K$3))</f>
        <v>#REF!</v>
      </c>
      <c r="M134">
        <f>(M127-M130)/(B127-B130)</f>
        <v>5.2243836695761967</v>
      </c>
    </row>
    <row r="135" spans="1:27" x14ac:dyDescent="0.35">
      <c r="S135">
        <v>1</v>
      </c>
      <c r="T135">
        <v>0</v>
      </c>
    </row>
    <row r="136" spans="1:27" x14ac:dyDescent="0.35">
      <c r="S136">
        <v>0.75</v>
      </c>
      <c r="T136">
        <v>0.25</v>
      </c>
    </row>
    <row r="137" spans="1:27" x14ac:dyDescent="0.35">
      <c r="S137">
        <v>0.5</v>
      </c>
      <c r="T137">
        <v>1</v>
      </c>
    </row>
    <row r="154" spans="18:20" x14ac:dyDescent="0.35">
      <c r="R154" t="s">
        <v>148</v>
      </c>
      <c r="S154" t="s">
        <v>150</v>
      </c>
      <c r="T154" t="s">
        <v>149</v>
      </c>
    </row>
    <row r="155" spans="18:20" x14ac:dyDescent="0.35">
      <c r="R155">
        <v>120</v>
      </c>
      <c r="S155">
        <f>R155/127</f>
        <v>0.94488188976377951</v>
      </c>
      <c r="T155">
        <v>57.37</v>
      </c>
    </row>
    <row r="156" spans="18:20" x14ac:dyDescent="0.35">
      <c r="R156">
        <v>112</v>
      </c>
      <c r="S156">
        <f t="shared" ref="S156:S162" si="10">R156/127</f>
        <v>0.88188976377952755</v>
      </c>
      <c r="T156">
        <v>37.26</v>
      </c>
    </row>
    <row r="157" spans="18:20" x14ac:dyDescent="0.35">
      <c r="R157">
        <v>96</v>
      </c>
      <c r="S157">
        <f t="shared" si="10"/>
        <v>0.75590551181102361</v>
      </c>
      <c r="T157">
        <v>9.5250000000000004</v>
      </c>
    </row>
    <row r="158" spans="18:20" x14ac:dyDescent="0.35">
      <c r="R158">
        <v>80</v>
      </c>
      <c r="S158">
        <f t="shared" si="10"/>
        <v>0.62992125984251968</v>
      </c>
      <c r="T158">
        <v>3.85</v>
      </c>
    </row>
    <row r="159" spans="18:20" x14ac:dyDescent="0.35">
      <c r="R159">
        <v>64</v>
      </c>
      <c r="S159">
        <f t="shared" si="10"/>
        <v>0.50393700787401574</v>
      </c>
      <c r="T159">
        <v>1</v>
      </c>
    </row>
    <row r="160" spans="18:20" x14ac:dyDescent="0.35">
      <c r="R160">
        <v>32</v>
      </c>
      <c r="S160">
        <f t="shared" si="10"/>
        <v>0.25196850393700787</v>
      </c>
      <c r="T160">
        <v>0.42699999999999999</v>
      </c>
    </row>
    <row r="161" spans="18:20" x14ac:dyDescent="0.35">
      <c r="R161">
        <v>16</v>
      </c>
      <c r="S161">
        <f t="shared" si="10"/>
        <v>0.12598425196850394</v>
      </c>
      <c r="T161">
        <v>0.29599999999999999</v>
      </c>
    </row>
    <row r="162" spans="18:20" x14ac:dyDescent="0.35">
      <c r="R162">
        <v>0</v>
      </c>
      <c r="S162">
        <f t="shared" si="10"/>
        <v>0</v>
      </c>
      <c r="T162">
        <v>0.2</v>
      </c>
    </row>
    <row r="181" spans="1:14" x14ac:dyDescent="0.35">
      <c r="C181" t="s">
        <v>208</v>
      </c>
      <c r="D181" t="s">
        <v>206</v>
      </c>
    </row>
    <row r="182" spans="1:14" x14ac:dyDescent="0.35">
      <c r="C182">
        <v>19</v>
      </c>
      <c r="D182">
        <f>IF($C$184&lt;$C$182, $C$182, $C$182)</f>
        <v>19</v>
      </c>
    </row>
    <row r="183" spans="1:14" x14ac:dyDescent="0.35">
      <c r="A183" t="s">
        <v>23</v>
      </c>
      <c r="B183" t="s">
        <v>207</v>
      </c>
      <c r="C183" t="s">
        <v>149</v>
      </c>
      <c r="D183" t="s">
        <v>205</v>
      </c>
      <c r="E183" t="s">
        <v>204</v>
      </c>
      <c r="F183" t="s">
        <v>152</v>
      </c>
    </row>
    <row r="184" spans="1:14" x14ac:dyDescent="0.35">
      <c r="A184">
        <v>104</v>
      </c>
      <c r="B184">
        <f>$A$184/127</f>
        <v>0.81889763779527558</v>
      </c>
      <c r="C184">
        <f>IF($B$184&gt;0.5,0.01*EXP(9.21*$B$184),0.2*EXP(3.219*$B$184))</f>
        <v>18.856865368319525</v>
      </c>
      <c r="E184">
        <f>IF($B$184&gt;0.5,$B$184*2-1,$B$184-0.5)</f>
        <v>0.63779527559055116</v>
      </c>
      <c r="F184" s="13">
        <f>IF($B$184&gt;0.5,63.5*EXP(-8.3*$B$184),10*EXP(-4.6*$B$184))</f>
        <v>7.0947828081615316E-2</v>
      </c>
    </row>
    <row r="185" spans="1:14" x14ac:dyDescent="0.35">
      <c r="A185">
        <v>127</v>
      </c>
      <c r="B185">
        <f>A185/127</f>
        <v>1</v>
      </c>
      <c r="C185">
        <f>B185*$C$184</f>
        <v>18.856865368319525</v>
      </c>
      <c r="D185">
        <f>IF($E$184&gt;0,(B185*$D$182)^2,B185*C185)</f>
        <v>361</v>
      </c>
      <c r="E185">
        <f t="shared" ref="E185:E216" si="11">B185+$E$184</f>
        <v>1.6377952755905512</v>
      </c>
      <c r="F185">
        <f t="shared" ref="F185:F216" si="12">$F$184*(B185-1)+1</f>
        <v>1</v>
      </c>
      <c r="G185">
        <f>IF($E$184&gt;0,MIN(MIN(C186,E186),F186),MAX(MAX(C186,E186),F186))</f>
        <v>0.99944135568439674</v>
      </c>
      <c r="H185">
        <f>IF($E$184&gt;0,MIN(MIN(D186,E186),F186),MAX(MAX(C186,E186),F186))</f>
        <v>0.99944135568439674</v>
      </c>
      <c r="I185">
        <f>IF(B185&gt;0.6,5*(B185-1)/4+1,5*B185/6)</f>
        <v>1</v>
      </c>
      <c r="J185">
        <f>I185*$C$184</f>
        <v>18.856865368319525</v>
      </c>
      <c r="K185">
        <f>IF($E$184&gt;0,(I185*$D$182)^2,I185*J185)</f>
        <v>361</v>
      </c>
      <c r="L185">
        <f t="shared" ref="L185" si="13">I185+$E$184</f>
        <v>1.6377952755905512</v>
      </c>
      <c r="M185">
        <f t="shared" ref="M185" si="14">$F$184*(I185-1)+1</f>
        <v>1</v>
      </c>
      <c r="N185">
        <f>IF($E$184&gt;0,MIN(MIN(J186,L186),M186),MAX(MAX(J186,L186),M186))</f>
        <v>0.99930169460549589</v>
      </c>
    </row>
    <row r="186" spans="1:14" x14ac:dyDescent="0.35">
      <c r="A186">
        <f>A185-1</f>
        <v>126</v>
      </c>
      <c r="B186">
        <f t="shared" ref="B186:B249" si="15">A186/127</f>
        <v>0.99212598425196852</v>
      </c>
      <c r="C186">
        <f t="shared" ref="C186:C249" si="16">B186*$C$184</f>
        <v>18.708386113450867</v>
      </c>
      <c r="D186">
        <f t="shared" ref="D186:D249" si="17">IF($E$184&gt;0,(B186*$D$182)^2,B186*C186)</f>
        <v>355.33734267468532</v>
      </c>
      <c r="E186">
        <f t="shared" si="11"/>
        <v>1.6299212598425197</v>
      </c>
      <c r="F186">
        <f t="shared" si="12"/>
        <v>0.99944135568439674</v>
      </c>
      <c r="G186">
        <f t="shared" ref="G186:G249" si="18">IF($E$184&gt;0,MIN(MIN(C187,E187),F187),MAX(MAX(C187,E187),F187))</f>
        <v>0.99888271136879347</v>
      </c>
      <c r="H186">
        <f t="shared" ref="H186:H249" si="19">IF($E$184&gt;0,MIN(MIN(D187,E187),F187),MAX(MAX(C187,E187),F187))</f>
        <v>0.99888271136879347</v>
      </c>
      <c r="I186">
        <f t="shared" ref="I186:I249" si="20">IF(B186&gt;0.6,5*(B186-1)/4+1,5*B186/6)</f>
        <v>0.99015748031496065</v>
      </c>
      <c r="J186">
        <f t="shared" ref="J186:J249" si="21">I186*$C$184</f>
        <v>18.671266299733702</v>
      </c>
      <c r="K186">
        <f t="shared" ref="K186:K249" si="22">IF($E$184&gt;0,(I186*$D$182)^2,I186*J186)</f>
        <v>353.92867273234543</v>
      </c>
      <c r="L186">
        <f t="shared" ref="L186:L249" si="23">I186+$E$184</f>
        <v>1.6279527559055118</v>
      </c>
      <c r="M186">
        <f t="shared" ref="M186:M249" si="24">$F$184*(I186-1)+1</f>
        <v>0.99930169460549589</v>
      </c>
      <c r="N186">
        <f t="shared" ref="N186:N249" si="25">IF($E$184&gt;0,MIN(MIN(J187,L187),M187),MAX(MAX(J187,L187),M187))</f>
        <v>0.99860338921099179</v>
      </c>
    </row>
    <row r="187" spans="1:14" x14ac:dyDescent="0.35">
      <c r="A187">
        <f t="shared" ref="A187:A251" si="26">A186-1</f>
        <v>125</v>
      </c>
      <c r="B187">
        <f t="shared" si="15"/>
        <v>0.98425196850393704</v>
      </c>
      <c r="C187">
        <f t="shared" si="16"/>
        <v>18.55990685858221</v>
      </c>
      <c r="D187">
        <f t="shared" si="17"/>
        <v>349.71944943889889</v>
      </c>
      <c r="E187">
        <f t="shared" si="11"/>
        <v>1.6220472440944882</v>
      </c>
      <c r="F187">
        <f t="shared" si="12"/>
        <v>0.99888271136879347</v>
      </c>
      <c r="G187">
        <f t="shared" si="18"/>
        <v>0.99832406705319021</v>
      </c>
      <c r="H187">
        <f t="shared" si="19"/>
        <v>0.99832406705319021</v>
      </c>
      <c r="I187">
        <f t="shared" si="20"/>
        <v>0.98031496062992129</v>
      </c>
      <c r="J187">
        <f t="shared" si="21"/>
        <v>18.485667231147882</v>
      </c>
      <c r="K187">
        <f t="shared" si="22"/>
        <v>346.9272893545787</v>
      </c>
      <c r="L187">
        <f t="shared" si="23"/>
        <v>1.6181102362204725</v>
      </c>
      <c r="M187">
        <f t="shared" si="24"/>
        <v>0.99860338921099179</v>
      </c>
      <c r="N187">
        <f t="shared" si="25"/>
        <v>0.99790508381648779</v>
      </c>
    </row>
    <row r="188" spans="1:14" x14ac:dyDescent="0.35">
      <c r="A188">
        <f t="shared" si="26"/>
        <v>124</v>
      </c>
      <c r="B188">
        <f t="shared" si="15"/>
        <v>0.97637795275590555</v>
      </c>
      <c r="C188">
        <f t="shared" si="16"/>
        <v>18.411427603713552</v>
      </c>
      <c r="D188">
        <f t="shared" si="17"/>
        <v>344.14632029264067</v>
      </c>
      <c r="E188">
        <f t="shared" si="11"/>
        <v>1.6141732283464567</v>
      </c>
      <c r="F188">
        <f t="shared" si="12"/>
        <v>0.99832406705319021</v>
      </c>
      <c r="G188">
        <f t="shared" si="18"/>
        <v>0.99776542273758695</v>
      </c>
      <c r="H188">
        <f t="shared" si="19"/>
        <v>0.99776542273758695</v>
      </c>
      <c r="I188">
        <f t="shared" si="20"/>
        <v>0.97047244094488194</v>
      </c>
      <c r="J188">
        <f t="shared" si="21"/>
        <v>18.300068162562059</v>
      </c>
      <c r="K188">
        <f t="shared" si="22"/>
        <v>339.9958498666997</v>
      </c>
      <c r="L188">
        <f t="shared" si="23"/>
        <v>1.6082677165354331</v>
      </c>
      <c r="M188">
        <f t="shared" si="24"/>
        <v>0.99790508381648779</v>
      </c>
      <c r="N188">
        <f t="shared" si="25"/>
        <v>0.99720677842198369</v>
      </c>
    </row>
    <row r="189" spans="1:14" x14ac:dyDescent="0.35">
      <c r="A189">
        <f t="shared" si="26"/>
        <v>123</v>
      </c>
      <c r="B189">
        <f t="shared" si="15"/>
        <v>0.96850393700787396</v>
      </c>
      <c r="C189">
        <f t="shared" si="16"/>
        <v>18.262948348844894</v>
      </c>
      <c r="D189">
        <f t="shared" si="17"/>
        <v>338.61795523591036</v>
      </c>
      <c r="E189">
        <f t="shared" si="11"/>
        <v>1.606299212598425</v>
      </c>
      <c r="F189">
        <f t="shared" si="12"/>
        <v>0.99776542273758695</v>
      </c>
      <c r="G189">
        <f t="shared" si="18"/>
        <v>0.99720677842198369</v>
      </c>
      <c r="H189">
        <f t="shared" si="19"/>
        <v>0.99720677842198369</v>
      </c>
      <c r="I189">
        <f t="shared" si="20"/>
        <v>0.96062992125984248</v>
      </c>
      <c r="J189">
        <f t="shared" si="21"/>
        <v>18.114469093976236</v>
      </c>
      <c r="K189">
        <f t="shared" si="22"/>
        <v>333.13435426870853</v>
      </c>
      <c r="L189">
        <f t="shared" si="23"/>
        <v>1.5984251968503935</v>
      </c>
      <c r="M189">
        <f t="shared" si="24"/>
        <v>0.99720677842198369</v>
      </c>
      <c r="N189">
        <f t="shared" si="25"/>
        <v>0.99650847302747958</v>
      </c>
    </row>
    <row r="190" spans="1:14" x14ac:dyDescent="0.35">
      <c r="A190">
        <f t="shared" si="26"/>
        <v>122</v>
      </c>
      <c r="B190">
        <f t="shared" si="15"/>
        <v>0.96062992125984248</v>
      </c>
      <c r="C190">
        <f t="shared" si="16"/>
        <v>18.114469093976236</v>
      </c>
      <c r="D190">
        <f t="shared" si="17"/>
        <v>333.13435426870853</v>
      </c>
      <c r="E190">
        <f t="shared" si="11"/>
        <v>1.5984251968503935</v>
      </c>
      <c r="F190">
        <f t="shared" si="12"/>
        <v>0.99720677842198369</v>
      </c>
      <c r="G190">
        <f t="shared" si="18"/>
        <v>0.99664813410638042</v>
      </c>
      <c r="H190">
        <f t="shared" si="19"/>
        <v>0.99664813410638042</v>
      </c>
      <c r="I190">
        <f t="shared" si="20"/>
        <v>0.95078740157480313</v>
      </c>
      <c r="J190">
        <f t="shared" si="21"/>
        <v>17.928870025390413</v>
      </c>
      <c r="K190">
        <f t="shared" si="22"/>
        <v>326.34280256060509</v>
      </c>
      <c r="L190">
        <f t="shared" si="23"/>
        <v>1.5885826771653542</v>
      </c>
      <c r="M190">
        <f t="shared" si="24"/>
        <v>0.99650847302747958</v>
      </c>
      <c r="N190">
        <f t="shared" si="25"/>
        <v>0.99581016763297547</v>
      </c>
    </row>
    <row r="191" spans="1:14" x14ac:dyDescent="0.35">
      <c r="A191">
        <f t="shared" si="26"/>
        <v>121</v>
      </c>
      <c r="B191">
        <f t="shared" si="15"/>
        <v>0.952755905511811</v>
      </c>
      <c r="C191">
        <f t="shared" si="16"/>
        <v>17.965989839107579</v>
      </c>
      <c r="D191">
        <f t="shared" si="17"/>
        <v>327.69551739103468</v>
      </c>
      <c r="E191">
        <f t="shared" si="11"/>
        <v>1.590551181102362</v>
      </c>
      <c r="F191">
        <f t="shared" si="12"/>
        <v>0.99664813410638042</v>
      </c>
      <c r="G191">
        <f t="shared" si="18"/>
        <v>0.99608948979077716</v>
      </c>
      <c r="H191">
        <f t="shared" si="19"/>
        <v>0.99608948979077716</v>
      </c>
      <c r="I191">
        <f t="shared" si="20"/>
        <v>0.94094488188976377</v>
      </c>
      <c r="J191">
        <f t="shared" si="21"/>
        <v>17.743270956804594</v>
      </c>
      <c r="K191">
        <f t="shared" si="22"/>
        <v>319.62119474238943</v>
      </c>
      <c r="L191">
        <f t="shared" si="23"/>
        <v>1.5787401574803148</v>
      </c>
      <c r="M191">
        <f t="shared" si="24"/>
        <v>0.99581016763297547</v>
      </c>
      <c r="N191">
        <f t="shared" si="25"/>
        <v>0.99511186223847137</v>
      </c>
    </row>
    <row r="192" spans="1:14" x14ac:dyDescent="0.35">
      <c r="A192">
        <f t="shared" si="26"/>
        <v>120</v>
      </c>
      <c r="B192">
        <f t="shared" si="15"/>
        <v>0.94488188976377951</v>
      </c>
      <c r="C192">
        <f t="shared" si="16"/>
        <v>17.817510584238921</v>
      </c>
      <c r="D192">
        <f t="shared" si="17"/>
        <v>322.30144460288921</v>
      </c>
      <c r="E192">
        <f t="shared" si="11"/>
        <v>1.5826771653543306</v>
      </c>
      <c r="F192">
        <f t="shared" si="12"/>
        <v>0.99608948979077716</v>
      </c>
      <c r="G192">
        <f t="shared" si="18"/>
        <v>0.99553084547517379</v>
      </c>
      <c r="H192">
        <f t="shared" si="19"/>
        <v>0.99553084547517379</v>
      </c>
      <c r="I192">
        <f t="shared" si="20"/>
        <v>0.93110236220472442</v>
      </c>
      <c r="J192">
        <f t="shared" si="21"/>
        <v>17.557671888218771</v>
      </c>
      <c r="K192">
        <f t="shared" si="22"/>
        <v>312.96953081406161</v>
      </c>
      <c r="L192">
        <f t="shared" si="23"/>
        <v>1.5688976377952755</v>
      </c>
      <c r="M192">
        <f t="shared" si="24"/>
        <v>0.99511186223847137</v>
      </c>
      <c r="N192">
        <f t="shared" si="25"/>
        <v>0.99441355684396726</v>
      </c>
    </row>
    <row r="193" spans="1:19" x14ac:dyDescent="0.35">
      <c r="A193">
        <f t="shared" si="26"/>
        <v>119</v>
      </c>
      <c r="B193">
        <f t="shared" si="15"/>
        <v>0.93700787401574803</v>
      </c>
      <c r="C193">
        <f t="shared" si="16"/>
        <v>17.669031329370263</v>
      </c>
      <c r="D193">
        <f t="shared" si="17"/>
        <v>316.95213590427176</v>
      </c>
      <c r="E193">
        <f t="shared" si="11"/>
        <v>1.5748031496062991</v>
      </c>
      <c r="F193">
        <f t="shared" si="12"/>
        <v>0.99553084547517379</v>
      </c>
      <c r="G193">
        <f t="shared" si="18"/>
        <v>0.99497220115957052</v>
      </c>
      <c r="H193">
        <f t="shared" si="19"/>
        <v>0.99497220115957052</v>
      </c>
      <c r="I193">
        <f t="shared" si="20"/>
        <v>0.92125984251968507</v>
      </c>
      <c r="J193">
        <f t="shared" si="21"/>
        <v>17.372072819632947</v>
      </c>
      <c r="K193">
        <f t="shared" si="22"/>
        <v>306.38781077562152</v>
      </c>
      <c r="L193">
        <f t="shared" si="23"/>
        <v>1.5590551181102361</v>
      </c>
      <c r="M193">
        <f t="shared" si="24"/>
        <v>0.99441355684396726</v>
      </c>
      <c r="N193">
        <f t="shared" si="25"/>
        <v>0.99371525144946327</v>
      </c>
    </row>
    <row r="194" spans="1:19" x14ac:dyDescent="0.35">
      <c r="A194">
        <f t="shared" si="26"/>
        <v>118</v>
      </c>
      <c r="B194">
        <f t="shared" si="15"/>
        <v>0.92913385826771655</v>
      </c>
      <c r="C194">
        <f t="shared" si="16"/>
        <v>17.520552074501605</v>
      </c>
      <c r="D194">
        <f t="shared" si="17"/>
        <v>311.64759129518262</v>
      </c>
      <c r="E194">
        <f t="shared" si="11"/>
        <v>1.5669291338582676</v>
      </c>
      <c r="F194">
        <f t="shared" si="12"/>
        <v>0.99497220115957052</v>
      </c>
      <c r="G194">
        <f t="shared" si="18"/>
        <v>0.99441355684396726</v>
      </c>
      <c r="H194">
        <f t="shared" si="19"/>
        <v>0.99441355684396726</v>
      </c>
      <c r="I194">
        <f t="shared" si="20"/>
        <v>0.91141732283464572</v>
      </c>
      <c r="J194">
        <f t="shared" si="21"/>
        <v>17.186473751047128</v>
      </c>
      <c r="K194">
        <f t="shared" si="22"/>
        <v>299.87603462706932</v>
      </c>
      <c r="L194">
        <f t="shared" si="23"/>
        <v>1.5492125984251968</v>
      </c>
      <c r="M194">
        <f t="shared" si="24"/>
        <v>0.99371525144946327</v>
      </c>
      <c r="N194">
        <f t="shared" si="25"/>
        <v>0.99301694605495916</v>
      </c>
    </row>
    <row r="195" spans="1:19" x14ac:dyDescent="0.35">
      <c r="A195">
        <f t="shared" si="26"/>
        <v>117</v>
      </c>
      <c r="B195">
        <f t="shared" si="15"/>
        <v>0.92125984251968507</v>
      </c>
      <c r="C195">
        <f t="shared" si="16"/>
        <v>17.372072819632947</v>
      </c>
      <c r="D195">
        <f t="shared" si="17"/>
        <v>306.38781077562152</v>
      </c>
      <c r="E195">
        <f t="shared" si="11"/>
        <v>1.5590551181102361</v>
      </c>
      <c r="F195">
        <f t="shared" si="12"/>
        <v>0.99441355684396726</v>
      </c>
      <c r="G195">
        <f t="shared" si="18"/>
        <v>0.993854912528364</v>
      </c>
      <c r="H195">
        <f t="shared" si="19"/>
        <v>0.993854912528364</v>
      </c>
      <c r="I195">
        <f t="shared" si="20"/>
        <v>0.90157480314960636</v>
      </c>
      <c r="J195">
        <f t="shared" si="21"/>
        <v>17.000874682461305</v>
      </c>
      <c r="K195">
        <f t="shared" si="22"/>
        <v>293.43420236840484</v>
      </c>
      <c r="L195">
        <f t="shared" si="23"/>
        <v>1.5393700787401574</v>
      </c>
      <c r="M195">
        <f t="shared" si="24"/>
        <v>0.99301694605495916</v>
      </c>
      <c r="N195">
        <f t="shared" si="25"/>
        <v>0.99231864066045505</v>
      </c>
    </row>
    <row r="196" spans="1:19" x14ac:dyDescent="0.35">
      <c r="A196">
        <f t="shared" si="26"/>
        <v>116</v>
      </c>
      <c r="B196">
        <f t="shared" si="15"/>
        <v>0.91338582677165359</v>
      </c>
      <c r="C196">
        <f t="shared" si="16"/>
        <v>17.22359356476429</v>
      </c>
      <c r="D196">
        <f t="shared" si="17"/>
        <v>301.17279434558873</v>
      </c>
      <c r="E196">
        <f t="shared" si="11"/>
        <v>1.5511811023622046</v>
      </c>
      <c r="F196">
        <f t="shared" si="12"/>
        <v>0.993854912528364</v>
      </c>
      <c r="G196">
        <f t="shared" si="18"/>
        <v>0.99329626821276074</v>
      </c>
      <c r="H196">
        <f t="shared" si="19"/>
        <v>0.99329626821276074</v>
      </c>
      <c r="I196">
        <f t="shared" si="20"/>
        <v>0.89173228346456701</v>
      </c>
      <c r="J196">
        <f t="shared" si="21"/>
        <v>16.815275613875485</v>
      </c>
      <c r="K196">
        <f t="shared" si="22"/>
        <v>287.06231399962809</v>
      </c>
      <c r="L196">
        <f t="shared" si="23"/>
        <v>1.5295275590551181</v>
      </c>
      <c r="M196">
        <f t="shared" si="24"/>
        <v>0.99231864066045505</v>
      </c>
      <c r="N196">
        <f t="shared" si="25"/>
        <v>0.99162033526595095</v>
      </c>
    </row>
    <row r="197" spans="1:19" x14ac:dyDescent="0.35">
      <c r="A197">
        <f t="shared" si="26"/>
        <v>115</v>
      </c>
      <c r="B197">
        <f t="shared" si="15"/>
        <v>0.90551181102362199</v>
      </c>
      <c r="C197">
        <f t="shared" si="16"/>
        <v>17.075114309895632</v>
      </c>
      <c r="D197">
        <f t="shared" si="17"/>
        <v>296.00254200508402</v>
      </c>
      <c r="E197">
        <f t="shared" si="11"/>
        <v>1.5433070866141732</v>
      </c>
      <c r="F197">
        <f t="shared" si="12"/>
        <v>0.99329626821276074</v>
      </c>
      <c r="G197">
        <f t="shared" si="18"/>
        <v>0.99273762389715747</v>
      </c>
      <c r="H197">
        <f t="shared" si="19"/>
        <v>0.99273762389715747</v>
      </c>
      <c r="I197">
        <f t="shared" si="20"/>
        <v>0.88188976377952755</v>
      </c>
      <c r="J197">
        <f t="shared" si="21"/>
        <v>16.629676545289659</v>
      </c>
      <c r="K197">
        <f t="shared" si="22"/>
        <v>280.760369520739</v>
      </c>
      <c r="L197">
        <f t="shared" si="23"/>
        <v>1.5196850393700787</v>
      </c>
      <c r="M197">
        <f t="shared" si="24"/>
        <v>0.99162033526595095</v>
      </c>
      <c r="N197">
        <f t="shared" si="25"/>
        <v>0.99092202987144684</v>
      </c>
    </row>
    <row r="198" spans="1:19" x14ac:dyDescent="0.35">
      <c r="A198">
        <f t="shared" si="26"/>
        <v>114</v>
      </c>
      <c r="B198">
        <f t="shared" si="15"/>
        <v>0.89763779527559051</v>
      </c>
      <c r="C198">
        <f t="shared" si="16"/>
        <v>16.926635055026974</v>
      </c>
      <c r="D198">
        <f t="shared" si="17"/>
        <v>290.87705375410746</v>
      </c>
      <c r="E198">
        <f t="shared" si="11"/>
        <v>1.5354330708661417</v>
      </c>
      <c r="F198">
        <f t="shared" si="12"/>
        <v>0.99273762389715747</v>
      </c>
      <c r="G198">
        <f t="shared" si="18"/>
        <v>0.99217897958155421</v>
      </c>
      <c r="H198">
        <f t="shared" si="19"/>
        <v>0.99217897958155421</v>
      </c>
      <c r="I198">
        <f t="shared" si="20"/>
        <v>0.87204724409448819</v>
      </c>
      <c r="J198">
        <f t="shared" si="21"/>
        <v>16.444077476703839</v>
      </c>
      <c r="K198">
        <f t="shared" si="22"/>
        <v>274.52836893173782</v>
      </c>
      <c r="L198">
        <f t="shared" si="23"/>
        <v>1.5098425196850394</v>
      </c>
      <c r="M198">
        <f t="shared" si="24"/>
        <v>0.99092202987144684</v>
      </c>
      <c r="N198">
        <f t="shared" si="25"/>
        <v>0.99022372447694273</v>
      </c>
    </row>
    <row r="199" spans="1:19" x14ac:dyDescent="0.35">
      <c r="A199">
        <f t="shared" si="26"/>
        <v>113</v>
      </c>
      <c r="B199">
        <f t="shared" si="15"/>
        <v>0.88976377952755903</v>
      </c>
      <c r="C199">
        <f t="shared" si="16"/>
        <v>16.778155800158316</v>
      </c>
      <c r="D199">
        <f t="shared" si="17"/>
        <v>285.79632959265916</v>
      </c>
      <c r="E199">
        <f t="shared" si="11"/>
        <v>1.5275590551181102</v>
      </c>
      <c r="F199">
        <f t="shared" si="12"/>
        <v>0.99217897958155421</v>
      </c>
      <c r="G199">
        <f t="shared" si="18"/>
        <v>0.99162033526595095</v>
      </c>
      <c r="H199">
        <f t="shared" si="19"/>
        <v>0.99162033526595095</v>
      </c>
      <c r="I199">
        <f t="shared" si="20"/>
        <v>0.86220472440944884</v>
      </c>
      <c r="J199">
        <f t="shared" si="21"/>
        <v>16.258478408118016</v>
      </c>
      <c r="K199">
        <f t="shared" si="22"/>
        <v>268.36631223262452</v>
      </c>
      <c r="L199">
        <f t="shared" si="23"/>
        <v>1.5</v>
      </c>
      <c r="M199">
        <f t="shared" si="24"/>
        <v>0.99022372447694273</v>
      </c>
      <c r="N199">
        <f t="shared" si="25"/>
        <v>0.98952541908243874</v>
      </c>
    </row>
    <row r="200" spans="1:19" x14ac:dyDescent="0.35">
      <c r="A200">
        <f t="shared" si="26"/>
        <v>112</v>
      </c>
      <c r="B200">
        <f t="shared" si="15"/>
        <v>0.88188976377952755</v>
      </c>
      <c r="C200">
        <f t="shared" si="16"/>
        <v>16.629676545289659</v>
      </c>
      <c r="D200">
        <f t="shared" si="17"/>
        <v>280.760369520739</v>
      </c>
      <c r="E200">
        <f t="shared" si="11"/>
        <v>1.5196850393700787</v>
      </c>
      <c r="F200">
        <f t="shared" si="12"/>
        <v>0.99162033526595095</v>
      </c>
      <c r="G200">
        <f t="shared" si="18"/>
        <v>0.99106169095034768</v>
      </c>
      <c r="H200">
        <f t="shared" si="19"/>
        <v>0.99106169095034768</v>
      </c>
      <c r="I200">
        <f t="shared" si="20"/>
        <v>0.85236220472440949</v>
      </c>
      <c r="J200">
        <f t="shared" si="21"/>
        <v>16.072879339532193</v>
      </c>
      <c r="K200">
        <f t="shared" si="22"/>
        <v>262.2741994233989</v>
      </c>
      <c r="L200">
        <f t="shared" si="23"/>
        <v>1.4901574803149606</v>
      </c>
      <c r="M200">
        <f t="shared" si="24"/>
        <v>0.98952541908243874</v>
      </c>
      <c r="N200">
        <f t="shared" si="25"/>
        <v>0.98882711368793463</v>
      </c>
    </row>
    <row r="201" spans="1:19" x14ac:dyDescent="0.35">
      <c r="A201">
        <f t="shared" si="26"/>
        <v>111</v>
      </c>
      <c r="B201">
        <f t="shared" si="15"/>
        <v>0.87401574803149606</v>
      </c>
      <c r="C201">
        <f t="shared" si="16"/>
        <v>16.481197290421001</v>
      </c>
      <c r="D201">
        <f t="shared" si="17"/>
        <v>275.7691735383471</v>
      </c>
      <c r="E201">
        <f t="shared" si="11"/>
        <v>1.5118110236220472</v>
      </c>
      <c r="F201">
        <f t="shared" si="12"/>
        <v>0.99106169095034768</v>
      </c>
      <c r="G201">
        <f t="shared" si="18"/>
        <v>0.99050304663474442</v>
      </c>
      <c r="H201">
        <f t="shared" si="19"/>
        <v>0.99050304663474442</v>
      </c>
      <c r="I201">
        <f t="shared" si="20"/>
        <v>0.84251968503937014</v>
      </c>
      <c r="J201">
        <f t="shared" si="21"/>
        <v>15.887280270946373</v>
      </c>
      <c r="K201">
        <f t="shared" si="22"/>
        <v>256.25203050406105</v>
      </c>
      <c r="L201">
        <f t="shared" si="23"/>
        <v>1.4803149606299213</v>
      </c>
      <c r="M201">
        <f t="shared" si="24"/>
        <v>0.98882711368793463</v>
      </c>
      <c r="N201">
        <f t="shared" si="25"/>
        <v>0.98812880829343053</v>
      </c>
    </row>
    <row r="202" spans="1:19" x14ac:dyDescent="0.35">
      <c r="A202">
        <f t="shared" si="26"/>
        <v>110</v>
      </c>
      <c r="B202">
        <f t="shared" si="15"/>
        <v>0.86614173228346458</v>
      </c>
      <c r="C202">
        <f t="shared" si="16"/>
        <v>16.332718035552343</v>
      </c>
      <c r="D202">
        <f t="shared" si="17"/>
        <v>270.82274164548329</v>
      </c>
      <c r="E202">
        <f t="shared" si="11"/>
        <v>1.5039370078740157</v>
      </c>
      <c r="F202">
        <f t="shared" si="12"/>
        <v>0.99050304663474442</v>
      </c>
      <c r="G202">
        <f t="shared" si="18"/>
        <v>0.98994440231914116</v>
      </c>
      <c r="H202">
        <f t="shared" si="19"/>
        <v>0.98994440231914116</v>
      </c>
      <c r="I202">
        <f t="shared" si="20"/>
        <v>0.83267716535433078</v>
      </c>
      <c r="J202">
        <f t="shared" si="21"/>
        <v>15.70168120236055</v>
      </c>
      <c r="K202">
        <f t="shared" si="22"/>
        <v>250.29980547461099</v>
      </c>
      <c r="L202">
        <f t="shared" si="23"/>
        <v>1.4704724409448819</v>
      </c>
      <c r="M202">
        <f t="shared" si="24"/>
        <v>0.98812880829343053</v>
      </c>
      <c r="N202">
        <f t="shared" si="25"/>
        <v>0.98743050289892642</v>
      </c>
      <c r="Q202">
        <v>126</v>
      </c>
      <c r="R202">
        <v>50</v>
      </c>
      <c r="S202">
        <f>0.0000000003*Q202^5.345</f>
        <v>50.536111067480896</v>
      </c>
    </row>
    <row r="203" spans="1:19" x14ac:dyDescent="0.35">
      <c r="A203">
        <f t="shared" si="26"/>
        <v>109</v>
      </c>
      <c r="B203">
        <f t="shared" si="15"/>
        <v>0.8582677165354331</v>
      </c>
      <c r="C203">
        <f t="shared" si="16"/>
        <v>16.184238780683689</v>
      </c>
      <c r="D203">
        <f t="shared" si="17"/>
        <v>265.92107384214773</v>
      </c>
      <c r="E203">
        <f t="shared" si="11"/>
        <v>1.4960629921259843</v>
      </c>
      <c r="F203">
        <f t="shared" si="12"/>
        <v>0.98994440231914116</v>
      </c>
      <c r="G203">
        <f t="shared" si="18"/>
        <v>0.9893857580035379</v>
      </c>
      <c r="H203">
        <f t="shared" si="19"/>
        <v>0.9893857580035379</v>
      </c>
      <c r="I203">
        <f t="shared" si="20"/>
        <v>0.82283464566929143</v>
      </c>
      <c r="J203">
        <f t="shared" si="21"/>
        <v>15.516082133774729</v>
      </c>
      <c r="K203">
        <f t="shared" si="22"/>
        <v>244.41752433504871</v>
      </c>
      <c r="L203">
        <f t="shared" si="23"/>
        <v>1.4606299212598426</v>
      </c>
      <c r="M203">
        <f t="shared" si="24"/>
        <v>0.98743050289892642</v>
      </c>
      <c r="N203">
        <f t="shared" si="25"/>
        <v>0.98673219750442231</v>
      </c>
      <c r="Q203">
        <v>120</v>
      </c>
      <c r="R203">
        <v>32</v>
      </c>
      <c r="S203">
        <f t="shared" ref="S203:S210" si="27">0.0000000003*Q203^5.345</f>
        <v>38.935433538528009</v>
      </c>
    </row>
    <row r="204" spans="1:19" x14ac:dyDescent="0.35">
      <c r="A204">
        <f t="shared" si="26"/>
        <v>108</v>
      </c>
      <c r="B204">
        <f t="shared" si="15"/>
        <v>0.85039370078740162</v>
      </c>
      <c r="C204">
        <f t="shared" si="16"/>
        <v>16.035759525815031</v>
      </c>
      <c r="D204">
        <f t="shared" si="17"/>
        <v>261.06417012834027</v>
      </c>
      <c r="E204">
        <f t="shared" si="11"/>
        <v>1.4881889763779528</v>
      </c>
      <c r="F204">
        <f t="shared" si="12"/>
        <v>0.9893857580035379</v>
      </c>
      <c r="G204">
        <f t="shared" si="18"/>
        <v>0.98882711368793463</v>
      </c>
      <c r="H204">
        <f t="shared" si="19"/>
        <v>0.98882711368793463</v>
      </c>
      <c r="I204">
        <f t="shared" si="20"/>
        <v>0.81299212598425208</v>
      </c>
      <c r="J204">
        <f t="shared" si="21"/>
        <v>15.330483065188908</v>
      </c>
      <c r="K204">
        <f t="shared" si="22"/>
        <v>238.60518708537421</v>
      </c>
      <c r="L204">
        <f t="shared" si="23"/>
        <v>1.4507874015748032</v>
      </c>
      <c r="M204">
        <f t="shared" si="24"/>
        <v>0.98673219750442231</v>
      </c>
      <c r="N204">
        <f t="shared" si="25"/>
        <v>0.98603389210991821</v>
      </c>
      <c r="Q204">
        <v>115</v>
      </c>
      <c r="R204">
        <v>25</v>
      </c>
      <c r="S204">
        <f t="shared" si="27"/>
        <v>31.0135307427268</v>
      </c>
    </row>
    <row r="205" spans="1:19" x14ac:dyDescent="0.35">
      <c r="A205">
        <f t="shared" si="26"/>
        <v>107</v>
      </c>
      <c r="B205">
        <f t="shared" si="15"/>
        <v>0.84251968503937003</v>
      </c>
      <c r="C205">
        <f t="shared" si="16"/>
        <v>15.88728027094637</v>
      </c>
      <c r="D205">
        <f t="shared" si="17"/>
        <v>256.25203050406094</v>
      </c>
      <c r="E205">
        <f t="shared" si="11"/>
        <v>1.4803149606299213</v>
      </c>
      <c r="F205">
        <f t="shared" si="12"/>
        <v>0.98882711368793463</v>
      </c>
      <c r="G205">
        <f t="shared" si="18"/>
        <v>0.98826846937233137</v>
      </c>
      <c r="H205">
        <f t="shared" si="19"/>
        <v>0.98826846937233137</v>
      </c>
      <c r="I205">
        <f t="shared" si="20"/>
        <v>0.8031496062992125</v>
      </c>
      <c r="J205">
        <f t="shared" si="21"/>
        <v>15.144883996603081</v>
      </c>
      <c r="K205">
        <f t="shared" si="22"/>
        <v>232.86279372558738</v>
      </c>
      <c r="L205">
        <f t="shared" si="23"/>
        <v>1.4409448818897637</v>
      </c>
      <c r="M205">
        <f t="shared" si="24"/>
        <v>0.98603389210991821</v>
      </c>
      <c r="N205">
        <f t="shared" si="25"/>
        <v>0.9853355867154141</v>
      </c>
      <c r="Q205">
        <v>112</v>
      </c>
      <c r="R205">
        <v>22</v>
      </c>
      <c r="S205">
        <f t="shared" si="27"/>
        <v>26.92722417110517</v>
      </c>
    </row>
    <row r="206" spans="1:19" x14ac:dyDescent="0.35">
      <c r="A206">
        <f t="shared" si="26"/>
        <v>106</v>
      </c>
      <c r="B206">
        <f t="shared" si="15"/>
        <v>0.83464566929133854</v>
      </c>
      <c r="C206">
        <f t="shared" si="16"/>
        <v>15.738801016077714</v>
      </c>
      <c r="D206">
        <f t="shared" si="17"/>
        <v>251.4846549693099</v>
      </c>
      <c r="E206">
        <f t="shared" si="11"/>
        <v>1.4724409448818898</v>
      </c>
      <c r="F206">
        <f t="shared" si="12"/>
        <v>0.98826846937233137</v>
      </c>
      <c r="G206">
        <f t="shared" si="18"/>
        <v>0.98770982505672811</v>
      </c>
      <c r="H206">
        <f t="shared" si="19"/>
        <v>0.98770982505672811</v>
      </c>
      <c r="I206">
        <f t="shared" si="20"/>
        <v>0.79330708661417315</v>
      </c>
      <c r="J206">
        <f t="shared" si="21"/>
        <v>14.95928492801726</v>
      </c>
      <c r="K206">
        <f t="shared" si="22"/>
        <v>227.19034425568844</v>
      </c>
      <c r="L206">
        <f t="shared" si="23"/>
        <v>1.4311023622047243</v>
      </c>
      <c r="M206">
        <f t="shared" si="24"/>
        <v>0.9853355867154141</v>
      </c>
      <c r="N206">
        <f t="shared" si="25"/>
        <v>0.98463728132091011</v>
      </c>
      <c r="Q206">
        <v>105</v>
      </c>
      <c r="R206">
        <v>17</v>
      </c>
      <c r="S206">
        <f t="shared" si="27"/>
        <v>19.071201652045982</v>
      </c>
    </row>
    <row r="207" spans="1:19" x14ac:dyDescent="0.35">
      <c r="A207">
        <f t="shared" si="26"/>
        <v>105</v>
      </c>
      <c r="B207">
        <f t="shared" si="15"/>
        <v>0.82677165354330706</v>
      </c>
      <c r="C207">
        <f t="shared" si="16"/>
        <v>15.590321761209056</v>
      </c>
      <c r="D207">
        <f t="shared" si="17"/>
        <v>246.76204352408701</v>
      </c>
      <c r="E207">
        <f t="shared" si="11"/>
        <v>1.4645669291338583</v>
      </c>
      <c r="F207">
        <f t="shared" si="12"/>
        <v>0.98770982505672811</v>
      </c>
      <c r="G207">
        <f t="shared" si="18"/>
        <v>0.98715118074112473</v>
      </c>
      <c r="H207">
        <f t="shared" si="19"/>
        <v>0.98715118074112473</v>
      </c>
      <c r="I207">
        <f t="shared" si="20"/>
        <v>0.7834645669291338</v>
      </c>
      <c r="J207">
        <f t="shared" si="21"/>
        <v>14.773685859431438</v>
      </c>
      <c r="K207">
        <f t="shared" si="22"/>
        <v>221.58783867567732</v>
      </c>
      <c r="L207">
        <f t="shared" si="23"/>
        <v>1.421259842519685</v>
      </c>
      <c r="M207">
        <f t="shared" si="24"/>
        <v>0.98463728132091011</v>
      </c>
      <c r="N207">
        <f t="shared" si="25"/>
        <v>0.983938975926406</v>
      </c>
      <c r="Q207">
        <v>96</v>
      </c>
      <c r="R207">
        <v>11</v>
      </c>
      <c r="S207">
        <f t="shared" si="27"/>
        <v>11.813021525158517</v>
      </c>
    </row>
    <row r="208" spans="1:19" x14ac:dyDescent="0.35">
      <c r="A208">
        <f t="shared" si="26"/>
        <v>104</v>
      </c>
      <c r="B208">
        <f t="shared" si="15"/>
        <v>0.81889763779527558</v>
      </c>
      <c r="C208">
        <f t="shared" si="16"/>
        <v>15.441842506340398</v>
      </c>
      <c r="D208">
        <f t="shared" si="17"/>
        <v>242.08419616839231</v>
      </c>
      <c r="E208">
        <f t="shared" si="11"/>
        <v>1.4566929133858268</v>
      </c>
      <c r="F208">
        <f t="shared" si="12"/>
        <v>0.98715118074112473</v>
      </c>
      <c r="G208">
        <f t="shared" si="18"/>
        <v>0.98659253642552147</v>
      </c>
      <c r="H208">
        <f t="shared" si="19"/>
        <v>0.98659253642552147</v>
      </c>
      <c r="I208">
        <f t="shared" si="20"/>
        <v>0.77362204724409445</v>
      </c>
      <c r="J208">
        <f t="shared" si="21"/>
        <v>14.588086790845615</v>
      </c>
      <c r="K208">
        <f t="shared" si="22"/>
        <v>216.05527698555395</v>
      </c>
      <c r="L208">
        <f t="shared" si="23"/>
        <v>1.4114173228346456</v>
      </c>
      <c r="M208">
        <f t="shared" si="24"/>
        <v>0.983938975926406</v>
      </c>
      <c r="N208">
        <f t="shared" si="25"/>
        <v>0.98324067053190189</v>
      </c>
      <c r="Q208">
        <v>88</v>
      </c>
      <c r="R208">
        <v>8</v>
      </c>
      <c r="S208">
        <f t="shared" si="27"/>
        <v>7.4196110162094211</v>
      </c>
    </row>
    <row r="209" spans="1:19" x14ac:dyDescent="0.35">
      <c r="A209">
        <f t="shared" si="26"/>
        <v>103</v>
      </c>
      <c r="B209">
        <f t="shared" si="15"/>
        <v>0.8110236220472441</v>
      </c>
      <c r="C209">
        <f t="shared" si="16"/>
        <v>15.293363251471741</v>
      </c>
      <c r="D209">
        <f t="shared" si="17"/>
        <v>237.45111290222579</v>
      </c>
      <c r="E209">
        <f t="shared" si="11"/>
        <v>1.4488188976377954</v>
      </c>
      <c r="F209">
        <f t="shared" si="12"/>
        <v>0.98659253642552147</v>
      </c>
      <c r="G209">
        <f t="shared" si="18"/>
        <v>0.98603389210991821</v>
      </c>
      <c r="H209">
        <f t="shared" si="19"/>
        <v>0.98603389210991821</v>
      </c>
      <c r="I209">
        <f t="shared" si="20"/>
        <v>0.76377952755905509</v>
      </c>
      <c r="J209">
        <f t="shared" si="21"/>
        <v>14.402487722259794</v>
      </c>
      <c r="K209">
        <f t="shared" si="22"/>
        <v>210.59265918531835</v>
      </c>
      <c r="L209">
        <f t="shared" si="23"/>
        <v>1.4015748031496063</v>
      </c>
      <c r="M209">
        <f t="shared" si="24"/>
        <v>0.98324067053190189</v>
      </c>
      <c r="N209">
        <f t="shared" si="25"/>
        <v>0.98254236513739779</v>
      </c>
      <c r="Q209">
        <v>85</v>
      </c>
      <c r="R209">
        <v>7</v>
      </c>
      <c r="S209">
        <f t="shared" si="27"/>
        <v>6.1640394941722043</v>
      </c>
    </row>
    <row r="210" spans="1:19" x14ac:dyDescent="0.35">
      <c r="A210">
        <f t="shared" si="26"/>
        <v>102</v>
      </c>
      <c r="B210">
        <f t="shared" si="15"/>
        <v>0.80314960629921262</v>
      </c>
      <c r="C210">
        <f t="shared" si="16"/>
        <v>15.144883996603083</v>
      </c>
      <c r="D210">
        <f t="shared" si="17"/>
        <v>232.86279372558744</v>
      </c>
      <c r="E210">
        <f t="shared" si="11"/>
        <v>1.4409448818897639</v>
      </c>
      <c r="F210">
        <f t="shared" si="12"/>
        <v>0.98603389210991821</v>
      </c>
      <c r="G210">
        <f t="shared" si="18"/>
        <v>0.98547524779431495</v>
      </c>
      <c r="H210">
        <f t="shared" si="19"/>
        <v>0.98547524779431495</v>
      </c>
      <c r="I210">
        <f t="shared" si="20"/>
        <v>0.75393700787401574</v>
      </c>
      <c r="J210">
        <f t="shared" si="21"/>
        <v>14.216888653673973</v>
      </c>
      <c r="K210">
        <f t="shared" si="22"/>
        <v>205.19998527497057</v>
      </c>
      <c r="L210">
        <f t="shared" si="23"/>
        <v>1.3917322834645669</v>
      </c>
      <c r="M210">
        <f t="shared" si="24"/>
        <v>0.98254236513739779</v>
      </c>
      <c r="N210">
        <f t="shared" si="25"/>
        <v>0.98184405974289368</v>
      </c>
      <c r="Q210">
        <v>80</v>
      </c>
      <c r="R210">
        <v>6</v>
      </c>
      <c r="S210">
        <f t="shared" si="27"/>
        <v>4.4579709611099663</v>
      </c>
    </row>
    <row r="211" spans="1:19" x14ac:dyDescent="0.35">
      <c r="A211">
        <f t="shared" si="26"/>
        <v>101</v>
      </c>
      <c r="B211">
        <f t="shared" si="15"/>
        <v>0.79527559055118113</v>
      </c>
      <c r="C211">
        <f t="shared" si="16"/>
        <v>14.996404741734427</v>
      </c>
      <c r="D211">
        <f t="shared" si="17"/>
        <v>228.31923863847726</v>
      </c>
      <c r="E211">
        <f t="shared" si="11"/>
        <v>1.4330708661417324</v>
      </c>
      <c r="F211">
        <f t="shared" si="12"/>
        <v>0.98547524779431495</v>
      </c>
      <c r="G211">
        <f t="shared" si="18"/>
        <v>0.98491660347871168</v>
      </c>
      <c r="H211">
        <f t="shared" si="19"/>
        <v>0.98491660347871168</v>
      </c>
      <c r="I211">
        <f t="shared" si="20"/>
        <v>0.74409448818897639</v>
      </c>
      <c r="J211">
        <f t="shared" si="21"/>
        <v>14.031289585088151</v>
      </c>
      <c r="K211">
        <f t="shared" si="22"/>
        <v>199.87725525451052</v>
      </c>
      <c r="L211">
        <f t="shared" si="23"/>
        <v>1.3818897637795275</v>
      </c>
      <c r="M211">
        <f t="shared" si="24"/>
        <v>0.98184405974289368</v>
      </c>
      <c r="N211">
        <f t="shared" si="25"/>
        <v>0.98114575434838969</v>
      </c>
    </row>
    <row r="212" spans="1:19" x14ac:dyDescent="0.35">
      <c r="A212">
        <f t="shared" si="26"/>
        <v>100</v>
      </c>
      <c r="B212">
        <f t="shared" si="15"/>
        <v>0.78740157480314965</v>
      </c>
      <c r="C212">
        <f t="shared" si="16"/>
        <v>14.847925486865769</v>
      </c>
      <c r="D212">
        <f t="shared" si="17"/>
        <v>223.82044764089528</v>
      </c>
      <c r="E212">
        <f t="shared" si="11"/>
        <v>1.4251968503937009</v>
      </c>
      <c r="F212">
        <f t="shared" si="12"/>
        <v>0.98491660347871168</v>
      </c>
      <c r="G212">
        <f t="shared" si="18"/>
        <v>0.98435795916310842</v>
      </c>
      <c r="H212">
        <f t="shared" si="19"/>
        <v>0.98435795916310842</v>
      </c>
      <c r="I212">
        <f t="shared" si="20"/>
        <v>0.73425196850393704</v>
      </c>
      <c r="J212">
        <f t="shared" si="21"/>
        <v>13.845690516502328</v>
      </c>
      <c r="K212">
        <f t="shared" si="22"/>
        <v>194.62446912393827</v>
      </c>
      <c r="L212">
        <f t="shared" si="23"/>
        <v>1.3720472440944882</v>
      </c>
      <c r="M212">
        <f t="shared" si="24"/>
        <v>0.98114575434838969</v>
      </c>
      <c r="N212">
        <f t="shared" si="25"/>
        <v>0.98044744895388558</v>
      </c>
    </row>
    <row r="213" spans="1:19" x14ac:dyDescent="0.35">
      <c r="A213">
        <f t="shared" si="26"/>
        <v>99</v>
      </c>
      <c r="B213">
        <f t="shared" si="15"/>
        <v>0.77952755905511806</v>
      </c>
      <c r="C213">
        <f t="shared" si="16"/>
        <v>14.69944623199711</v>
      </c>
      <c r="D213">
        <f t="shared" si="17"/>
        <v>219.36642073284142</v>
      </c>
      <c r="E213">
        <f t="shared" si="11"/>
        <v>1.4173228346456692</v>
      </c>
      <c r="F213">
        <f t="shared" si="12"/>
        <v>0.98435795916310842</v>
      </c>
      <c r="G213">
        <f t="shared" si="18"/>
        <v>0.98379931484750516</v>
      </c>
      <c r="H213">
        <f t="shared" si="19"/>
        <v>0.98379931484750516</v>
      </c>
      <c r="I213">
        <f t="shared" si="20"/>
        <v>0.72440944881889757</v>
      </c>
      <c r="J213">
        <f t="shared" si="21"/>
        <v>13.660091447916505</v>
      </c>
      <c r="K213">
        <f t="shared" si="22"/>
        <v>189.44162688325372</v>
      </c>
      <c r="L213">
        <f t="shared" si="23"/>
        <v>1.3622047244094486</v>
      </c>
      <c r="M213">
        <f t="shared" si="24"/>
        <v>0.98044744895388558</v>
      </c>
      <c r="N213">
        <f t="shared" si="25"/>
        <v>0.97974914355938147</v>
      </c>
    </row>
    <row r="214" spans="1:19" x14ac:dyDescent="0.35">
      <c r="A214">
        <f t="shared" si="26"/>
        <v>98</v>
      </c>
      <c r="B214">
        <f t="shared" si="15"/>
        <v>0.77165354330708658</v>
      </c>
      <c r="C214">
        <f t="shared" si="16"/>
        <v>14.550966977128452</v>
      </c>
      <c r="D214">
        <f t="shared" si="17"/>
        <v>214.95715791431579</v>
      </c>
      <c r="E214">
        <f t="shared" si="11"/>
        <v>1.4094488188976377</v>
      </c>
      <c r="F214">
        <f t="shared" si="12"/>
        <v>0.98379931484750516</v>
      </c>
      <c r="G214">
        <f t="shared" si="18"/>
        <v>0.98324067053190189</v>
      </c>
      <c r="H214">
        <f t="shared" si="19"/>
        <v>0.98324067053190189</v>
      </c>
      <c r="I214">
        <f t="shared" si="20"/>
        <v>0.71456692913385822</v>
      </c>
      <c r="J214">
        <f t="shared" si="21"/>
        <v>13.474492379330684</v>
      </c>
      <c r="K214">
        <f t="shared" si="22"/>
        <v>184.32872853245703</v>
      </c>
      <c r="L214">
        <f t="shared" si="23"/>
        <v>1.3523622047244093</v>
      </c>
      <c r="M214">
        <f t="shared" si="24"/>
        <v>0.97974914355938147</v>
      </c>
      <c r="N214">
        <f t="shared" si="25"/>
        <v>0.97905083816487737</v>
      </c>
    </row>
    <row r="215" spans="1:19" x14ac:dyDescent="0.35">
      <c r="A215">
        <f t="shared" si="26"/>
        <v>97</v>
      </c>
      <c r="B215">
        <f t="shared" si="15"/>
        <v>0.76377952755905509</v>
      </c>
      <c r="C215">
        <f t="shared" si="16"/>
        <v>14.402487722259794</v>
      </c>
      <c r="D215">
        <f t="shared" si="17"/>
        <v>210.59265918531835</v>
      </c>
      <c r="E215">
        <f t="shared" si="11"/>
        <v>1.4015748031496063</v>
      </c>
      <c r="F215">
        <f t="shared" si="12"/>
        <v>0.98324067053190189</v>
      </c>
      <c r="G215">
        <f t="shared" si="18"/>
        <v>0.98268202621629863</v>
      </c>
      <c r="H215">
        <f t="shared" si="19"/>
        <v>0.98268202621629863</v>
      </c>
      <c r="I215">
        <f t="shared" si="20"/>
        <v>0.70472440944881887</v>
      </c>
      <c r="J215">
        <f t="shared" si="21"/>
        <v>13.288893310744861</v>
      </c>
      <c r="K215">
        <f t="shared" si="22"/>
        <v>179.28577407154816</v>
      </c>
      <c r="L215">
        <f t="shared" si="23"/>
        <v>1.3425196850393699</v>
      </c>
      <c r="M215">
        <f t="shared" si="24"/>
        <v>0.97905083816487737</v>
      </c>
      <c r="N215">
        <f t="shared" si="25"/>
        <v>0.97835253277037326</v>
      </c>
    </row>
    <row r="216" spans="1:19" x14ac:dyDescent="0.35">
      <c r="A216">
        <f t="shared" si="26"/>
        <v>96</v>
      </c>
      <c r="B216">
        <f t="shared" si="15"/>
        <v>0.75590551181102361</v>
      </c>
      <c r="C216">
        <f t="shared" si="16"/>
        <v>14.254008467391136</v>
      </c>
      <c r="D216">
        <f t="shared" si="17"/>
        <v>206.27292454584907</v>
      </c>
      <c r="E216">
        <f t="shared" si="11"/>
        <v>1.3937007874015748</v>
      </c>
      <c r="F216">
        <f t="shared" si="12"/>
        <v>0.98268202621629863</v>
      </c>
      <c r="G216">
        <f t="shared" si="18"/>
        <v>0.98212338190069537</v>
      </c>
      <c r="H216">
        <f t="shared" si="19"/>
        <v>0.98212338190069537</v>
      </c>
      <c r="I216">
        <f t="shared" si="20"/>
        <v>0.69488188976377951</v>
      </c>
      <c r="J216">
        <f t="shared" si="21"/>
        <v>13.103294242159039</v>
      </c>
      <c r="K216">
        <f t="shared" si="22"/>
        <v>174.31276350052701</v>
      </c>
      <c r="L216">
        <f t="shared" si="23"/>
        <v>1.3326771653543306</v>
      </c>
      <c r="M216">
        <f t="shared" si="24"/>
        <v>0.97835253277037326</v>
      </c>
      <c r="N216">
        <f t="shared" si="25"/>
        <v>0.97765422737586916</v>
      </c>
    </row>
    <row r="217" spans="1:19" x14ac:dyDescent="0.35">
      <c r="A217">
        <f t="shared" si="26"/>
        <v>95</v>
      </c>
      <c r="B217">
        <f t="shared" si="15"/>
        <v>0.74803149606299213</v>
      </c>
      <c r="C217">
        <f t="shared" si="16"/>
        <v>14.10552921252248</v>
      </c>
      <c r="D217">
        <f t="shared" si="17"/>
        <v>201.99795399590798</v>
      </c>
      <c r="E217">
        <f t="shared" ref="E217:E248" si="28">B217+$E$184</f>
        <v>1.3858267716535433</v>
      </c>
      <c r="F217">
        <f t="shared" ref="F217:F248" si="29">$F$184*(B217-1)+1</f>
        <v>0.98212338190069537</v>
      </c>
      <c r="G217">
        <f t="shared" si="18"/>
        <v>0.98156473758509211</v>
      </c>
      <c r="H217">
        <f t="shared" si="19"/>
        <v>0.98156473758509211</v>
      </c>
      <c r="I217">
        <f t="shared" si="20"/>
        <v>0.68503937007874016</v>
      </c>
      <c r="J217">
        <f t="shared" si="21"/>
        <v>12.917695173573218</v>
      </c>
      <c r="K217">
        <f t="shared" si="22"/>
        <v>169.40969681939364</v>
      </c>
      <c r="L217">
        <f t="shared" si="23"/>
        <v>1.3228346456692912</v>
      </c>
      <c r="M217">
        <f t="shared" si="24"/>
        <v>0.97765422737586916</v>
      </c>
      <c r="N217">
        <f t="shared" si="25"/>
        <v>0.97695592198136505</v>
      </c>
    </row>
    <row r="218" spans="1:19" x14ac:dyDescent="0.35">
      <c r="A218">
        <f t="shared" si="26"/>
        <v>94</v>
      </c>
      <c r="B218">
        <f t="shared" si="15"/>
        <v>0.74015748031496065</v>
      </c>
      <c r="C218">
        <f t="shared" si="16"/>
        <v>13.957049957653823</v>
      </c>
      <c r="D218">
        <f t="shared" si="17"/>
        <v>197.76774753549506</v>
      </c>
      <c r="E218">
        <f t="shared" si="28"/>
        <v>1.3779527559055118</v>
      </c>
      <c r="F218">
        <f t="shared" si="29"/>
        <v>0.98156473758509211</v>
      </c>
      <c r="G218">
        <f t="shared" si="18"/>
        <v>0.98100609326948884</v>
      </c>
      <c r="H218">
        <f t="shared" si="19"/>
        <v>0.98100609326948884</v>
      </c>
      <c r="I218">
        <f t="shared" si="20"/>
        <v>0.67519685039370081</v>
      </c>
      <c r="J218">
        <f t="shared" si="21"/>
        <v>12.732096104987397</v>
      </c>
      <c r="K218">
        <f t="shared" si="22"/>
        <v>164.57657402814806</v>
      </c>
      <c r="L218">
        <f t="shared" si="23"/>
        <v>1.3129921259842519</v>
      </c>
      <c r="M218">
        <f t="shared" si="24"/>
        <v>0.97695592198136505</v>
      </c>
      <c r="N218">
        <f t="shared" si="25"/>
        <v>0.97625761658686105</v>
      </c>
    </row>
    <row r="219" spans="1:19" x14ac:dyDescent="0.35">
      <c r="A219">
        <f t="shared" si="26"/>
        <v>93</v>
      </c>
      <c r="B219">
        <f t="shared" si="15"/>
        <v>0.73228346456692917</v>
      </c>
      <c r="C219">
        <f t="shared" si="16"/>
        <v>13.808570702785165</v>
      </c>
      <c r="D219">
        <f t="shared" si="17"/>
        <v>193.58230516461035</v>
      </c>
      <c r="E219">
        <f t="shared" si="28"/>
        <v>1.3700787401574803</v>
      </c>
      <c r="F219">
        <f t="shared" si="29"/>
        <v>0.98100609326948884</v>
      </c>
      <c r="G219">
        <f t="shared" si="18"/>
        <v>0.98044744895388558</v>
      </c>
      <c r="H219">
        <f t="shared" si="19"/>
        <v>0.98044744895388558</v>
      </c>
      <c r="I219">
        <f t="shared" si="20"/>
        <v>0.66535433070866146</v>
      </c>
      <c r="J219">
        <f t="shared" si="21"/>
        <v>12.546497036401574</v>
      </c>
      <c r="K219">
        <f t="shared" si="22"/>
        <v>159.81339512679028</v>
      </c>
      <c r="L219">
        <f t="shared" si="23"/>
        <v>1.3031496062992125</v>
      </c>
      <c r="M219">
        <f t="shared" si="24"/>
        <v>0.97625761658686105</v>
      </c>
      <c r="N219">
        <f t="shared" si="25"/>
        <v>0.97555931119235695</v>
      </c>
    </row>
    <row r="220" spans="1:19" x14ac:dyDescent="0.35">
      <c r="A220">
        <f t="shared" si="26"/>
        <v>92</v>
      </c>
      <c r="B220">
        <f t="shared" si="15"/>
        <v>0.72440944881889768</v>
      </c>
      <c r="C220">
        <f t="shared" si="16"/>
        <v>13.660091447916507</v>
      </c>
      <c r="D220">
        <f t="shared" si="17"/>
        <v>189.44162688325378</v>
      </c>
      <c r="E220">
        <f t="shared" si="28"/>
        <v>1.3622047244094488</v>
      </c>
      <c r="F220">
        <f t="shared" si="29"/>
        <v>0.98044744895388558</v>
      </c>
      <c r="G220">
        <f t="shared" si="18"/>
        <v>0.97988880463828232</v>
      </c>
      <c r="H220">
        <f t="shared" si="19"/>
        <v>0.97988880463828232</v>
      </c>
      <c r="I220">
        <f t="shared" si="20"/>
        <v>0.6555118110236221</v>
      </c>
      <c r="J220">
        <f t="shared" si="21"/>
        <v>12.360897967815752</v>
      </c>
      <c r="K220">
        <f t="shared" si="22"/>
        <v>155.12016011532026</v>
      </c>
      <c r="L220">
        <f t="shared" si="23"/>
        <v>1.2933070866141732</v>
      </c>
      <c r="M220">
        <f t="shared" si="24"/>
        <v>0.97555931119235695</v>
      </c>
      <c r="N220">
        <f t="shared" si="25"/>
        <v>0.97486100579785284</v>
      </c>
    </row>
    <row r="221" spans="1:19" x14ac:dyDescent="0.35">
      <c r="A221">
        <f t="shared" si="26"/>
        <v>91</v>
      </c>
      <c r="B221">
        <f t="shared" si="15"/>
        <v>0.71653543307086609</v>
      </c>
      <c r="C221">
        <f t="shared" si="16"/>
        <v>13.511612193047847</v>
      </c>
      <c r="D221">
        <f t="shared" si="17"/>
        <v>185.34571269142535</v>
      </c>
      <c r="E221">
        <f t="shared" si="28"/>
        <v>1.3543307086614171</v>
      </c>
      <c r="F221">
        <f t="shared" si="29"/>
        <v>0.97988880463828232</v>
      </c>
      <c r="G221">
        <f t="shared" si="18"/>
        <v>0.97933016032267894</v>
      </c>
      <c r="H221">
        <f t="shared" si="19"/>
        <v>0.97933016032267894</v>
      </c>
      <c r="I221">
        <f t="shared" si="20"/>
        <v>0.64566929133858264</v>
      </c>
      <c r="J221">
        <f t="shared" si="21"/>
        <v>12.175298899229929</v>
      </c>
      <c r="K221">
        <f t="shared" si="22"/>
        <v>150.49686899373796</v>
      </c>
      <c r="L221">
        <f t="shared" si="23"/>
        <v>1.2834645669291338</v>
      </c>
      <c r="M221">
        <f t="shared" si="24"/>
        <v>0.97486100579785284</v>
      </c>
      <c r="N221">
        <f t="shared" si="25"/>
        <v>0.97416270040334874</v>
      </c>
    </row>
    <row r="222" spans="1:19" x14ac:dyDescent="0.35">
      <c r="A222">
        <f t="shared" si="26"/>
        <v>90</v>
      </c>
      <c r="B222">
        <f t="shared" si="15"/>
        <v>0.70866141732283461</v>
      </c>
      <c r="C222">
        <f t="shared" si="16"/>
        <v>13.36313293817919</v>
      </c>
      <c r="D222">
        <f t="shared" si="17"/>
        <v>181.29456258912515</v>
      </c>
      <c r="E222">
        <f t="shared" si="28"/>
        <v>1.3464566929133857</v>
      </c>
      <c r="F222">
        <f t="shared" si="29"/>
        <v>0.97933016032267894</v>
      </c>
      <c r="G222">
        <f t="shared" si="18"/>
        <v>0.97877151600707568</v>
      </c>
      <c r="H222">
        <f t="shared" si="19"/>
        <v>0.97877151600707568</v>
      </c>
      <c r="I222">
        <f t="shared" si="20"/>
        <v>0.63582677165354329</v>
      </c>
      <c r="J222">
        <f t="shared" si="21"/>
        <v>11.989699830644106</v>
      </c>
      <c r="K222">
        <f t="shared" si="22"/>
        <v>145.9435217620435</v>
      </c>
      <c r="L222">
        <f t="shared" si="23"/>
        <v>1.2736220472440944</v>
      </c>
      <c r="M222">
        <f t="shared" si="24"/>
        <v>0.97416270040334874</v>
      </c>
      <c r="N222">
        <f t="shared" si="25"/>
        <v>0.97346439500884463</v>
      </c>
    </row>
    <row r="223" spans="1:19" x14ac:dyDescent="0.35">
      <c r="A223">
        <f t="shared" si="26"/>
        <v>89</v>
      </c>
      <c r="B223">
        <f t="shared" si="15"/>
        <v>0.70078740157480313</v>
      </c>
      <c r="C223">
        <f t="shared" si="16"/>
        <v>13.214653683310534</v>
      </c>
      <c r="D223">
        <f t="shared" si="17"/>
        <v>177.28817657635315</v>
      </c>
      <c r="E223">
        <f t="shared" si="28"/>
        <v>1.3385826771653542</v>
      </c>
      <c r="F223">
        <f t="shared" si="29"/>
        <v>0.97877151600707568</v>
      </c>
      <c r="G223">
        <f t="shared" si="18"/>
        <v>0.97821287169147242</v>
      </c>
      <c r="H223">
        <f t="shared" si="19"/>
        <v>0.97821287169147242</v>
      </c>
      <c r="I223">
        <f t="shared" si="20"/>
        <v>0.62598425196850394</v>
      </c>
      <c r="J223">
        <f t="shared" si="21"/>
        <v>11.804100762058285</v>
      </c>
      <c r="K223">
        <f t="shared" si="22"/>
        <v>141.46011842023682</v>
      </c>
      <c r="L223">
        <f t="shared" si="23"/>
        <v>1.2637795275590551</v>
      </c>
      <c r="M223">
        <f t="shared" si="24"/>
        <v>0.97346439500884463</v>
      </c>
      <c r="N223">
        <f t="shared" si="25"/>
        <v>0.97276608961434063</v>
      </c>
    </row>
    <row r="224" spans="1:19" x14ac:dyDescent="0.35">
      <c r="A224">
        <f t="shared" si="26"/>
        <v>88</v>
      </c>
      <c r="B224">
        <f t="shared" si="15"/>
        <v>0.69291338582677164</v>
      </c>
      <c r="C224">
        <f t="shared" si="16"/>
        <v>13.066174428441876</v>
      </c>
      <c r="D224">
        <f t="shared" si="17"/>
        <v>173.3265546531093</v>
      </c>
      <c r="E224">
        <f t="shared" si="28"/>
        <v>1.3307086614173227</v>
      </c>
      <c r="F224">
        <f t="shared" si="29"/>
        <v>0.97821287169147242</v>
      </c>
      <c r="G224">
        <f t="shared" si="18"/>
        <v>0.97765422737586916</v>
      </c>
      <c r="H224">
        <f t="shared" si="19"/>
        <v>0.97765422737586916</v>
      </c>
      <c r="I224">
        <f t="shared" si="20"/>
        <v>0.61614173228346458</v>
      </c>
      <c r="J224">
        <f t="shared" si="21"/>
        <v>11.618501693472464</v>
      </c>
      <c r="K224">
        <f t="shared" si="22"/>
        <v>137.04665896831796</v>
      </c>
      <c r="L224">
        <f t="shared" si="23"/>
        <v>1.2539370078740157</v>
      </c>
      <c r="M224">
        <f t="shared" si="24"/>
        <v>0.97276608961434063</v>
      </c>
      <c r="N224">
        <f t="shared" si="25"/>
        <v>0.97206778421983653</v>
      </c>
    </row>
    <row r="225" spans="1:14" x14ac:dyDescent="0.35">
      <c r="A225">
        <f t="shared" si="26"/>
        <v>87</v>
      </c>
      <c r="B225">
        <f t="shared" si="15"/>
        <v>0.68503937007874016</v>
      </c>
      <c r="C225">
        <f t="shared" si="16"/>
        <v>12.917695173573218</v>
      </c>
      <c r="D225">
        <f t="shared" si="17"/>
        <v>169.40969681939364</v>
      </c>
      <c r="E225">
        <f t="shared" si="28"/>
        <v>1.3228346456692912</v>
      </c>
      <c r="F225">
        <f t="shared" si="29"/>
        <v>0.97765422737586916</v>
      </c>
      <c r="G225">
        <f t="shared" si="18"/>
        <v>0.97709558306026589</v>
      </c>
      <c r="H225">
        <f t="shared" si="19"/>
        <v>0.97709558306026589</v>
      </c>
      <c r="I225">
        <f t="shared" si="20"/>
        <v>0.60629921259842523</v>
      </c>
      <c r="J225">
        <f t="shared" si="21"/>
        <v>11.432902624886642</v>
      </c>
      <c r="K225">
        <f t="shared" si="22"/>
        <v>132.70314340628684</v>
      </c>
      <c r="L225">
        <f t="shared" si="23"/>
        <v>1.2440944881889764</v>
      </c>
      <c r="M225">
        <f t="shared" si="24"/>
        <v>0.97206778421983653</v>
      </c>
      <c r="N225">
        <f t="shared" si="25"/>
        <v>0.97136947882533242</v>
      </c>
    </row>
    <row r="226" spans="1:14" x14ac:dyDescent="0.35">
      <c r="A226">
        <f t="shared" si="26"/>
        <v>86</v>
      </c>
      <c r="B226">
        <f t="shared" si="15"/>
        <v>0.67716535433070868</v>
      </c>
      <c r="C226">
        <f t="shared" si="16"/>
        <v>12.76921591870456</v>
      </c>
      <c r="D226">
        <f t="shared" si="17"/>
        <v>165.53760307520616</v>
      </c>
      <c r="E226">
        <f t="shared" si="28"/>
        <v>1.3149606299212597</v>
      </c>
      <c r="F226">
        <f t="shared" si="29"/>
        <v>0.97709558306026589</v>
      </c>
      <c r="G226">
        <f t="shared" si="18"/>
        <v>0.97653693874466263</v>
      </c>
      <c r="H226">
        <f t="shared" si="19"/>
        <v>0.97653693874466263</v>
      </c>
      <c r="I226">
        <f t="shared" si="20"/>
        <v>0.59645669291338588</v>
      </c>
      <c r="J226">
        <f t="shared" si="21"/>
        <v>11.247303556300819</v>
      </c>
      <c r="K226">
        <f t="shared" si="22"/>
        <v>128.42957173414348</v>
      </c>
      <c r="L226">
        <f t="shared" si="23"/>
        <v>1.234251968503937</v>
      </c>
      <c r="M226">
        <f t="shared" si="24"/>
        <v>0.97136947882533242</v>
      </c>
      <c r="N226">
        <f t="shared" si="25"/>
        <v>0.97067117343082832</v>
      </c>
    </row>
    <row r="227" spans="1:14" x14ac:dyDescent="0.35">
      <c r="A227">
        <f t="shared" si="26"/>
        <v>85</v>
      </c>
      <c r="B227">
        <f t="shared" si="15"/>
        <v>0.6692913385826772</v>
      </c>
      <c r="C227">
        <f t="shared" si="16"/>
        <v>12.620736663835903</v>
      </c>
      <c r="D227">
        <f t="shared" si="17"/>
        <v>161.71027342054686</v>
      </c>
      <c r="E227">
        <f t="shared" si="28"/>
        <v>1.3070866141732282</v>
      </c>
      <c r="F227">
        <f t="shared" si="29"/>
        <v>0.97653693874466263</v>
      </c>
      <c r="G227">
        <f t="shared" si="18"/>
        <v>0.97597829442905937</v>
      </c>
      <c r="H227">
        <f t="shared" si="19"/>
        <v>0.97597829442905937</v>
      </c>
      <c r="I227">
        <f t="shared" si="20"/>
        <v>0.58661417322834652</v>
      </c>
      <c r="J227">
        <f t="shared" si="21"/>
        <v>11.061704487714998</v>
      </c>
      <c r="K227">
        <f t="shared" si="22"/>
        <v>124.22594395188791</v>
      </c>
      <c r="L227">
        <f t="shared" si="23"/>
        <v>1.2244094488188977</v>
      </c>
      <c r="M227">
        <f t="shared" si="24"/>
        <v>0.97067117343082832</v>
      </c>
      <c r="N227">
        <f t="shared" si="25"/>
        <v>0.96997286803632421</v>
      </c>
    </row>
    <row r="228" spans="1:14" x14ac:dyDescent="0.35">
      <c r="A228">
        <f t="shared" si="26"/>
        <v>84</v>
      </c>
      <c r="B228">
        <f t="shared" si="15"/>
        <v>0.66141732283464572</v>
      </c>
      <c r="C228">
        <f t="shared" si="16"/>
        <v>12.472257408967247</v>
      </c>
      <c r="D228">
        <f t="shared" si="17"/>
        <v>157.92770785541572</v>
      </c>
      <c r="E228">
        <f t="shared" si="28"/>
        <v>1.2992125984251968</v>
      </c>
      <c r="F228">
        <f t="shared" si="29"/>
        <v>0.97597829442905937</v>
      </c>
      <c r="G228">
        <f t="shared" si="18"/>
        <v>0.9754196501134561</v>
      </c>
      <c r="H228">
        <f t="shared" si="19"/>
        <v>0.9754196501134561</v>
      </c>
      <c r="I228">
        <f t="shared" si="20"/>
        <v>0.57677165354330717</v>
      </c>
      <c r="J228">
        <f t="shared" si="21"/>
        <v>10.876105419129177</v>
      </c>
      <c r="K228">
        <f t="shared" si="22"/>
        <v>120.09226005952017</v>
      </c>
      <c r="L228">
        <f t="shared" si="23"/>
        <v>1.2145669291338583</v>
      </c>
      <c r="M228">
        <f t="shared" si="24"/>
        <v>0.96997286803632421</v>
      </c>
      <c r="N228">
        <f t="shared" si="25"/>
        <v>0.9692745626418201</v>
      </c>
    </row>
    <row r="229" spans="1:14" x14ac:dyDescent="0.35">
      <c r="A229">
        <f t="shared" si="26"/>
        <v>83</v>
      </c>
      <c r="B229">
        <f t="shared" si="15"/>
        <v>0.65354330708661412</v>
      </c>
      <c r="C229">
        <f t="shared" si="16"/>
        <v>12.323778154098587</v>
      </c>
      <c r="D229">
        <f t="shared" si="17"/>
        <v>154.18990637981275</v>
      </c>
      <c r="E229">
        <f t="shared" si="28"/>
        <v>1.2913385826771653</v>
      </c>
      <c r="F229">
        <f t="shared" si="29"/>
        <v>0.9754196501134561</v>
      </c>
      <c r="G229">
        <f t="shared" si="18"/>
        <v>0.97486100579785284</v>
      </c>
      <c r="H229">
        <f t="shared" si="19"/>
        <v>0.97486100579785284</v>
      </c>
      <c r="I229">
        <f t="shared" si="20"/>
        <v>0.5669291338582676</v>
      </c>
      <c r="J229">
        <f t="shared" si="21"/>
        <v>10.69050635054335</v>
      </c>
      <c r="K229">
        <f t="shared" si="22"/>
        <v>116.02852005704008</v>
      </c>
      <c r="L229">
        <f t="shared" si="23"/>
        <v>1.2047244094488188</v>
      </c>
      <c r="M229">
        <f t="shared" si="24"/>
        <v>0.9692745626418201</v>
      </c>
      <c r="N229">
        <f t="shared" si="25"/>
        <v>0.968576257247316</v>
      </c>
    </row>
    <row r="230" spans="1:14" x14ac:dyDescent="0.35">
      <c r="A230">
        <f t="shared" si="26"/>
        <v>82</v>
      </c>
      <c r="B230">
        <f t="shared" si="15"/>
        <v>0.64566929133858264</v>
      </c>
      <c r="C230">
        <f t="shared" si="16"/>
        <v>12.175298899229929</v>
      </c>
      <c r="D230">
        <f t="shared" si="17"/>
        <v>150.49686899373796</v>
      </c>
      <c r="E230">
        <f t="shared" si="28"/>
        <v>1.2834645669291338</v>
      </c>
      <c r="F230">
        <f t="shared" si="29"/>
        <v>0.97486100579785284</v>
      </c>
      <c r="G230">
        <f t="shared" si="18"/>
        <v>0.97430236148224958</v>
      </c>
      <c r="H230">
        <f t="shared" si="19"/>
        <v>0.97430236148224958</v>
      </c>
      <c r="I230">
        <f t="shared" si="20"/>
        <v>0.55708661417322825</v>
      </c>
      <c r="J230">
        <f t="shared" si="21"/>
        <v>10.504907281957529</v>
      </c>
      <c r="K230">
        <f t="shared" si="22"/>
        <v>112.03472394444786</v>
      </c>
      <c r="L230">
        <f t="shared" si="23"/>
        <v>1.1948818897637794</v>
      </c>
      <c r="M230">
        <f t="shared" si="24"/>
        <v>0.968576257247316</v>
      </c>
      <c r="N230">
        <f t="shared" si="25"/>
        <v>0.967877951852812</v>
      </c>
    </row>
    <row r="231" spans="1:14" x14ac:dyDescent="0.35">
      <c r="A231">
        <f t="shared" si="26"/>
        <v>81</v>
      </c>
      <c r="B231">
        <f t="shared" si="15"/>
        <v>0.63779527559055116</v>
      </c>
      <c r="C231">
        <f t="shared" si="16"/>
        <v>12.026819644361272</v>
      </c>
      <c r="D231">
        <f t="shared" si="17"/>
        <v>146.8485956971914</v>
      </c>
      <c r="E231">
        <f t="shared" si="28"/>
        <v>1.2755905511811023</v>
      </c>
      <c r="F231">
        <f t="shared" si="29"/>
        <v>0.97430236148224958</v>
      </c>
      <c r="G231">
        <f t="shared" si="18"/>
        <v>0.97374371716664632</v>
      </c>
      <c r="H231">
        <f t="shared" si="19"/>
        <v>0.97374371716664632</v>
      </c>
      <c r="I231">
        <f t="shared" si="20"/>
        <v>0.54724409448818889</v>
      </c>
      <c r="J231">
        <f t="shared" si="21"/>
        <v>10.319308213371707</v>
      </c>
      <c r="K231">
        <f t="shared" si="22"/>
        <v>108.11087172174341</v>
      </c>
      <c r="L231">
        <f t="shared" si="23"/>
        <v>1.1850393700787401</v>
      </c>
      <c r="M231">
        <f t="shared" si="24"/>
        <v>0.967877951852812</v>
      </c>
      <c r="N231">
        <f t="shared" si="25"/>
        <v>0.9671796464583079</v>
      </c>
    </row>
    <row r="232" spans="1:14" x14ac:dyDescent="0.35">
      <c r="A232">
        <f t="shared" si="26"/>
        <v>80</v>
      </c>
      <c r="B232">
        <f t="shared" si="15"/>
        <v>0.62992125984251968</v>
      </c>
      <c r="C232">
        <f t="shared" si="16"/>
        <v>11.878340389492614</v>
      </c>
      <c r="D232">
        <f t="shared" si="17"/>
        <v>143.24508649017298</v>
      </c>
      <c r="E232">
        <f t="shared" si="28"/>
        <v>1.2677165354330708</v>
      </c>
      <c r="F232">
        <f t="shared" si="29"/>
        <v>0.97374371716664632</v>
      </c>
      <c r="G232">
        <f t="shared" si="18"/>
        <v>0.97318507285104305</v>
      </c>
      <c r="H232">
        <f t="shared" si="19"/>
        <v>0.97318507285104305</v>
      </c>
      <c r="I232">
        <f t="shared" si="20"/>
        <v>0.53740157480314954</v>
      </c>
      <c r="J232">
        <f t="shared" si="21"/>
        <v>10.133709144785886</v>
      </c>
      <c r="K232">
        <f t="shared" si="22"/>
        <v>104.25696338892675</v>
      </c>
      <c r="L232">
        <f t="shared" si="23"/>
        <v>1.1751968503937007</v>
      </c>
      <c r="M232">
        <f t="shared" si="24"/>
        <v>0.9671796464583079</v>
      </c>
      <c r="N232">
        <f t="shared" si="25"/>
        <v>0.96648134106380379</v>
      </c>
    </row>
    <row r="233" spans="1:14" x14ac:dyDescent="0.35">
      <c r="A233">
        <f t="shared" si="26"/>
        <v>79</v>
      </c>
      <c r="B233">
        <f t="shared" si="15"/>
        <v>0.62204724409448819</v>
      </c>
      <c r="C233">
        <f t="shared" si="16"/>
        <v>11.729861134623956</v>
      </c>
      <c r="D233">
        <f t="shared" si="17"/>
        <v>139.68634137268276</v>
      </c>
      <c r="E233">
        <f t="shared" si="28"/>
        <v>1.2598425196850394</v>
      </c>
      <c r="F233">
        <f t="shared" si="29"/>
        <v>0.97318507285104305</v>
      </c>
      <c r="G233">
        <f t="shared" si="18"/>
        <v>0.97262642853543979</v>
      </c>
      <c r="H233">
        <f t="shared" si="19"/>
        <v>0.97262642853543979</v>
      </c>
      <c r="I233">
        <f t="shared" si="20"/>
        <v>0.52755905511811019</v>
      </c>
      <c r="J233">
        <f t="shared" si="21"/>
        <v>9.9481100762000629</v>
      </c>
      <c r="K233">
        <f t="shared" si="22"/>
        <v>100.47299894599786</v>
      </c>
      <c r="L233">
        <f t="shared" si="23"/>
        <v>1.1653543307086613</v>
      </c>
      <c r="M233">
        <f t="shared" si="24"/>
        <v>0.96648134106380379</v>
      </c>
      <c r="N233">
        <f t="shared" si="25"/>
        <v>0.96578303566929968</v>
      </c>
    </row>
    <row r="234" spans="1:14" x14ac:dyDescent="0.35">
      <c r="A234">
        <f t="shared" si="26"/>
        <v>78</v>
      </c>
      <c r="B234">
        <f t="shared" si="15"/>
        <v>0.61417322834645671</v>
      </c>
      <c r="C234">
        <f t="shared" si="16"/>
        <v>11.5813818797553</v>
      </c>
      <c r="D234">
        <f t="shared" si="17"/>
        <v>136.17236034472072</v>
      </c>
      <c r="E234">
        <f t="shared" si="28"/>
        <v>1.2519685039370079</v>
      </c>
      <c r="F234">
        <f t="shared" si="29"/>
        <v>0.97262642853543979</v>
      </c>
      <c r="G234">
        <f t="shared" si="18"/>
        <v>0.97206778421983653</v>
      </c>
      <c r="H234">
        <f t="shared" si="19"/>
        <v>0.97206778421983653</v>
      </c>
      <c r="I234">
        <f t="shared" si="20"/>
        <v>0.51771653543307083</v>
      </c>
      <c r="J234">
        <f t="shared" si="21"/>
        <v>9.7625110076142416</v>
      </c>
      <c r="K234">
        <f t="shared" si="22"/>
        <v>96.758978392956777</v>
      </c>
      <c r="L234">
        <f t="shared" si="23"/>
        <v>1.155511811023622</v>
      </c>
      <c r="M234">
        <f t="shared" si="24"/>
        <v>0.96578303566929968</v>
      </c>
      <c r="N234">
        <f t="shared" si="25"/>
        <v>0.96508473027479558</v>
      </c>
    </row>
    <row r="235" spans="1:14" x14ac:dyDescent="0.35">
      <c r="A235">
        <f t="shared" si="26"/>
        <v>77</v>
      </c>
      <c r="B235">
        <f t="shared" si="15"/>
        <v>0.60629921259842523</v>
      </c>
      <c r="C235">
        <f t="shared" si="16"/>
        <v>11.432902624886642</v>
      </c>
      <c r="D235">
        <f t="shared" si="17"/>
        <v>132.70314340628684</v>
      </c>
      <c r="E235">
        <f t="shared" si="28"/>
        <v>1.2440944881889764</v>
      </c>
      <c r="F235">
        <f t="shared" si="29"/>
        <v>0.97206778421983653</v>
      </c>
      <c r="G235">
        <f t="shared" si="18"/>
        <v>0.97150913990423327</v>
      </c>
      <c r="H235">
        <f t="shared" si="19"/>
        <v>0.97150913990423327</v>
      </c>
      <c r="I235">
        <f t="shared" si="20"/>
        <v>0.50787401574803148</v>
      </c>
      <c r="J235">
        <f t="shared" si="21"/>
        <v>9.5769119390284203</v>
      </c>
      <c r="K235">
        <f t="shared" si="22"/>
        <v>93.114901729803449</v>
      </c>
      <c r="L235">
        <f t="shared" si="23"/>
        <v>1.1456692913385826</v>
      </c>
      <c r="M235">
        <f t="shared" si="24"/>
        <v>0.96508473027479558</v>
      </c>
      <c r="N235">
        <f t="shared" si="25"/>
        <v>0.96443297857325849</v>
      </c>
    </row>
    <row r="236" spans="1:14" x14ac:dyDescent="0.35">
      <c r="A236">
        <f t="shared" si="26"/>
        <v>76</v>
      </c>
      <c r="B236">
        <f t="shared" si="15"/>
        <v>0.59842519685039375</v>
      </c>
      <c r="C236">
        <f t="shared" si="16"/>
        <v>11.284423370017985</v>
      </c>
      <c r="D236">
        <f t="shared" si="17"/>
        <v>129.27869055738114</v>
      </c>
      <c r="E236">
        <f t="shared" si="28"/>
        <v>1.2362204724409449</v>
      </c>
      <c r="F236">
        <f t="shared" si="29"/>
        <v>0.97150913990423327</v>
      </c>
      <c r="G236">
        <f t="shared" si="18"/>
        <v>0.97095049558862989</v>
      </c>
      <c r="H236">
        <f t="shared" si="19"/>
        <v>0.97095049558862989</v>
      </c>
      <c r="I236">
        <f t="shared" si="20"/>
        <v>0.49868766404199477</v>
      </c>
      <c r="J236">
        <f t="shared" si="21"/>
        <v>9.4036861416816535</v>
      </c>
      <c r="K236">
        <f t="shared" si="22"/>
        <v>89.776868442625783</v>
      </c>
      <c r="L236">
        <f t="shared" si="23"/>
        <v>1.136482939632546</v>
      </c>
      <c r="M236">
        <f t="shared" si="24"/>
        <v>0.96443297857325849</v>
      </c>
      <c r="N236">
        <f t="shared" si="25"/>
        <v>0.96396744164358905</v>
      </c>
    </row>
    <row r="237" spans="1:14" x14ac:dyDescent="0.35">
      <c r="A237">
        <f t="shared" si="26"/>
        <v>75</v>
      </c>
      <c r="B237">
        <f t="shared" si="15"/>
        <v>0.59055118110236215</v>
      </c>
      <c r="C237">
        <f t="shared" si="16"/>
        <v>11.135944115149325</v>
      </c>
      <c r="D237">
        <f t="shared" si="17"/>
        <v>125.89900179800358</v>
      </c>
      <c r="E237">
        <f t="shared" si="28"/>
        <v>1.2283464566929134</v>
      </c>
      <c r="F237">
        <f t="shared" si="29"/>
        <v>0.97095049558862989</v>
      </c>
      <c r="G237">
        <f t="shared" si="18"/>
        <v>0.97039185127302663</v>
      </c>
      <c r="H237">
        <f t="shared" si="19"/>
        <v>0.97039185127302663</v>
      </c>
      <c r="I237">
        <f t="shared" si="20"/>
        <v>0.49212598425196846</v>
      </c>
      <c r="J237">
        <f t="shared" si="21"/>
        <v>9.2799534292911048</v>
      </c>
      <c r="K237">
        <f t="shared" si="22"/>
        <v>87.429862359724694</v>
      </c>
      <c r="L237">
        <f t="shared" si="23"/>
        <v>1.1299212598425197</v>
      </c>
      <c r="M237">
        <f t="shared" si="24"/>
        <v>0.96396744164358905</v>
      </c>
      <c r="N237">
        <f t="shared" si="25"/>
        <v>0.96350190471391972</v>
      </c>
    </row>
    <row r="238" spans="1:14" x14ac:dyDescent="0.35">
      <c r="A238">
        <f t="shared" si="26"/>
        <v>74</v>
      </c>
      <c r="B238">
        <f t="shared" si="15"/>
        <v>0.58267716535433067</v>
      </c>
      <c r="C238">
        <f t="shared" si="16"/>
        <v>10.987464860280667</v>
      </c>
      <c r="D238">
        <f t="shared" si="17"/>
        <v>122.56407712815425</v>
      </c>
      <c r="E238">
        <f t="shared" si="28"/>
        <v>1.2204724409448819</v>
      </c>
      <c r="F238">
        <f t="shared" si="29"/>
        <v>0.97039185127302663</v>
      </c>
      <c r="G238">
        <f t="shared" si="18"/>
        <v>0.96983320695742337</v>
      </c>
      <c r="H238">
        <f t="shared" si="19"/>
        <v>0.96983320695742337</v>
      </c>
      <c r="I238">
        <f t="shared" si="20"/>
        <v>0.48556430446194221</v>
      </c>
      <c r="J238">
        <f t="shared" si="21"/>
        <v>9.1562207169005561</v>
      </c>
      <c r="K238">
        <f t="shared" si="22"/>
        <v>85.113942450107089</v>
      </c>
      <c r="L238">
        <f t="shared" si="23"/>
        <v>1.1233595800524934</v>
      </c>
      <c r="M238">
        <f t="shared" si="24"/>
        <v>0.96350190471391972</v>
      </c>
      <c r="N238">
        <f t="shared" si="25"/>
        <v>0.96303636778425028</v>
      </c>
    </row>
    <row r="239" spans="1:14" x14ac:dyDescent="0.35">
      <c r="A239">
        <f t="shared" si="26"/>
        <v>73</v>
      </c>
      <c r="B239">
        <f t="shared" si="15"/>
        <v>0.57480314960629919</v>
      </c>
      <c r="C239">
        <f t="shared" si="16"/>
        <v>10.83898560541201</v>
      </c>
      <c r="D239">
        <f t="shared" si="17"/>
        <v>119.2739165478331</v>
      </c>
      <c r="E239">
        <f t="shared" si="28"/>
        <v>1.2125984251968505</v>
      </c>
      <c r="F239">
        <f t="shared" si="29"/>
        <v>0.96983320695742337</v>
      </c>
      <c r="G239">
        <f t="shared" si="18"/>
        <v>0.9692745626418201</v>
      </c>
      <c r="H239">
        <f t="shared" si="19"/>
        <v>0.9692745626418201</v>
      </c>
      <c r="I239">
        <f t="shared" si="20"/>
        <v>0.47900262467191596</v>
      </c>
      <c r="J239">
        <f t="shared" si="21"/>
        <v>9.0324880045100073</v>
      </c>
      <c r="K239">
        <f t="shared" si="22"/>
        <v>82.829108713772953</v>
      </c>
      <c r="L239">
        <f t="shared" si="23"/>
        <v>1.1167979002624671</v>
      </c>
      <c r="M239">
        <f t="shared" si="24"/>
        <v>0.96303636778425028</v>
      </c>
      <c r="N239">
        <f t="shared" si="25"/>
        <v>0.96257083085458095</v>
      </c>
    </row>
    <row r="240" spans="1:14" x14ac:dyDescent="0.35">
      <c r="A240">
        <f t="shared" si="26"/>
        <v>72</v>
      </c>
      <c r="B240">
        <f t="shared" si="15"/>
        <v>0.56692913385826771</v>
      </c>
      <c r="C240">
        <f t="shared" si="16"/>
        <v>10.690506350543354</v>
      </c>
      <c r="D240">
        <f t="shared" si="17"/>
        <v>116.02852005704013</v>
      </c>
      <c r="E240">
        <f t="shared" si="28"/>
        <v>1.204724409448819</v>
      </c>
      <c r="F240">
        <f t="shared" si="29"/>
        <v>0.9692745626418201</v>
      </c>
      <c r="G240">
        <f t="shared" si="18"/>
        <v>0.96871591832621684</v>
      </c>
      <c r="H240">
        <f t="shared" si="19"/>
        <v>0.96871591832621684</v>
      </c>
      <c r="I240">
        <f t="shared" si="20"/>
        <v>0.47244094488188976</v>
      </c>
      <c r="J240">
        <f t="shared" si="21"/>
        <v>8.9087552921194604</v>
      </c>
      <c r="K240">
        <f t="shared" si="22"/>
        <v>80.575361150722301</v>
      </c>
      <c r="L240">
        <f t="shared" si="23"/>
        <v>1.110236220472441</v>
      </c>
      <c r="M240">
        <f t="shared" si="24"/>
        <v>0.96257083085458095</v>
      </c>
      <c r="N240">
        <f t="shared" si="25"/>
        <v>0.96210529392491151</v>
      </c>
    </row>
    <row r="241" spans="1:14" x14ac:dyDescent="0.35">
      <c r="A241">
        <f t="shared" si="26"/>
        <v>71</v>
      </c>
      <c r="B241">
        <f t="shared" si="15"/>
        <v>0.55905511811023623</v>
      </c>
      <c r="C241">
        <f t="shared" si="16"/>
        <v>10.542027095674696</v>
      </c>
      <c r="D241">
        <f t="shared" si="17"/>
        <v>112.82788765577533</v>
      </c>
      <c r="E241">
        <f t="shared" si="28"/>
        <v>1.1968503937007875</v>
      </c>
      <c r="F241">
        <f t="shared" si="29"/>
        <v>0.96871591832621684</v>
      </c>
      <c r="G241">
        <f t="shared" si="18"/>
        <v>0.96815727401061358</v>
      </c>
      <c r="H241">
        <f t="shared" si="19"/>
        <v>0.96815727401061358</v>
      </c>
      <c r="I241">
        <f t="shared" si="20"/>
        <v>0.4658792650918635</v>
      </c>
      <c r="J241">
        <f t="shared" si="21"/>
        <v>8.7850225797289117</v>
      </c>
      <c r="K241">
        <f t="shared" si="22"/>
        <v>78.352699760955076</v>
      </c>
      <c r="L241">
        <f t="shared" si="23"/>
        <v>1.1036745406824147</v>
      </c>
      <c r="M241">
        <f t="shared" si="24"/>
        <v>0.96210529392491151</v>
      </c>
      <c r="N241">
        <f t="shared" si="25"/>
        <v>0.96163975699524207</v>
      </c>
    </row>
    <row r="242" spans="1:14" x14ac:dyDescent="0.35">
      <c r="A242">
        <f t="shared" si="26"/>
        <v>70</v>
      </c>
      <c r="B242">
        <f t="shared" si="15"/>
        <v>0.55118110236220474</v>
      </c>
      <c r="C242">
        <f t="shared" si="16"/>
        <v>10.393547840806038</v>
      </c>
      <c r="D242">
        <f t="shared" si="17"/>
        <v>109.6720193440387</v>
      </c>
      <c r="E242">
        <f t="shared" si="28"/>
        <v>1.188976377952756</v>
      </c>
      <c r="F242">
        <f t="shared" si="29"/>
        <v>0.96815727401061358</v>
      </c>
      <c r="G242">
        <f t="shared" si="18"/>
        <v>0.96759862969501031</v>
      </c>
      <c r="H242">
        <f t="shared" si="19"/>
        <v>0.96759862969501031</v>
      </c>
      <c r="I242">
        <f t="shared" si="20"/>
        <v>0.45931758530183725</v>
      </c>
      <c r="J242">
        <f t="shared" si="21"/>
        <v>8.6612898673383647</v>
      </c>
      <c r="K242">
        <f t="shared" si="22"/>
        <v>76.161124544471306</v>
      </c>
      <c r="L242">
        <f t="shared" si="23"/>
        <v>1.0971128608923884</v>
      </c>
      <c r="M242">
        <f t="shared" si="24"/>
        <v>0.96163975699524207</v>
      </c>
      <c r="N242">
        <f t="shared" si="25"/>
        <v>0.96117422006557274</v>
      </c>
    </row>
    <row r="243" spans="1:14" x14ac:dyDescent="0.35">
      <c r="A243">
        <f t="shared" si="26"/>
        <v>69</v>
      </c>
      <c r="B243">
        <f t="shared" si="15"/>
        <v>0.54330708661417326</v>
      </c>
      <c r="C243">
        <f t="shared" si="16"/>
        <v>10.24506858593738</v>
      </c>
      <c r="D243">
        <f t="shared" si="17"/>
        <v>106.56091512183026</v>
      </c>
      <c r="E243">
        <f t="shared" si="28"/>
        <v>1.1811023622047245</v>
      </c>
      <c r="F243">
        <f t="shared" si="29"/>
        <v>0.96759862969501031</v>
      </c>
      <c r="G243">
        <f t="shared" si="18"/>
        <v>0.96703998537940705</v>
      </c>
      <c r="H243">
        <f t="shared" si="19"/>
        <v>0.96703998537940705</v>
      </c>
      <c r="I243">
        <f t="shared" si="20"/>
        <v>0.45275590551181105</v>
      </c>
      <c r="J243">
        <f t="shared" si="21"/>
        <v>8.5375571549478178</v>
      </c>
      <c r="K243">
        <f t="shared" si="22"/>
        <v>74.000635501271006</v>
      </c>
      <c r="L243">
        <f t="shared" si="23"/>
        <v>1.0905511811023623</v>
      </c>
      <c r="M243">
        <f t="shared" si="24"/>
        <v>0.96117422006557274</v>
      </c>
      <c r="N243">
        <f t="shared" si="25"/>
        <v>0.9607086831359033</v>
      </c>
    </row>
    <row r="244" spans="1:14" x14ac:dyDescent="0.35">
      <c r="A244">
        <f t="shared" si="26"/>
        <v>68</v>
      </c>
      <c r="B244">
        <f t="shared" si="15"/>
        <v>0.53543307086614178</v>
      </c>
      <c r="C244">
        <f t="shared" si="16"/>
        <v>10.096589331068722</v>
      </c>
      <c r="D244">
        <f t="shared" si="17"/>
        <v>103.49457498915001</v>
      </c>
      <c r="E244">
        <f t="shared" si="28"/>
        <v>1.173228346456693</v>
      </c>
      <c r="F244">
        <f t="shared" si="29"/>
        <v>0.96703998537940705</v>
      </c>
      <c r="G244">
        <f t="shared" si="18"/>
        <v>0.96648134106380379</v>
      </c>
      <c r="H244">
        <f t="shared" si="19"/>
        <v>0.96648134106380379</v>
      </c>
      <c r="I244">
        <f t="shared" si="20"/>
        <v>0.4461942257217848</v>
      </c>
      <c r="J244">
        <f t="shared" si="21"/>
        <v>8.413824442557269</v>
      </c>
      <c r="K244">
        <f t="shared" si="22"/>
        <v>71.871232631354147</v>
      </c>
      <c r="L244">
        <f t="shared" si="23"/>
        <v>1.083989501312336</v>
      </c>
      <c r="M244">
        <f t="shared" si="24"/>
        <v>0.9607086831359033</v>
      </c>
      <c r="N244">
        <f t="shared" si="25"/>
        <v>0.96024314620623397</v>
      </c>
    </row>
    <row r="245" spans="1:14" x14ac:dyDescent="0.35">
      <c r="A245">
        <f t="shared" si="26"/>
        <v>67</v>
      </c>
      <c r="B245">
        <f t="shared" si="15"/>
        <v>0.52755905511811019</v>
      </c>
      <c r="C245">
        <f t="shared" si="16"/>
        <v>9.9481100762000629</v>
      </c>
      <c r="D245">
        <f t="shared" si="17"/>
        <v>100.47299894599786</v>
      </c>
      <c r="E245">
        <f t="shared" si="28"/>
        <v>1.1653543307086613</v>
      </c>
      <c r="F245">
        <f t="shared" si="29"/>
        <v>0.96648134106380379</v>
      </c>
      <c r="G245">
        <f t="shared" si="18"/>
        <v>0.96592269674820053</v>
      </c>
      <c r="H245">
        <f t="shared" si="19"/>
        <v>0.96592269674820053</v>
      </c>
      <c r="I245">
        <f t="shared" si="20"/>
        <v>0.43963254593175849</v>
      </c>
      <c r="J245">
        <f t="shared" si="21"/>
        <v>8.2900917301667203</v>
      </c>
      <c r="K245">
        <f t="shared" si="22"/>
        <v>69.772915934720757</v>
      </c>
      <c r="L245">
        <f t="shared" si="23"/>
        <v>1.0774278215223096</v>
      </c>
      <c r="M245">
        <f t="shared" si="24"/>
        <v>0.96024314620623397</v>
      </c>
      <c r="N245">
        <f t="shared" si="25"/>
        <v>0.95977760927656453</v>
      </c>
    </row>
    <row r="246" spans="1:14" x14ac:dyDescent="0.35">
      <c r="A246">
        <f t="shared" si="26"/>
        <v>66</v>
      </c>
      <c r="B246">
        <f t="shared" si="15"/>
        <v>0.51968503937007871</v>
      </c>
      <c r="C246">
        <f t="shared" si="16"/>
        <v>9.7996308213314069</v>
      </c>
      <c r="D246">
        <f t="shared" si="17"/>
        <v>97.496186992373993</v>
      </c>
      <c r="E246">
        <f t="shared" si="28"/>
        <v>1.1574803149606299</v>
      </c>
      <c r="F246">
        <f t="shared" si="29"/>
        <v>0.96592269674820053</v>
      </c>
      <c r="G246">
        <f t="shared" si="18"/>
        <v>0.96536405243259726</v>
      </c>
      <c r="H246">
        <f t="shared" si="19"/>
        <v>0.96536405243259726</v>
      </c>
      <c r="I246">
        <f t="shared" si="20"/>
        <v>0.43307086614173224</v>
      </c>
      <c r="J246">
        <f t="shared" si="21"/>
        <v>8.1663590177761716</v>
      </c>
      <c r="K246">
        <f t="shared" si="22"/>
        <v>67.705685411370823</v>
      </c>
      <c r="L246">
        <f t="shared" si="23"/>
        <v>1.0708661417322833</v>
      </c>
      <c r="M246">
        <f t="shared" si="24"/>
        <v>0.95977760927656453</v>
      </c>
      <c r="N246">
        <f t="shared" si="25"/>
        <v>0.95931207234689519</v>
      </c>
    </row>
    <row r="247" spans="1:14" x14ac:dyDescent="0.35">
      <c r="A247">
        <f t="shared" si="26"/>
        <v>65</v>
      </c>
      <c r="B247">
        <f t="shared" si="15"/>
        <v>0.51181102362204722</v>
      </c>
      <c r="C247">
        <f t="shared" si="16"/>
        <v>9.6511515664627492</v>
      </c>
      <c r="D247">
        <f t="shared" si="17"/>
        <v>94.564139128278228</v>
      </c>
      <c r="E247">
        <f t="shared" si="28"/>
        <v>1.1496062992125984</v>
      </c>
      <c r="F247">
        <f t="shared" si="29"/>
        <v>0.96536405243259726</v>
      </c>
      <c r="G247">
        <f t="shared" si="18"/>
        <v>0.964805408116994</v>
      </c>
      <c r="H247">
        <f t="shared" si="19"/>
        <v>0.964805408116994</v>
      </c>
      <c r="I247">
        <f t="shared" si="20"/>
        <v>0.42650918635170604</v>
      </c>
      <c r="J247">
        <f t="shared" si="21"/>
        <v>8.0426263053856246</v>
      </c>
      <c r="K247">
        <f t="shared" si="22"/>
        <v>65.669541061304344</v>
      </c>
      <c r="L247">
        <f t="shared" si="23"/>
        <v>1.0643044619422573</v>
      </c>
      <c r="M247">
        <f t="shared" si="24"/>
        <v>0.95931207234689519</v>
      </c>
      <c r="N247">
        <f t="shared" si="25"/>
        <v>0.95884653541722575</v>
      </c>
    </row>
    <row r="248" spans="1:14" x14ac:dyDescent="0.35">
      <c r="A248">
        <f t="shared" si="26"/>
        <v>64</v>
      </c>
      <c r="B248">
        <f t="shared" si="15"/>
        <v>0.50393700787401574</v>
      </c>
      <c r="C248">
        <f t="shared" si="16"/>
        <v>9.5026723115940914</v>
      </c>
      <c r="D248">
        <f t="shared" si="17"/>
        <v>91.676855353710721</v>
      </c>
      <c r="E248">
        <f t="shared" si="28"/>
        <v>1.1417322834645669</v>
      </c>
      <c r="F248">
        <f t="shared" si="29"/>
        <v>0.964805408116994</v>
      </c>
      <c r="G248">
        <f t="shared" si="18"/>
        <v>0.96424676380139074</v>
      </c>
      <c r="H248">
        <f t="shared" si="19"/>
        <v>0.96424676380139074</v>
      </c>
      <c r="I248">
        <f t="shared" si="20"/>
        <v>0.41994750656167978</v>
      </c>
      <c r="J248">
        <f t="shared" si="21"/>
        <v>7.9188935929950759</v>
      </c>
      <c r="K248">
        <f t="shared" si="22"/>
        <v>63.664482884521313</v>
      </c>
      <c r="L248">
        <f t="shared" si="23"/>
        <v>1.0577427821522309</v>
      </c>
      <c r="M248">
        <f t="shared" si="24"/>
        <v>0.95884653541722575</v>
      </c>
      <c r="N248">
        <f t="shared" si="25"/>
        <v>0.95838099848755642</v>
      </c>
    </row>
    <row r="249" spans="1:14" x14ac:dyDescent="0.35">
      <c r="A249">
        <f t="shared" si="26"/>
        <v>63</v>
      </c>
      <c r="B249">
        <f t="shared" si="15"/>
        <v>0.49606299212598426</v>
      </c>
      <c r="C249">
        <f t="shared" si="16"/>
        <v>9.3541930567254337</v>
      </c>
      <c r="D249">
        <f t="shared" si="17"/>
        <v>88.834335668671329</v>
      </c>
      <c r="E249">
        <f t="shared" ref="E249:E280" si="30">B249+$E$184</f>
        <v>1.1338582677165354</v>
      </c>
      <c r="F249">
        <f t="shared" ref="F249:F280" si="31">$F$184*(B249-1)+1</f>
        <v>0.96424676380139074</v>
      </c>
      <c r="G249">
        <f t="shared" si="18"/>
        <v>0.96368811948578748</v>
      </c>
      <c r="H249">
        <f t="shared" si="19"/>
        <v>0.96368811948578748</v>
      </c>
      <c r="I249">
        <f t="shared" si="20"/>
        <v>0.41338582677165353</v>
      </c>
      <c r="J249">
        <f t="shared" si="21"/>
        <v>7.7951608806045281</v>
      </c>
      <c r="K249">
        <f t="shared" si="22"/>
        <v>61.690510881021751</v>
      </c>
      <c r="L249">
        <f t="shared" si="23"/>
        <v>1.0511811023622046</v>
      </c>
      <c r="M249">
        <f t="shared" si="24"/>
        <v>0.95838099848755642</v>
      </c>
      <c r="N249">
        <f t="shared" si="25"/>
        <v>0.95791546155788698</v>
      </c>
    </row>
    <row r="250" spans="1:14" x14ac:dyDescent="0.35">
      <c r="A250">
        <f t="shared" si="26"/>
        <v>62</v>
      </c>
      <c r="B250">
        <f t="shared" ref="B250:B312" si="32">A250/127</f>
        <v>0.48818897637795278</v>
      </c>
      <c r="C250">
        <f t="shared" ref="C250:C312" si="33">B250*$C$184</f>
        <v>9.2057138018567759</v>
      </c>
      <c r="D250">
        <f t="shared" ref="D250:D312" si="34">IF($E$184&gt;0,(B250*$D$182)^2,B250*C250)</f>
        <v>86.036580073160167</v>
      </c>
      <c r="E250">
        <f t="shared" si="30"/>
        <v>1.1259842519685039</v>
      </c>
      <c r="F250">
        <f t="shared" si="31"/>
        <v>0.96368811948578748</v>
      </c>
      <c r="G250">
        <f t="shared" ref="G250:G312" si="35">IF($E$184&gt;0,MIN(MIN(C251,E251),F251),MAX(MAX(C251,E251),F251))</f>
        <v>0.96312947517018421</v>
      </c>
      <c r="H250">
        <f t="shared" ref="H250:H312" si="36">IF($E$184&gt;0,MIN(MIN(D251,E251),F251),MAX(MAX(C251,E251),F251))</f>
        <v>0.96312947517018421</v>
      </c>
      <c r="I250">
        <f t="shared" ref="I250:I312" si="37">IF(B250&gt;0.6,5*(B250-1)/4+1,5*B250/6)</f>
        <v>0.40682414698162733</v>
      </c>
      <c r="J250">
        <f t="shared" ref="J250:J312" si="38">I250*$C$184</f>
        <v>7.6714281682139811</v>
      </c>
      <c r="K250">
        <f t="shared" ref="K250:K312" si="39">IF($E$184&gt;0,(I250*$D$182)^2,I250*J250)</f>
        <v>59.747625050805674</v>
      </c>
      <c r="L250">
        <f t="shared" ref="L250:L312" si="40">I250+$E$184</f>
        <v>1.0446194225721785</v>
      </c>
      <c r="M250">
        <f t="shared" ref="M250:M312" si="41">$F$184*(I250-1)+1</f>
        <v>0.95791546155788698</v>
      </c>
      <c r="N250">
        <f t="shared" ref="N250:N312" si="42">IF($E$184&gt;0,MIN(MIN(J251,L251),M251),MAX(MAX(J251,L251),M251))</f>
        <v>0.95744992462821754</v>
      </c>
    </row>
    <row r="251" spans="1:14" x14ac:dyDescent="0.35">
      <c r="A251">
        <f t="shared" si="26"/>
        <v>61</v>
      </c>
      <c r="B251">
        <f t="shared" si="32"/>
        <v>0.48031496062992124</v>
      </c>
      <c r="C251">
        <f t="shared" si="33"/>
        <v>9.0572345469881181</v>
      </c>
      <c r="D251">
        <f t="shared" si="34"/>
        <v>83.283588567177134</v>
      </c>
      <c r="E251">
        <f t="shared" si="30"/>
        <v>1.1181102362204725</v>
      </c>
      <c r="F251">
        <f t="shared" si="31"/>
        <v>0.96312947517018421</v>
      </c>
      <c r="G251">
        <f t="shared" si="35"/>
        <v>0.96257083085458095</v>
      </c>
      <c r="H251">
        <f t="shared" si="36"/>
        <v>0.96257083085458095</v>
      </c>
      <c r="I251">
        <f t="shared" si="37"/>
        <v>0.40026246719160102</v>
      </c>
      <c r="J251">
        <f t="shared" si="38"/>
        <v>7.5476954558234315</v>
      </c>
      <c r="K251">
        <f t="shared" si="39"/>
        <v>57.835825393873002</v>
      </c>
      <c r="L251">
        <f t="shared" si="40"/>
        <v>1.0380577427821522</v>
      </c>
      <c r="M251">
        <f t="shared" si="41"/>
        <v>0.95744992462821754</v>
      </c>
      <c r="N251">
        <f t="shared" si="42"/>
        <v>0.95698438769854821</v>
      </c>
    </row>
    <row r="252" spans="1:14" x14ac:dyDescent="0.35">
      <c r="A252">
        <f t="shared" ref="A252:A312" si="43">A251-1</f>
        <v>60</v>
      </c>
      <c r="B252">
        <f t="shared" si="32"/>
        <v>0.47244094488188976</v>
      </c>
      <c r="C252">
        <f t="shared" si="33"/>
        <v>8.9087552921194604</v>
      </c>
      <c r="D252">
        <f t="shared" si="34"/>
        <v>80.575361150722301</v>
      </c>
      <c r="E252">
        <f t="shared" si="30"/>
        <v>1.110236220472441</v>
      </c>
      <c r="F252">
        <f t="shared" si="31"/>
        <v>0.96257083085458095</v>
      </c>
      <c r="G252">
        <f t="shared" si="35"/>
        <v>0.96201218653897769</v>
      </c>
      <c r="H252">
        <f t="shared" si="36"/>
        <v>0.96201218653897769</v>
      </c>
      <c r="I252">
        <f t="shared" si="37"/>
        <v>0.39370078740157477</v>
      </c>
      <c r="J252">
        <f t="shared" si="38"/>
        <v>7.4239627434328836</v>
      </c>
      <c r="K252">
        <f t="shared" si="39"/>
        <v>55.955111910223806</v>
      </c>
      <c r="L252">
        <f t="shared" si="40"/>
        <v>1.0314960629921259</v>
      </c>
      <c r="M252">
        <f t="shared" si="41"/>
        <v>0.95698438769854821</v>
      </c>
      <c r="N252">
        <f t="shared" si="42"/>
        <v>0.95651885076887877</v>
      </c>
    </row>
    <row r="253" spans="1:14" x14ac:dyDescent="0.35">
      <c r="A253">
        <f t="shared" si="43"/>
        <v>59</v>
      </c>
      <c r="B253">
        <f t="shared" si="32"/>
        <v>0.46456692913385828</v>
      </c>
      <c r="C253">
        <f t="shared" si="33"/>
        <v>8.7602760372508026</v>
      </c>
      <c r="D253">
        <f t="shared" si="34"/>
        <v>77.911897823795655</v>
      </c>
      <c r="E253">
        <f t="shared" si="30"/>
        <v>1.1023622047244095</v>
      </c>
      <c r="F253">
        <f t="shared" si="31"/>
        <v>0.96201218653897769</v>
      </c>
      <c r="G253">
        <f t="shared" si="35"/>
        <v>0.96145354222337431</v>
      </c>
      <c r="H253">
        <f t="shared" si="36"/>
        <v>0.96145354222337431</v>
      </c>
      <c r="I253">
        <f t="shared" si="37"/>
        <v>0.38713910761154852</v>
      </c>
      <c r="J253">
        <f t="shared" si="38"/>
        <v>7.3002300310423349</v>
      </c>
      <c r="K253">
        <f t="shared" si="39"/>
        <v>54.105484599858073</v>
      </c>
      <c r="L253">
        <f t="shared" si="40"/>
        <v>1.0249343832020996</v>
      </c>
      <c r="M253">
        <f t="shared" si="41"/>
        <v>0.95651885076887877</v>
      </c>
      <c r="N253">
        <f t="shared" si="42"/>
        <v>0.95605331383920944</v>
      </c>
    </row>
    <row r="254" spans="1:14" x14ac:dyDescent="0.35">
      <c r="A254">
        <f t="shared" si="43"/>
        <v>58</v>
      </c>
      <c r="B254">
        <f t="shared" si="32"/>
        <v>0.45669291338582679</v>
      </c>
      <c r="C254">
        <f t="shared" si="33"/>
        <v>8.6117967823821449</v>
      </c>
      <c r="D254">
        <f t="shared" si="34"/>
        <v>75.293198586397182</v>
      </c>
      <c r="E254">
        <f t="shared" si="30"/>
        <v>1.094488188976378</v>
      </c>
      <c r="F254">
        <f t="shared" si="31"/>
        <v>0.96145354222337431</v>
      </c>
      <c r="G254">
        <f t="shared" si="35"/>
        <v>0.96089489790777105</v>
      </c>
      <c r="H254">
        <f t="shared" si="36"/>
        <v>0.96089489790777105</v>
      </c>
      <c r="I254">
        <f t="shared" si="37"/>
        <v>0.38057742782152232</v>
      </c>
      <c r="J254">
        <f t="shared" si="38"/>
        <v>7.176497318651788</v>
      </c>
      <c r="K254">
        <f t="shared" si="39"/>
        <v>52.28694346277581</v>
      </c>
      <c r="L254">
        <f t="shared" si="40"/>
        <v>1.0183727034120735</v>
      </c>
      <c r="M254">
        <f t="shared" si="41"/>
        <v>0.95605331383920944</v>
      </c>
      <c r="N254">
        <f t="shared" si="42"/>
        <v>0.95558777690954</v>
      </c>
    </row>
    <row r="255" spans="1:14" x14ac:dyDescent="0.35">
      <c r="A255">
        <f t="shared" si="43"/>
        <v>57</v>
      </c>
      <c r="B255">
        <f t="shared" si="32"/>
        <v>0.44881889763779526</v>
      </c>
      <c r="C255">
        <f t="shared" si="33"/>
        <v>8.4633175275134871</v>
      </c>
      <c r="D255">
        <f t="shared" si="34"/>
        <v>72.719263438526866</v>
      </c>
      <c r="E255">
        <f t="shared" si="30"/>
        <v>1.0866141732283463</v>
      </c>
      <c r="F255">
        <f t="shared" si="31"/>
        <v>0.96089489790777105</v>
      </c>
      <c r="G255">
        <f t="shared" si="35"/>
        <v>0.96033625359216779</v>
      </c>
      <c r="H255">
        <f t="shared" si="36"/>
        <v>0.96033625359216779</v>
      </c>
      <c r="I255">
        <f t="shared" si="37"/>
        <v>0.37401574803149606</v>
      </c>
      <c r="J255">
        <f t="shared" si="38"/>
        <v>7.0527646062612401</v>
      </c>
      <c r="K255">
        <f t="shared" si="39"/>
        <v>50.499488498976994</v>
      </c>
      <c r="L255">
        <f t="shared" si="40"/>
        <v>1.0118110236220472</v>
      </c>
      <c r="M255">
        <f t="shared" si="41"/>
        <v>0.95558777690954</v>
      </c>
      <c r="N255">
        <f t="shared" si="42"/>
        <v>0.95512223997987067</v>
      </c>
    </row>
    <row r="256" spans="1:14" x14ac:dyDescent="0.35">
      <c r="A256">
        <f t="shared" si="43"/>
        <v>56</v>
      </c>
      <c r="B256">
        <f t="shared" si="32"/>
        <v>0.44094488188976377</v>
      </c>
      <c r="C256">
        <f t="shared" si="33"/>
        <v>8.3148382726448293</v>
      </c>
      <c r="D256">
        <f t="shared" si="34"/>
        <v>70.190092380184751</v>
      </c>
      <c r="E256">
        <f t="shared" si="30"/>
        <v>1.0787401574803148</v>
      </c>
      <c r="F256">
        <f t="shared" si="31"/>
        <v>0.96033625359216779</v>
      </c>
      <c r="G256">
        <f t="shared" si="35"/>
        <v>0.95977760927656453</v>
      </c>
      <c r="H256">
        <f t="shared" si="36"/>
        <v>0.95977760927656453</v>
      </c>
      <c r="I256">
        <f t="shared" si="37"/>
        <v>0.36745406824146981</v>
      </c>
      <c r="J256">
        <f t="shared" si="38"/>
        <v>6.9290318938706914</v>
      </c>
      <c r="K256">
        <f t="shared" si="39"/>
        <v>48.743119708461634</v>
      </c>
      <c r="L256">
        <f t="shared" si="40"/>
        <v>1.0052493438320209</v>
      </c>
      <c r="M256">
        <f t="shared" si="41"/>
        <v>0.95512223997987067</v>
      </c>
      <c r="N256">
        <f t="shared" si="42"/>
        <v>0.95465670305020123</v>
      </c>
    </row>
    <row r="257" spans="1:14" x14ac:dyDescent="0.35">
      <c r="A257">
        <f t="shared" si="43"/>
        <v>55</v>
      </c>
      <c r="B257">
        <f t="shared" si="32"/>
        <v>0.43307086614173229</v>
      </c>
      <c r="C257">
        <f t="shared" si="33"/>
        <v>8.1663590177761716</v>
      </c>
      <c r="D257">
        <f t="shared" si="34"/>
        <v>67.705685411370823</v>
      </c>
      <c r="E257">
        <f t="shared" si="30"/>
        <v>1.0708661417322833</v>
      </c>
      <c r="F257">
        <f t="shared" si="31"/>
        <v>0.95977760927656453</v>
      </c>
      <c r="G257">
        <f t="shared" si="35"/>
        <v>0.95921896496096126</v>
      </c>
      <c r="H257">
        <f t="shared" si="36"/>
        <v>0.95921896496096126</v>
      </c>
      <c r="I257">
        <f t="shared" si="37"/>
        <v>0.36089238845144361</v>
      </c>
      <c r="J257">
        <f t="shared" si="38"/>
        <v>6.8052991814801445</v>
      </c>
      <c r="K257">
        <f t="shared" si="39"/>
        <v>47.017837091229744</v>
      </c>
      <c r="L257">
        <f t="shared" si="40"/>
        <v>0.99868766404199483</v>
      </c>
      <c r="M257">
        <f t="shared" si="41"/>
        <v>0.95465670305020123</v>
      </c>
      <c r="N257">
        <f t="shared" si="42"/>
        <v>0.9541911661205319</v>
      </c>
    </row>
    <row r="258" spans="1:14" x14ac:dyDescent="0.35">
      <c r="A258">
        <f t="shared" si="43"/>
        <v>54</v>
      </c>
      <c r="B258">
        <f t="shared" si="32"/>
        <v>0.42519685039370081</v>
      </c>
      <c r="C258">
        <f t="shared" si="33"/>
        <v>8.0178797629075156</v>
      </c>
      <c r="D258">
        <f t="shared" si="34"/>
        <v>65.266042532085066</v>
      </c>
      <c r="E258">
        <f t="shared" si="30"/>
        <v>1.0629921259842519</v>
      </c>
      <c r="F258">
        <f t="shared" si="31"/>
        <v>0.95921896496096126</v>
      </c>
      <c r="G258">
        <f t="shared" si="35"/>
        <v>0.958660320645358</v>
      </c>
      <c r="H258">
        <f t="shared" si="36"/>
        <v>0.958660320645358</v>
      </c>
      <c r="I258">
        <f t="shared" si="37"/>
        <v>0.35433070866141736</v>
      </c>
      <c r="J258">
        <f t="shared" si="38"/>
        <v>6.6815664690895966</v>
      </c>
      <c r="K258">
        <f t="shared" si="39"/>
        <v>45.323640647281302</v>
      </c>
      <c r="L258">
        <f t="shared" si="40"/>
        <v>0.99212598425196852</v>
      </c>
      <c r="M258">
        <f t="shared" si="41"/>
        <v>0.9541911661205319</v>
      </c>
      <c r="N258">
        <f t="shared" si="42"/>
        <v>0.95372562919086246</v>
      </c>
    </row>
    <row r="259" spans="1:14" x14ac:dyDescent="0.35">
      <c r="A259">
        <f t="shared" si="43"/>
        <v>53</v>
      </c>
      <c r="B259">
        <f t="shared" si="32"/>
        <v>0.41732283464566927</v>
      </c>
      <c r="C259">
        <f t="shared" si="33"/>
        <v>7.8694005080388569</v>
      </c>
      <c r="D259">
        <f t="shared" si="34"/>
        <v>62.871163742327475</v>
      </c>
      <c r="E259">
        <f t="shared" si="30"/>
        <v>1.0551181102362204</v>
      </c>
      <c r="F259">
        <f t="shared" si="31"/>
        <v>0.958660320645358</v>
      </c>
      <c r="G259">
        <f t="shared" si="35"/>
        <v>0.95810167632975474</v>
      </c>
      <c r="H259">
        <f t="shared" si="36"/>
        <v>0.95810167632975474</v>
      </c>
      <c r="I259">
        <f t="shared" si="37"/>
        <v>0.34776902887139105</v>
      </c>
      <c r="J259">
        <f t="shared" si="38"/>
        <v>6.557833756699047</v>
      </c>
      <c r="K259">
        <f t="shared" si="39"/>
        <v>43.6605303766163</v>
      </c>
      <c r="L259">
        <f t="shared" si="40"/>
        <v>0.98556430446194221</v>
      </c>
      <c r="M259">
        <f t="shared" si="41"/>
        <v>0.95372562919086246</v>
      </c>
      <c r="N259">
        <f t="shared" si="42"/>
        <v>0.95326009226119301</v>
      </c>
    </row>
    <row r="260" spans="1:14" x14ac:dyDescent="0.35">
      <c r="A260">
        <f t="shared" si="43"/>
        <v>52</v>
      </c>
      <c r="B260">
        <f t="shared" si="32"/>
        <v>0.40944881889763779</v>
      </c>
      <c r="C260">
        <f t="shared" si="33"/>
        <v>7.7209212531701992</v>
      </c>
      <c r="D260">
        <f t="shared" si="34"/>
        <v>60.521049042098078</v>
      </c>
      <c r="E260">
        <f t="shared" si="30"/>
        <v>1.0472440944881889</v>
      </c>
      <c r="F260">
        <f t="shared" si="31"/>
        <v>0.95810167632975474</v>
      </c>
      <c r="G260">
        <f t="shared" si="35"/>
        <v>0.95754303201415147</v>
      </c>
      <c r="H260">
        <f t="shared" si="36"/>
        <v>0.95754303201415147</v>
      </c>
      <c r="I260">
        <f t="shared" si="37"/>
        <v>0.3412073490813648</v>
      </c>
      <c r="J260">
        <f t="shared" si="38"/>
        <v>6.4341010443084992</v>
      </c>
      <c r="K260">
        <f t="shared" si="39"/>
        <v>42.028506279234776</v>
      </c>
      <c r="L260">
        <f t="shared" si="40"/>
        <v>0.9790026246719159</v>
      </c>
      <c r="M260">
        <f t="shared" si="41"/>
        <v>0.95326009226119301</v>
      </c>
      <c r="N260">
        <f t="shared" si="42"/>
        <v>0.95279455533152368</v>
      </c>
    </row>
    <row r="261" spans="1:14" x14ac:dyDescent="0.35">
      <c r="A261">
        <f t="shared" si="43"/>
        <v>51</v>
      </c>
      <c r="B261">
        <f t="shared" si="32"/>
        <v>0.40157480314960631</v>
      </c>
      <c r="C261">
        <f t="shared" si="33"/>
        <v>7.5724419983015414</v>
      </c>
      <c r="D261">
        <f t="shared" si="34"/>
        <v>58.215698431396859</v>
      </c>
      <c r="E261">
        <f t="shared" si="30"/>
        <v>1.0393700787401574</v>
      </c>
      <c r="F261">
        <f t="shared" si="31"/>
        <v>0.95754303201415147</v>
      </c>
      <c r="G261">
        <f t="shared" si="35"/>
        <v>0.95698438769854821</v>
      </c>
      <c r="H261">
        <f t="shared" si="36"/>
        <v>0.95698438769854821</v>
      </c>
      <c r="I261">
        <f t="shared" si="37"/>
        <v>0.3346456692913386</v>
      </c>
      <c r="J261">
        <f t="shared" si="38"/>
        <v>6.3103683319179513</v>
      </c>
      <c r="K261">
        <f t="shared" si="39"/>
        <v>40.427568355136714</v>
      </c>
      <c r="L261">
        <f t="shared" si="40"/>
        <v>0.97244094488188981</v>
      </c>
      <c r="M261">
        <f t="shared" si="41"/>
        <v>0.95279455533152368</v>
      </c>
      <c r="N261">
        <f t="shared" si="42"/>
        <v>0.95232901840185424</v>
      </c>
    </row>
    <row r="262" spans="1:14" x14ac:dyDescent="0.35">
      <c r="A262">
        <f t="shared" si="43"/>
        <v>50</v>
      </c>
      <c r="B262">
        <f t="shared" si="32"/>
        <v>0.39370078740157483</v>
      </c>
      <c r="C262">
        <f t="shared" si="33"/>
        <v>7.4239627434328845</v>
      </c>
      <c r="D262">
        <f t="shared" si="34"/>
        <v>55.95511191022382</v>
      </c>
      <c r="E262">
        <f t="shared" si="30"/>
        <v>1.0314960629921259</v>
      </c>
      <c r="F262">
        <f t="shared" si="31"/>
        <v>0.95698438769854821</v>
      </c>
      <c r="G262">
        <f t="shared" si="35"/>
        <v>0.95642574338294495</v>
      </c>
      <c r="H262">
        <f t="shared" si="36"/>
        <v>0.95642574338294495</v>
      </c>
      <c r="I262">
        <f t="shared" si="37"/>
        <v>0.32808398950131235</v>
      </c>
      <c r="J262">
        <f t="shared" si="38"/>
        <v>6.1866356195274035</v>
      </c>
      <c r="K262">
        <f t="shared" si="39"/>
        <v>38.8577166043221</v>
      </c>
      <c r="L262">
        <f t="shared" si="40"/>
        <v>0.9658792650918635</v>
      </c>
      <c r="M262">
        <f t="shared" si="41"/>
        <v>0.95232901840185424</v>
      </c>
      <c r="N262">
        <f t="shared" si="42"/>
        <v>0.95186348147218491</v>
      </c>
    </row>
    <row r="263" spans="1:14" x14ac:dyDescent="0.35">
      <c r="A263">
        <f t="shared" si="43"/>
        <v>49</v>
      </c>
      <c r="B263">
        <f t="shared" si="32"/>
        <v>0.38582677165354329</v>
      </c>
      <c r="C263">
        <f t="shared" si="33"/>
        <v>7.2754834885642259</v>
      </c>
      <c r="D263">
        <f t="shared" si="34"/>
        <v>53.739289478578947</v>
      </c>
      <c r="E263">
        <f t="shared" si="30"/>
        <v>1.0236220472440944</v>
      </c>
      <c r="F263">
        <f t="shared" si="31"/>
        <v>0.95642574338294495</v>
      </c>
      <c r="G263">
        <f t="shared" si="35"/>
        <v>0.95586709906734169</v>
      </c>
      <c r="H263">
        <f t="shared" si="36"/>
        <v>0.95586709906734169</v>
      </c>
      <c r="I263">
        <f t="shared" si="37"/>
        <v>0.32152230971128609</v>
      </c>
      <c r="J263">
        <f t="shared" si="38"/>
        <v>6.0629029071368556</v>
      </c>
      <c r="K263">
        <f t="shared" si="39"/>
        <v>37.318951026790941</v>
      </c>
      <c r="L263">
        <f t="shared" si="40"/>
        <v>0.95931758530183719</v>
      </c>
      <c r="M263">
        <f t="shared" si="41"/>
        <v>0.95186348147218491</v>
      </c>
      <c r="N263">
        <f t="shared" si="42"/>
        <v>0.95139794454251547</v>
      </c>
    </row>
    <row r="264" spans="1:14" x14ac:dyDescent="0.35">
      <c r="A264">
        <f t="shared" si="43"/>
        <v>48</v>
      </c>
      <c r="B264">
        <f t="shared" si="32"/>
        <v>0.37795275590551181</v>
      </c>
      <c r="C264">
        <f t="shared" si="33"/>
        <v>7.1270042336955681</v>
      </c>
      <c r="D264">
        <f t="shared" si="34"/>
        <v>51.568231136462266</v>
      </c>
      <c r="E264">
        <f t="shared" si="30"/>
        <v>1.015748031496063</v>
      </c>
      <c r="F264">
        <f t="shared" si="31"/>
        <v>0.95586709906734169</v>
      </c>
      <c r="G264">
        <f t="shared" si="35"/>
        <v>0.95530845475173842</v>
      </c>
      <c r="H264">
        <f t="shared" si="36"/>
        <v>0.95530845475173842</v>
      </c>
      <c r="I264">
        <f t="shared" si="37"/>
        <v>0.31496062992125984</v>
      </c>
      <c r="J264">
        <f t="shared" si="38"/>
        <v>5.9391701947463069</v>
      </c>
      <c r="K264">
        <f t="shared" si="39"/>
        <v>35.811271622543245</v>
      </c>
      <c r="L264">
        <f t="shared" si="40"/>
        <v>0.952755905511811</v>
      </c>
      <c r="M264">
        <f t="shared" si="41"/>
        <v>0.95139794454251547</v>
      </c>
      <c r="N264">
        <f t="shared" si="42"/>
        <v>0.9461942257217848</v>
      </c>
    </row>
    <row r="265" spans="1:14" x14ac:dyDescent="0.35">
      <c r="A265">
        <f t="shared" si="43"/>
        <v>47</v>
      </c>
      <c r="B265">
        <f t="shared" si="32"/>
        <v>0.37007874015748032</v>
      </c>
      <c r="C265">
        <f t="shared" si="33"/>
        <v>6.9785249788269113</v>
      </c>
      <c r="D265">
        <f t="shared" si="34"/>
        <v>49.441936883873765</v>
      </c>
      <c r="E265">
        <f t="shared" si="30"/>
        <v>1.0078740157480315</v>
      </c>
      <c r="F265">
        <f t="shared" si="31"/>
        <v>0.95530845475173842</v>
      </c>
      <c r="G265">
        <f t="shared" si="35"/>
        <v>0.95474981043613516</v>
      </c>
      <c r="H265">
        <f t="shared" si="36"/>
        <v>0.95474981043613516</v>
      </c>
      <c r="I265">
        <f t="shared" si="37"/>
        <v>0.30839895013123358</v>
      </c>
      <c r="J265">
        <f t="shared" si="38"/>
        <v>5.8154374823557591</v>
      </c>
      <c r="K265">
        <f t="shared" si="39"/>
        <v>34.334678391579004</v>
      </c>
      <c r="L265">
        <f t="shared" si="40"/>
        <v>0.9461942257217848</v>
      </c>
      <c r="M265">
        <f t="shared" si="41"/>
        <v>0.95093240761284614</v>
      </c>
      <c r="N265">
        <f t="shared" si="42"/>
        <v>0.93963254593175849</v>
      </c>
    </row>
    <row r="266" spans="1:14" x14ac:dyDescent="0.35">
      <c r="A266">
        <f t="shared" si="43"/>
        <v>46</v>
      </c>
      <c r="B266">
        <f t="shared" si="32"/>
        <v>0.36220472440944884</v>
      </c>
      <c r="C266">
        <f t="shared" si="33"/>
        <v>6.8300457239582535</v>
      </c>
      <c r="D266">
        <f t="shared" si="34"/>
        <v>47.360406720813444</v>
      </c>
      <c r="E266">
        <f t="shared" si="30"/>
        <v>1</v>
      </c>
      <c r="F266">
        <f t="shared" si="31"/>
        <v>0.95474981043613516</v>
      </c>
      <c r="G266">
        <f t="shared" si="35"/>
        <v>0.9541911661205319</v>
      </c>
      <c r="H266">
        <f t="shared" si="36"/>
        <v>0.9541911661205319</v>
      </c>
      <c r="I266">
        <f t="shared" si="37"/>
        <v>0.30183727034120739</v>
      </c>
      <c r="J266">
        <f t="shared" si="38"/>
        <v>5.6917047699652121</v>
      </c>
      <c r="K266">
        <f t="shared" si="39"/>
        <v>32.889171333898233</v>
      </c>
      <c r="L266">
        <f t="shared" si="40"/>
        <v>0.93963254593175849</v>
      </c>
      <c r="M266">
        <f t="shared" si="41"/>
        <v>0.9504668706831767</v>
      </c>
      <c r="N266">
        <f t="shared" si="42"/>
        <v>0.93307086614173218</v>
      </c>
    </row>
    <row r="267" spans="1:14" x14ac:dyDescent="0.35">
      <c r="A267">
        <f t="shared" si="43"/>
        <v>45</v>
      </c>
      <c r="B267">
        <f t="shared" si="32"/>
        <v>0.3543307086614173</v>
      </c>
      <c r="C267">
        <f t="shared" si="33"/>
        <v>6.6815664690895948</v>
      </c>
      <c r="D267">
        <f t="shared" si="34"/>
        <v>45.323640647281287</v>
      </c>
      <c r="E267">
        <f t="shared" si="30"/>
        <v>0.99212598425196852</v>
      </c>
      <c r="F267">
        <f t="shared" si="31"/>
        <v>0.9541911661205319</v>
      </c>
      <c r="G267">
        <f t="shared" si="35"/>
        <v>0.95363252180492863</v>
      </c>
      <c r="H267">
        <f t="shared" si="36"/>
        <v>0.95363252180492863</v>
      </c>
      <c r="I267">
        <f t="shared" si="37"/>
        <v>0.29527559055118108</v>
      </c>
      <c r="J267">
        <f t="shared" si="38"/>
        <v>5.5679720575746625</v>
      </c>
      <c r="K267">
        <f t="shared" si="39"/>
        <v>31.474750449500895</v>
      </c>
      <c r="L267">
        <f t="shared" si="40"/>
        <v>0.93307086614173218</v>
      </c>
      <c r="M267">
        <f t="shared" si="41"/>
        <v>0.95000133375350726</v>
      </c>
      <c r="N267">
        <f t="shared" si="42"/>
        <v>0.92650918635170609</v>
      </c>
    </row>
    <row r="268" spans="1:14" x14ac:dyDescent="0.35">
      <c r="A268">
        <f t="shared" si="43"/>
        <v>44</v>
      </c>
      <c r="B268">
        <f t="shared" si="32"/>
        <v>0.34645669291338582</v>
      </c>
      <c r="C268">
        <f t="shared" si="33"/>
        <v>6.533087214220938</v>
      </c>
      <c r="D268">
        <f t="shared" si="34"/>
        <v>43.331638663277324</v>
      </c>
      <c r="E268">
        <f t="shared" si="30"/>
        <v>0.98425196850393704</v>
      </c>
      <c r="F268">
        <f t="shared" si="31"/>
        <v>0.95363252180492863</v>
      </c>
      <c r="G268">
        <f t="shared" si="35"/>
        <v>0.95307387748932526</v>
      </c>
      <c r="H268">
        <f t="shared" si="36"/>
        <v>0.95307387748932526</v>
      </c>
      <c r="I268">
        <f t="shared" si="37"/>
        <v>0.28871391076115488</v>
      </c>
      <c r="J268">
        <f t="shared" si="38"/>
        <v>5.4442393451841156</v>
      </c>
      <c r="K268">
        <f t="shared" si="39"/>
        <v>30.091415738387038</v>
      </c>
      <c r="L268">
        <f t="shared" si="40"/>
        <v>0.92650918635170609</v>
      </c>
      <c r="M268">
        <f t="shared" si="41"/>
        <v>0.94953579682383793</v>
      </c>
      <c r="N268">
        <f t="shared" si="42"/>
        <v>0.91994750656167978</v>
      </c>
    </row>
    <row r="269" spans="1:14" x14ac:dyDescent="0.35">
      <c r="A269">
        <f t="shared" si="43"/>
        <v>43</v>
      </c>
      <c r="B269">
        <f t="shared" si="32"/>
        <v>0.33858267716535434</v>
      </c>
      <c r="C269">
        <f t="shared" si="33"/>
        <v>6.3846079593522802</v>
      </c>
      <c r="D269">
        <f t="shared" si="34"/>
        <v>41.384400768801541</v>
      </c>
      <c r="E269">
        <f t="shared" si="30"/>
        <v>0.97637795275590555</v>
      </c>
      <c r="F269">
        <f t="shared" si="31"/>
        <v>0.95307387748932526</v>
      </c>
      <c r="G269">
        <f t="shared" si="35"/>
        <v>0.952515233173722</v>
      </c>
      <c r="H269">
        <f t="shared" si="36"/>
        <v>0.952515233173722</v>
      </c>
      <c r="I269">
        <f t="shared" si="37"/>
        <v>0.28215223097112863</v>
      </c>
      <c r="J269">
        <f t="shared" si="38"/>
        <v>5.3205066327935668</v>
      </c>
      <c r="K269">
        <f t="shared" si="39"/>
        <v>28.739167200556629</v>
      </c>
      <c r="L269">
        <f t="shared" si="40"/>
        <v>0.91994750656167978</v>
      </c>
      <c r="M269">
        <f t="shared" si="41"/>
        <v>0.94907025989416849</v>
      </c>
      <c r="N269">
        <f t="shared" si="42"/>
        <v>0.91338582677165348</v>
      </c>
    </row>
    <row r="270" spans="1:14" x14ac:dyDescent="0.35">
      <c r="A270">
        <f t="shared" si="43"/>
        <v>42</v>
      </c>
      <c r="B270">
        <f t="shared" si="32"/>
        <v>0.33070866141732286</v>
      </c>
      <c r="C270">
        <f t="shared" si="33"/>
        <v>6.2361287044836233</v>
      </c>
      <c r="D270">
        <f t="shared" si="34"/>
        <v>39.48192696385393</v>
      </c>
      <c r="E270">
        <f t="shared" si="30"/>
        <v>0.96850393700787407</v>
      </c>
      <c r="F270">
        <f t="shared" si="31"/>
        <v>0.952515233173722</v>
      </c>
      <c r="G270">
        <f t="shared" si="35"/>
        <v>0.95195658885811874</v>
      </c>
      <c r="H270">
        <f t="shared" si="36"/>
        <v>0.95195658885811874</v>
      </c>
      <c r="I270">
        <f t="shared" si="37"/>
        <v>0.27559055118110237</v>
      </c>
      <c r="J270">
        <f t="shared" si="38"/>
        <v>5.196773920403019</v>
      </c>
      <c r="K270">
        <f t="shared" si="39"/>
        <v>27.418004836009676</v>
      </c>
      <c r="L270">
        <f t="shared" si="40"/>
        <v>0.91338582677165348</v>
      </c>
      <c r="M270">
        <f t="shared" si="41"/>
        <v>0.94860472296449916</v>
      </c>
      <c r="N270">
        <f t="shared" si="42"/>
        <v>0.90682414698162717</v>
      </c>
    </row>
    <row r="271" spans="1:14" x14ac:dyDescent="0.35">
      <c r="A271">
        <f t="shared" si="43"/>
        <v>41</v>
      </c>
      <c r="B271">
        <f t="shared" si="32"/>
        <v>0.32283464566929132</v>
      </c>
      <c r="C271">
        <f t="shared" si="33"/>
        <v>6.0876494496149647</v>
      </c>
      <c r="D271">
        <f t="shared" si="34"/>
        <v>37.624217248434491</v>
      </c>
      <c r="E271">
        <f t="shared" si="30"/>
        <v>0.96062992125984248</v>
      </c>
      <c r="F271">
        <f t="shared" si="31"/>
        <v>0.95195658885811874</v>
      </c>
      <c r="G271">
        <f t="shared" si="35"/>
        <v>0.95139794454251547</v>
      </c>
      <c r="H271">
        <f t="shared" si="36"/>
        <v>0.95139794454251547</v>
      </c>
      <c r="I271">
        <f t="shared" si="37"/>
        <v>0.26902887139107606</v>
      </c>
      <c r="J271">
        <f t="shared" si="38"/>
        <v>5.0730412080124694</v>
      </c>
      <c r="K271">
        <f t="shared" si="39"/>
        <v>26.127928644746163</v>
      </c>
      <c r="L271">
        <f t="shared" si="40"/>
        <v>0.90682414698162717</v>
      </c>
      <c r="M271">
        <f t="shared" si="41"/>
        <v>0.94813918603482972</v>
      </c>
      <c r="N271">
        <f t="shared" si="42"/>
        <v>0.90026246719160108</v>
      </c>
    </row>
    <row r="272" spans="1:14" x14ac:dyDescent="0.35">
      <c r="A272">
        <f t="shared" si="43"/>
        <v>40</v>
      </c>
      <c r="B272">
        <f t="shared" si="32"/>
        <v>0.31496062992125984</v>
      </c>
      <c r="C272">
        <f t="shared" si="33"/>
        <v>5.9391701947463069</v>
      </c>
      <c r="D272">
        <f t="shared" si="34"/>
        <v>35.811271622543245</v>
      </c>
      <c r="E272">
        <f t="shared" si="30"/>
        <v>0.952755905511811</v>
      </c>
      <c r="F272">
        <f t="shared" si="31"/>
        <v>0.95139794454251547</v>
      </c>
      <c r="G272">
        <f t="shared" si="35"/>
        <v>0.94488188976377951</v>
      </c>
      <c r="H272">
        <f t="shared" si="36"/>
        <v>0.94488188976377951</v>
      </c>
      <c r="I272">
        <f t="shared" si="37"/>
        <v>0.26246719160104987</v>
      </c>
      <c r="J272">
        <f t="shared" si="38"/>
        <v>4.9493084956219224</v>
      </c>
      <c r="K272">
        <f t="shared" si="39"/>
        <v>24.868938626766145</v>
      </c>
      <c r="L272">
        <f t="shared" si="40"/>
        <v>0.90026246719160108</v>
      </c>
      <c r="M272">
        <f t="shared" si="41"/>
        <v>0.94767364910516039</v>
      </c>
      <c r="N272">
        <f t="shared" si="42"/>
        <v>0.89370078740157477</v>
      </c>
    </row>
    <row r="273" spans="1:14" x14ac:dyDescent="0.35">
      <c r="A273">
        <f t="shared" si="43"/>
        <v>39</v>
      </c>
      <c r="B273">
        <f t="shared" si="32"/>
        <v>0.30708661417322836</v>
      </c>
      <c r="C273">
        <f t="shared" si="33"/>
        <v>5.79069093987765</v>
      </c>
      <c r="D273">
        <f t="shared" si="34"/>
        <v>34.043090086180179</v>
      </c>
      <c r="E273">
        <f t="shared" si="30"/>
        <v>0.94488188976377951</v>
      </c>
      <c r="F273">
        <f t="shared" si="31"/>
        <v>0.95083930022691221</v>
      </c>
      <c r="G273">
        <f t="shared" si="35"/>
        <v>0.93700787401574803</v>
      </c>
      <c r="H273">
        <f t="shared" si="36"/>
        <v>0.93700787401574803</v>
      </c>
      <c r="I273">
        <f t="shared" si="37"/>
        <v>0.25590551181102361</v>
      </c>
      <c r="J273">
        <f t="shared" si="38"/>
        <v>4.8255757832313746</v>
      </c>
      <c r="K273">
        <f t="shared" si="39"/>
        <v>23.641034782069557</v>
      </c>
      <c r="L273">
        <f t="shared" si="40"/>
        <v>0.89370078740157477</v>
      </c>
      <c r="M273">
        <f t="shared" si="41"/>
        <v>0.94720811217549095</v>
      </c>
      <c r="N273">
        <f t="shared" si="42"/>
        <v>0.88713910761154857</v>
      </c>
    </row>
    <row r="274" spans="1:14" x14ac:dyDescent="0.35">
      <c r="A274">
        <f t="shared" si="43"/>
        <v>38</v>
      </c>
      <c r="B274">
        <f t="shared" si="32"/>
        <v>0.29921259842519687</v>
      </c>
      <c r="C274">
        <f t="shared" si="33"/>
        <v>5.6422116850089923</v>
      </c>
      <c r="D274">
        <f t="shared" si="34"/>
        <v>32.319672639345285</v>
      </c>
      <c r="E274">
        <f t="shared" si="30"/>
        <v>0.93700787401574803</v>
      </c>
      <c r="F274">
        <f t="shared" si="31"/>
        <v>0.95028065591130895</v>
      </c>
      <c r="G274">
        <f t="shared" si="35"/>
        <v>0.92913385826771644</v>
      </c>
      <c r="H274">
        <f t="shared" si="36"/>
        <v>0.92913385826771644</v>
      </c>
      <c r="I274">
        <f t="shared" si="37"/>
        <v>0.24934383202099739</v>
      </c>
      <c r="J274">
        <f t="shared" si="38"/>
        <v>4.7018430708408268</v>
      </c>
      <c r="K274">
        <f t="shared" si="39"/>
        <v>22.444217110656446</v>
      </c>
      <c r="L274">
        <f t="shared" si="40"/>
        <v>0.88713910761154857</v>
      </c>
      <c r="M274">
        <f t="shared" si="41"/>
        <v>0.94674257524582162</v>
      </c>
      <c r="N274">
        <f t="shared" si="42"/>
        <v>0.88057742782152226</v>
      </c>
    </row>
    <row r="275" spans="1:14" x14ac:dyDescent="0.35">
      <c r="A275">
        <f t="shared" si="43"/>
        <v>37</v>
      </c>
      <c r="B275">
        <f t="shared" si="32"/>
        <v>0.29133858267716534</v>
      </c>
      <c r="C275">
        <f t="shared" si="33"/>
        <v>5.4937324301403336</v>
      </c>
      <c r="D275">
        <f t="shared" si="34"/>
        <v>30.641019282038563</v>
      </c>
      <c r="E275">
        <f t="shared" si="30"/>
        <v>0.92913385826771644</v>
      </c>
      <c r="F275">
        <f t="shared" si="31"/>
        <v>0.94972201159570568</v>
      </c>
      <c r="G275">
        <f t="shared" si="35"/>
        <v>0.92125984251968496</v>
      </c>
      <c r="H275">
        <f t="shared" si="36"/>
        <v>0.92125984251968496</v>
      </c>
      <c r="I275">
        <f t="shared" si="37"/>
        <v>0.2427821522309711</v>
      </c>
      <c r="J275">
        <f t="shared" si="38"/>
        <v>4.578110358450278</v>
      </c>
      <c r="K275">
        <f t="shared" si="39"/>
        <v>21.278485612526772</v>
      </c>
      <c r="L275">
        <f t="shared" si="40"/>
        <v>0.88057742782152226</v>
      </c>
      <c r="M275">
        <f t="shared" si="41"/>
        <v>0.94627703831615217</v>
      </c>
      <c r="N275">
        <f t="shared" si="42"/>
        <v>0.87401574803149606</v>
      </c>
    </row>
    <row r="276" spans="1:14" x14ac:dyDescent="0.35">
      <c r="A276">
        <f t="shared" si="43"/>
        <v>36</v>
      </c>
      <c r="B276">
        <f t="shared" si="32"/>
        <v>0.28346456692913385</v>
      </c>
      <c r="C276">
        <f t="shared" si="33"/>
        <v>5.3452531752716768</v>
      </c>
      <c r="D276">
        <f t="shared" si="34"/>
        <v>29.007130014260031</v>
      </c>
      <c r="E276">
        <f t="shared" si="30"/>
        <v>0.92125984251968496</v>
      </c>
      <c r="F276">
        <f t="shared" si="31"/>
        <v>0.94916336728010242</v>
      </c>
      <c r="G276">
        <f t="shared" si="35"/>
        <v>0.91338582677165348</v>
      </c>
      <c r="H276">
        <f t="shared" si="36"/>
        <v>0.91338582677165348</v>
      </c>
      <c r="I276">
        <f t="shared" si="37"/>
        <v>0.23622047244094488</v>
      </c>
      <c r="J276">
        <f t="shared" si="38"/>
        <v>4.4543776460597302</v>
      </c>
      <c r="K276">
        <f t="shared" si="39"/>
        <v>20.143840287680575</v>
      </c>
      <c r="L276">
        <f t="shared" si="40"/>
        <v>0.87401574803149606</v>
      </c>
      <c r="M276">
        <f t="shared" si="41"/>
        <v>0.94581150138648273</v>
      </c>
      <c r="N276">
        <f t="shared" si="42"/>
        <v>0.86745406824146976</v>
      </c>
    </row>
    <row r="277" spans="1:14" x14ac:dyDescent="0.35">
      <c r="A277">
        <f t="shared" si="43"/>
        <v>35</v>
      </c>
      <c r="B277">
        <f t="shared" si="32"/>
        <v>0.27559055118110237</v>
      </c>
      <c r="C277">
        <f t="shared" si="33"/>
        <v>5.196773920403019</v>
      </c>
      <c r="D277">
        <f t="shared" si="34"/>
        <v>27.418004836009676</v>
      </c>
      <c r="E277">
        <f t="shared" si="30"/>
        <v>0.91338582677165348</v>
      </c>
      <c r="F277">
        <f t="shared" si="31"/>
        <v>0.94860472296449916</v>
      </c>
      <c r="G277">
        <f t="shared" si="35"/>
        <v>0.90551181102362199</v>
      </c>
      <c r="H277">
        <f t="shared" si="36"/>
        <v>0.90551181102362199</v>
      </c>
      <c r="I277">
        <f t="shared" si="37"/>
        <v>0.22965879265091863</v>
      </c>
      <c r="J277">
        <f t="shared" si="38"/>
        <v>4.3306449336691824</v>
      </c>
      <c r="K277">
        <f t="shared" si="39"/>
        <v>19.040281136117827</v>
      </c>
      <c r="L277">
        <f t="shared" si="40"/>
        <v>0.86745406824146976</v>
      </c>
      <c r="M277">
        <f t="shared" si="41"/>
        <v>0.9453459644568134</v>
      </c>
      <c r="N277">
        <f t="shared" si="42"/>
        <v>0.86089238845144356</v>
      </c>
    </row>
    <row r="278" spans="1:14" x14ac:dyDescent="0.35">
      <c r="A278">
        <f t="shared" si="43"/>
        <v>34</v>
      </c>
      <c r="B278">
        <f t="shared" si="32"/>
        <v>0.26771653543307089</v>
      </c>
      <c r="C278">
        <f t="shared" si="33"/>
        <v>5.0482946655343612</v>
      </c>
      <c r="D278">
        <f t="shared" si="34"/>
        <v>25.873643747287502</v>
      </c>
      <c r="E278">
        <f t="shared" si="30"/>
        <v>0.90551181102362199</v>
      </c>
      <c r="F278">
        <f t="shared" si="31"/>
        <v>0.9480460786488959</v>
      </c>
      <c r="G278">
        <f t="shared" si="35"/>
        <v>0.89763779527559051</v>
      </c>
      <c r="H278">
        <f t="shared" si="36"/>
        <v>0.89763779527559051</v>
      </c>
      <c r="I278">
        <f t="shared" si="37"/>
        <v>0.2230971128608924</v>
      </c>
      <c r="J278">
        <f t="shared" si="38"/>
        <v>4.2069122212786345</v>
      </c>
      <c r="K278">
        <f t="shared" si="39"/>
        <v>17.967808157838537</v>
      </c>
      <c r="L278">
        <f t="shared" si="40"/>
        <v>0.86089238845144356</v>
      </c>
      <c r="M278">
        <f t="shared" si="41"/>
        <v>0.94488042752714396</v>
      </c>
      <c r="N278">
        <f t="shared" si="42"/>
        <v>0.85433070866141725</v>
      </c>
    </row>
    <row r="279" spans="1:14" x14ac:dyDescent="0.35">
      <c r="A279">
        <f t="shared" si="43"/>
        <v>33</v>
      </c>
      <c r="B279">
        <f t="shared" si="32"/>
        <v>0.25984251968503935</v>
      </c>
      <c r="C279">
        <f t="shared" si="33"/>
        <v>4.8998154106657035</v>
      </c>
      <c r="D279">
        <f t="shared" si="34"/>
        <v>24.374046748093498</v>
      </c>
      <c r="E279">
        <f t="shared" si="30"/>
        <v>0.89763779527559051</v>
      </c>
      <c r="F279">
        <f t="shared" si="31"/>
        <v>0.94748743433329263</v>
      </c>
      <c r="G279">
        <f t="shared" si="35"/>
        <v>0.88976377952755903</v>
      </c>
      <c r="H279">
        <f t="shared" si="36"/>
        <v>0.88976377952755903</v>
      </c>
      <c r="I279">
        <f t="shared" si="37"/>
        <v>0.21653543307086612</v>
      </c>
      <c r="J279">
        <f t="shared" si="38"/>
        <v>4.0831795088880858</v>
      </c>
      <c r="K279">
        <f t="shared" si="39"/>
        <v>16.926421352842706</v>
      </c>
      <c r="L279">
        <f t="shared" si="40"/>
        <v>0.85433070866141725</v>
      </c>
      <c r="M279">
        <f t="shared" si="41"/>
        <v>0.94441489059747463</v>
      </c>
      <c r="N279">
        <f t="shared" si="42"/>
        <v>0.84776902887139105</v>
      </c>
    </row>
    <row r="280" spans="1:14" x14ac:dyDescent="0.35">
      <c r="A280">
        <f t="shared" si="43"/>
        <v>32</v>
      </c>
      <c r="B280">
        <f t="shared" si="32"/>
        <v>0.25196850393700787</v>
      </c>
      <c r="C280">
        <f t="shared" si="33"/>
        <v>4.7513361557970457</v>
      </c>
      <c r="D280">
        <f t="shared" si="34"/>
        <v>22.91921383842768</v>
      </c>
      <c r="E280">
        <f t="shared" si="30"/>
        <v>0.88976377952755903</v>
      </c>
      <c r="F280">
        <f t="shared" si="31"/>
        <v>0.94692879001768937</v>
      </c>
      <c r="G280">
        <f t="shared" si="35"/>
        <v>0.88188976377952755</v>
      </c>
      <c r="H280">
        <f t="shared" si="36"/>
        <v>0.88188976377952755</v>
      </c>
      <c r="I280">
        <f t="shared" si="37"/>
        <v>0.20997375328083989</v>
      </c>
      <c r="J280">
        <f t="shared" si="38"/>
        <v>3.9594467964975379</v>
      </c>
      <c r="K280">
        <f t="shared" si="39"/>
        <v>15.916120721130328</v>
      </c>
      <c r="L280">
        <f t="shared" si="40"/>
        <v>0.84776902887139105</v>
      </c>
      <c r="M280">
        <f t="shared" si="41"/>
        <v>0.94394935366780519</v>
      </c>
      <c r="N280">
        <f t="shared" si="42"/>
        <v>0.84120734908136485</v>
      </c>
    </row>
    <row r="281" spans="1:14" x14ac:dyDescent="0.35">
      <c r="A281">
        <f t="shared" si="43"/>
        <v>31</v>
      </c>
      <c r="B281">
        <f t="shared" si="32"/>
        <v>0.24409448818897639</v>
      </c>
      <c r="C281">
        <f t="shared" si="33"/>
        <v>4.602856900928388</v>
      </c>
      <c r="D281">
        <f t="shared" si="34"/>
        <v>21.509145018290042</v>
      </c>
      <c r="E281">
        <f t="shared" ref="E281:E312" si="44">B281+$E$184</f>
        <v>0.88188976377952755</v>
      </c>
      <c r="F281">
        <f t="shared" ref="F281:F312" si="45">$F$184*(B281-1)+1</f>
        <v>0.94637014570208611</v>
      </c>
      <c r="G281">
        <f t="shared" si="35"/>
        <v>0.87401574803149606</v>
      </c>
      <c r="H281">
        <f t="shared" si="36"/>
        <v>0.87401574803149606</v>
      </c>
      <c r="I281">
        <f t="shared" si="37"/>
        <v>0.20341207349081367</v>
      </c>
      <c r="J281">
        <f t="shared" si="38"/>
        <v>3.8357140841069906</v>
      </c>
      <c r="K281">
        <f t="shared" si="39"/>
        <v>14.936906262701418</v>
      </c>
      <c r="L281">
        <f t="shared" si="40"/>
        <v>0.84120734908136485</v>
      </c>
      <c r="M281">
        <f t="shared" si="41"/>
        <v>0.94348381673813586</v>
      </c>
      <c r="N281">
        <f t="shared" si="42"/>
        <v>0.83464566929133854</v>
      </c>
    </row>
    <row r="282" spans="1:14" x14ac:dyDescent="0.35">
      <c r="A282">
        <f t="shared" si="43"/>
        <v>30</v>
      </c>
      <c r="B282">
        <f t="shared" si="32"/>
        <v>0.23622047244094488</v>
      </c>
      <c r="C282">
        <f t="shared" si="33"/>
        <v>4.4543776460597302</v>
      </c>
      <c r="D282">
        <f t="shared" si="34"/>
        <v>20.143840287680575</v>
      </c>
      <c r="E282">
        <f t="shared" si="44"/>
        <v>0.87401574803149606</v>
      </c>
      <c r="F282">
        <f t="shared" si="45"/>
        <v>0.94581150138648273</v>
      </c>
      <c r="G282">
        <f t="shared" si="35"/>
        <v>0.86614173228346458</v>
      </c>
      <c r="H282">
        <f t="shared" si="36"/>
        <v>0.86614173228346458</v>
      </c>
      <c r="I282">
        <f t="shared" si="37"/>
        <v>0.19685039370078738</v>
      </c>
      <c r="J282">
        <f t="shared" si="38"/>
        <v>3.7119813717164418</v>
      </c>
      <c r="K282">
        <f t="shared" si="39"/>
        <v>13.988777977555952</v>
      </c>
      <c r="L282">
        <f t="shared" si="40"/>
        <v>0.83464566929133854</v>
      </c>
      <c r="M282">
        <f t="shared" si="41"/>
        <v>0.94301827980846642</v>
      </c>
      <c r="N282">
        <f t="shared" si="42"/>
        <v>0.82808398950131235</v>
      </c>
    </row>
    <row r="283" spans="1:14" x14ac:dyDescent="0.35">
      <c r="A283">
        <f t="shared" si="43"/>
        <v>29</v>
      </c>
      <c r="B283">
        <f t="shared" si="32"/>
        <v>0.2283464566929134</v>
      </c>
      <c r="C283">
        <f t="shared" si="33"/>
        <v>4.3058983911910724</v>
      </c>
      <c r="D283">
        <f t="shared" si="34"/>
        <v>18.823299646599295</v>
      </c>
      <c r="E283">
        <f t="shared" si="44"/>
        <v>0.86614173228346458</v>
      </c>
      <c r="F283">
        <f t="shared" si="45"/>
        <v>0.94525285707087947</v>
      </c>
      <c r="G283">
        <f t="shared" si="35"/>
        <v>0.8582677165354331</v>
      </c>
      <c r="H283">
        <f t="shared" si="36"/>
        <v>0.8582677165354331</v>
      </c>
      <c r="I283">
        <f t="shared" si="37"/>
        <v>0.19028871391076116</v>
      </c>
      <c r="J283">
        <f t="shared" si="38"/>
        <v>3.588248659325894</v>
      </c>
      <c r="K283">
        <f t="shared" si="39"/>
        <v>13.071735865693952</v>
      </c>
      <c r="L283">
        <f t="shared" si="40"/>
        <v>0.82808398950131235</v>
      </c>
      <c r="M283">
        <f t="shared" si="41"/>
        <v>0.94255274287879709</v>
      </c>
      <c r="N283">
        <f t="shared" si="42"/>
        <v>0.82152230971128604</v>
      </c>
    </row>
    <row r="284" spans="1:14" x14ac:dyDescent="0.35">
      <c r="A284">
        <f t="shared" si="43"/>
        <v>28</v>
      </c>
      <c r="B284">
        <f t="shared" si="32"/>
        <v>0.22047244094488189</v>
      </c>
      <c r="C284">
        <f t="shared" si="33"/>
        <v>4.1574191363224147</v>
      </c>
      <c r="D284">
        <f t="shared" si="34"/>
        <v>17.547523095046188</v>
      </c>
      <c r="E284">
        <f t="shared" si="44"/>
        <v>0.8582677165354331</v>
      </c>
      <c r="F284">
        <f t="shared" si="45"/>
        <v>0.94469421275527621</v>
      </c>
      <c r="G284">
        <f t="shared" si="35"/>
        <v>0.85039370078740162</v>
      </c>
      <c r="H284">
        <f t="shared" si="36"/>
        <v>0.85039370078740162</v>
      </c>
      <c r="I284">
        <f t="shared" si="37"/>
        <v>0.18372703412073491</v>
      </c>
      <c r="J284">
        <f t="shared" si="38"/>
        <v>3.4645159469353457</v>
      </c>
      <c r="K284">
        <f t="shared" si="39"/>
        <v>12.185779927115409</v>
      </c>
      <c r="L284">
        <f t="shared" si="40"/>
        <v>0.82152230971128604</v>
      </c>
      <c r="M284">
        <f t="shared" si="41"/>
        <v>0.94208720594912765</v>
      </c>
      <c r="N284">
        <f t="shared" si="42"/>
        <v>0.81496062992125984</v>
      </c>
    </row>
    <row r="285" spans="1:14" x14ac:dyDescent="0.35">
      <c r="A285">
        <f t="shared" si="43"/>
        <v>27</v>
      </c>
      <c r="B285">
        <f t="shared" si="32"/>
        <v>0.2125984251968504</v>
      </c>
      <c r="C285">
        <f t="shared" si="33"/>
        <v>4.0089398814537578</v>
      </c>
      <c r="D285">
        <f t="shared" si="34"/>
        <v>16.316510633021267</v>
      </c>
      <c r="E285">
        <f t="shared" si="44"/>
        <v>0.85039370078740162</v>
      </c>
      <c r="F285">
        <f t="shared" si="45"/>
        <v>0.94413556843967295</v>
      </c>
      <c r="G285">
        <f t="shared" si="35"/>
        <v>0.84251968503937003</v>
      </c>
      <c r="H285">
        <f t="shared" si="36"/>
        <v>0.84251968503937003</v>
      </c>
      <c r="I285">
        <f t="shared" si="37"/>
        <v>0.17716535433070868</v>
      </c>
      <c r="J285">
        <f t="shared" si="38"/>
        <v>3.3407832345447983</v>
      </c>
      <c r="K285">
        <f t="shared" si="39"/>
        <v>11.330910161820325</v>
      </c>
      <c r="L285">
        <f t="shared" si="40"/>
        <v>0.81496062992125984</v>
      </c>
      <c r="M285">
        <f t="shared" si="41"/>
        <v>0.94162166901945832</v>
      </c>
      <c r="N285">
        <f t="shared" si="42"/>
        <v>0.80839895013123353</v>
      </c>
    </row>
    <row r="286" spans="1:14" x14ac:dyDescent="0.35">
      <c r="A286">
        <f t="shared" si="43"/>
        <v>26</v>
      </c>
      <c r="B286">
        <f t="shared" si="32"/>
        <v>0.20472440944881889</v>
      </c>
      <c r="C286">
        <f t="shared" si="33"/>
        <v>3.8604606265850996</v>
      </c>
      <c r="D286">
        <f t="shared" si="34"/>
        <v>15.130262260524519</v>
      </c>
      <c r="E286">
        <f t="shared" si="44"/>
        <v>0.84251968503937003</v>
      </c>
      <c r="F286">
        <f t="shared" si="45"/>
        <v>0.94357692412406968</v>
      </c>
      <c r="G286">
        <f t="shared" si="35"/>
        <v>0.83464566929133854</v>
      </c>
      <c r="H286">
        <f t="shared" si="36"/>
        <v>0.83464566929133854</v>
      </c>
      <c r="I286">
        <f t="shared" si="37"/>
        <v>0.1706036745406824</v>
      </c>
      <c r="J286">
        <f t="shared" si="38"/>
        <v>3.2170505221542496</v>
      </c>
      <c r="K286">
        <f t="shared" si="39"/>
        <v>10.507126569808694</v>
      </c>
      <c r="L286">
        <f t="shared" si="40"/>
        <v>0.80839895013123353</v>
      </c>
      <c r="M286">
        <f t="shared" si="41"/>
        <v>0.94115613208978888</v>
      </c>
      <c r="N286">
        <f t="shared" si="42"/>
        <v>0.80183727034120733</v>
      </c>
    </row>
    <row r="287" spans="1:14" x14ac:dyDescent="0.35">
      <c r="A287">
        <f t="shared" si="43"/>
        <v>25</v>
      </c>
      <c r="B287">
        <f t="shared" si="32"/>
        <v>0.19685039370078741</v>
      </c>
      <c r="C287">
        <f t="shared" si="33"/>
        <v>3.7119813717164423</v>
      </c>
      <c r="D287">
        <f t="shared" si="34"/>
        <v>13.988777977555955</v>
      </c>
      <c r="E287">
        <f t="shared" si="44"/>
        <v>0.83464566929133854</v>
      </c>
      <c r="F287">
        <f t="shared" si="45"/>
        <v>0.94301827980846642</v>
      </c>
      <c r="G287">
        <f t="shared" si="35"/>
        <v>0.82677165354330706</v>
      </c>
      <c r="H287">
        <f t="shared" si="36"/>
        <v>0.82677165354330706</v>
      </c>
      <c r="I287">
        <f t="shared" si="37"/>
        <v>0.16404199475065617</v>
      </c>
      <c r="J287">
        <f t="shared" si="38"/>
        <v>3.0933178097637017</v>
      </c>
      <c r="K287">
        <f t="shared" si="39"/>
        <v>9.714429151080525</v>
      </c>
      <c r="L287">
        <f t="shared" si="40"/>
        <v>0.80183727034120733</v>
      </c>
      <c r="M287">
        <f t="shared" si="41"/>
        <v>0.94069059516011944</v>
      </c>
      <c r="N287">
        <f t="shared" si="42"/>
        <v>0.79527559055118102</v>
      </c>
    </row>
    <row r="288" spans="1:14" x14ac:dyDescent="0.35">
      <c r="A288">
        <f t="shared" si="43"/>
        <v>24</v>
      </c>
      <c r="B288">
        <f t="shared" si="32"/>
        <v>0.1889763779527559</v>
      </c>
      <c r="C288">
        <f t="shared" si="33"/>
        <v>3.5635021168477841</v>
      </c>
      <c r="D288">
        <f t="shared" si="34"/>
        <v>12.892057784115567</v>
      </c>
      <c r="E288">
        <f t="shared" si="44"/>
        <v>0.82677165354330706</v>
      </c>
      <c r="F288">
        <f t="shared" si="45"/>
        <v>0.94245963549286316</v>
      </c>
      <c r="G288">
        <f t="shared" si="35"/>
        <v>0.81889763779527558</v>
      </c>
      <c r="H288">
        <f t="shared" si="36"/>
        <v>0.81889763779527558</v>
      </c>
      <c r="I288">
        <f t="shared" si="37"/>
        <v>0.15748031496062992</v>
      </c>
      <c r="J288">
        <f t="shared" si="38"/>
        <v>2.9695850973731535</v>
      </c>
      <c r="K288">
        <f t="shared" si="39"/>
        <v>8.9528179056358113</v>
      </c>
      <c r="L288">
        <f t="shared" si="40"/>
        <v>0.79527559055118102</v>
      </c>
      <c r="M288">
        <f t="shared" si="41"/>
        <v>0.94022505823045011</v>
      </c>
      <c r="N288">
        <f t="shared" si="42"/>
        <v>0.78871391076115482</v>
      </c>
    </row>
    <row r="289" spans="1:14" x14ac:dyDescent="0.35">
      <c r="A289">
        <f t="shared" si="43"/>
        <v>23</v>
      </c>
      <c r="B289">
        <f t="shared" si="32"/>
        <v>0.18110236220472442</v>
      </c>
      <c r="C289">
        <f t="shared" si="33"/>
        <v>3.4150228619791267</v>
      </c>
      <c r="D289">
        <f t="shared" si="34"/>
        <v>11.840101680203361</v>
      </c>
      <c r="E289">
        <f t="shared" si="44"/>
        <v>0.81889763779527558</v>
      </c>
      <c r="F289">
        <f t="shared" si="45"/>
        <v>0.94190099117725989</v>
      </c>
      <c r="G289">
        <f t="shared" si="35"/>
        <v>0.8110236220472441</v>
      </c>
      <c r="H289">
        <f t="shared" si="36"/>
        <v>0.8110236220472441</v>
      </c>
      <c r="I289">
        <f t="shared" si="37"/>
        <v>0.15091863517060369</v>
      </c>
      <c r="J289">
        <f t="shared" si="38"/>
        <v>2.8458523849826061</v>
      </c>
      <c r="K289">
        <f t="shared" si="39"/>
        <v>8.2222928334745582</v>
      </c>
      <c r="L289">
        <f t="shared" si="40"/>
        <v>0.78871391076115482</v>
      </c>
      <c r="M289">
        <f t="shared" si="41"/>
        <v>0.93975952130078066</v>
      </c>
      <c r="N289">
        <f t="shared" si="42"/>
        <v>0.78215223097112863</v>
      </c>
    </row>
    <row r="290" spans="1:14" x14ac:dyDescent="0.35">
      <c r="A290">
        <f t="shared" si="43"/>
        <v>22</v>
      </c>
      <c r="B290">
        <f t="shared" si="32"/>
        <v>0.17322834645669291</v>
      </c>
      <c r="C290">
        <f t="shared" si="33"/>
        <v>3.266543607110469</v>
      </c>
      <c r="D290">
        <f t="shared" si="34"/>
        <v>10.832909665819331</v>
      </c>
      <c r="E290">
        <f t="shared" si="44"/>
        <v>0.8110236220472441</v>
      </c>
      <c r="F290">
        <f t="shared" si="45"/>
        <v>0.94134234686165663</v>
      </c>
      <c r="G290">
        <f t="shared" si="35"/>
        <v>0.80314960629921262</v>
      </c>
      <c r="H290">
        <f t="shared" si="36"/>
        <v>0.80314960629921262</v>
      </c>
      <c r="I290">
        <f t="shared" si="37"/>
        <v>0.14435695538057744</v>
      </c>
      <c r="J290">
        <f t="shared" si="38"/>
        <v>2.7221196725920578</v>
      </c>
      <c r="K290">
        <f t="shared" si="39"/>
        <v>7.5228539345967596</v>
      </c>
      <c r="L290">
        <f t="shared" si="40"/>
        <v>0.78215223097112863</v>
      </c>
      <c r="M290">
        <f t="shared" si="41"/>
        <v>0.93929398437111133</v>
      </c>
      <c r="N290">
        <f t="shared" si="42"/>
        <v>0.77559055118110232</v>
      </c>
    </row>
    <row r="291" spans="1:14" x14ac:dyDescent="0.35">
      <c r="A291">
        <f t="shared" si="43"/>
        <v>21</v>
      </c>
      <c r="B291">
        <f t="shared" si="32"/>
        <v>0.16535433070866143</v>
      </c>
      <c r="C291">
        <f t="shared" si="33"/>
        <v>3.1180643522418117</v>
      </c>
      <c r="D291">
        <f t="shared" si="34"/>
        <v>9.8704817409634824</v>
      </c>
      <c r="E291">
        <f t="shared" si="44"/>
        <v>0.80314960629921262</v>
      </c>
      <c r="F291">
        <f t="shared" si="45"/>
        <v>0.94078370254605337</v>
      </c>
      <c r="G291">
        <f t="shared" si="35"/>
        <v>0.79527559055118102</v>
      </c>
      <c r="H291">
        <f t="shared" si="36"/>
        <v>0.79527559055118102</v>
      </c>
      <c r="I291">
        <f t="shared" si="37"/>
        <v>0.13779527559055119</v>
      </c>
      <c r="J291">
        <f t="shared" si="38"/>
        <v>2.5983869602015095</v>
      </c>
      <c r="K291">
        <f t="shared" si="39"/>
        <v>6.8545012090024189</v>
      </c>
      <c r="L291">
        <f t="shared" si="40"/>
        <v>0.77559055118110232</v>
      </c>
      <c r="M291">
        <f t="shared" si="41"/>
        <v>0.93882844744144189</v>
      </c>
      <c r="N291">
        <f t="shared" si="42"/>
        <v>0.76902887139107612</v>
      </c>
    </row>
    <row r="292" spans="1:14" x14ac:dyDescent="0.35">
      <c r="A292">
        <f t="shared" si="43"/>
        <v>20</v>
      </c>
      <c r="B292">
        <f t="shared" si="32"/>
        <v>0.15748031496062992</v>
      </c>
      <c r="C292">
        <f t="shared" si="33"/>
        <v>2.9695850973731535</v>
      </c>
      <c r="D292">
        <f t="shared" si="34"/>
        <v>8.9528179056358113</v>
      </c>
      <c r="E292">
        <f t="shared" si="44"/>
        <v>0.79527559055118102</v>
      </c>
      <c r="F292">
        <f t="shared" si="45"/>
        <v>0.94022505823045011</v>
      </c>
      <c r="G292">
        <f t="shared" si="35"/>
        <v>0.78740157480314954</v>
      </c>
      <c r="H292">
        <f t="shared" si="36"/>
        <v>0.78740157480314954</v>
      </c>
      <c r="I292">
        <f t="shared" si="37"/>
        <v>0.13123359580052493</v>
      </c>
      <c r="J292">
        <f t="shared" si="38"/>
        <v>2.4746542478109612</v>
      </c>
      <c r="K292">
        <f t="shared" si="39"/>
        <v>6.2172346566915362</v>
      </c>
      <c r="L292">
        <f t="shared" si="40"/>
        <v>0.76902887139107612</v>
      </c>
      <c r="M292">
        <f t="shared" si="41"/>
        <v>0.93836291051177256</v>
      </c>
      <c r="N292">
        <f t="shared" si="42"/>
        <v>0.76246719160104981</v>
      </c>
    </row>
    <row r="293" spans="1:14" x14ac:dyDescent="0.35">
      <c r="A293">
        <f t="shared" si="43"/>
        <v>19</v>
      </c>
      <c r="B293">
        <f t="shared" si="32"/>
        <v>0.14960629921259844</v>
      </c>
      <c r="C293">
        <f t="shared" si="33"/>
        <v>2.8211058425044961</v>
      </c>
      <c r="D293">
        <f t="shared" si="34"/>
        <v>8.0799181598363212</v>
      </c>
      <c r="E293">
        <f t="shared" si="44"/>
        <v>0.78740157480314954</v>
      </c>
      <c r="F293">
        <f t="shared" si="45"/>
        <v>0.93966641391484684</v>
      </c>
      <c r="G293">
        <f t="shared" si="35"/>
        <v>0.77952755905511806</v>
      </c>
      <c r="H293">
        <f t="shared" si="36"/>
        <v>0.77952755905511806</v>
      </c>
      <c r="I293">
        <f t="shared" si="37"/>
        <v>0.12467191601049869</v>
      </c>
      <c r="J293">
        <f t="shared" si="38"/>
        <v>2.3509215354204134</v>
      </c>
      <c r="K293">
        <f t="shared" si="39"/>
        <v>5.6110542776641115</v>
      </c>
      <c r="L293">
        <f t="shared" si="40"/>
        <v>0.76246719160104981</v>
      </c>
      <c r="M293">
        <f t="shared" si="41"/>
        <v>0.93789737358210312</v>
      </c>
      <c r="N293">
        <f t="shared" si="42"/>
        <v>0.75590551181102361</v>
      </c>
    </row>
    <row r="294" spans="1:14" x14ac:dyDescent="0.35">
      <c r="A294">
        <f t="shared" si="43"/>
        <v>18</v>
      </c>
      <c r="B294">
        <f t="shared" si="32"/>
        <v>0.14173228346456693</v>
      </c>
      <c r="C294">
        <f t="shared" si="33"/>
        <v>2.6726265876358384</v>
      </c>
      <c r="D294">
        <f t="shared" si="34"/>
        <v>7.2517825035650079</v>
      </c>
      <c r="E294">
        <f t="shared" si="44"/>
        <v>0.77952755905511806</v>
      </c>
      <c r="F294">
        <f t="shared" si="45"/>
        <v>0.93910776959924358</v>
      </c>
      <c r="G294">
        <f t="shared" si="35"/>
        <v>0.77165354330708658</v>
      </c>
      <c r="H294">
        <f t="shared" si="36"/>
        <v>0.77165354330708658</v>
      </c>
      <c r="I294">
        <f t="shared" si="37"/>
        <v>0.11811023622047244</v>
      </c>
      <c r="J294">
        <f t="shared" si="38"/>
        <v>2.2271888230298651</v>
      </c>
      <c r="K294">
        <f t="shared" si="39"/>
        <v>5.0359600719201438</v>
      </c>
      <c r="L294">
        <f t="shared" si="40"/>
        <v>0.75590551181102361</v>
      </c>
      <c r="M294">
        <f t="shared" si="41"/>
        <v>0.93743183665243368</v>
      </c>
      <c r="N294">
        <f t="shared" si="42"/>
        <v>0.7493438320209973</v>
      </c>
    </row>
    <row r="295" spans="1:14" x14ac:dyDescent="0.35">
      <c r="A295">
        <f t="shared" si="43"/>
        <v>17</v>
      </c>
      <c r="B295">
        <f t="shared" si="32"/>
        <v>0.13385826771653545</v>
      </c>
      <c r="C295">
        <f t="shared" si="33"/>
        <v>2.5241473327671806</v>
      </c>
      <c r="D295">
        <f t="shared" si="34"/>
        <v>6.4684109368218756</v>
      </c>
      <c r="E295">
        <f t="shared" si="44"/>
        <v>0.77165354330708658</v>
      </c>
      <c r="F295">
        <f t="shared" si="45"/>
        <v>0.93854912528364032</v>
      </c>
      <c r="G295">
        <f t="shared" si="35"/>
        <v>0.76377952755905509</v>
      </c>
      <c r="H295">
        <f t="shared" si="36"/>
        <v>0.76377952755905509</v>
      </c>
      <c r="I295">
        <f t="shared" si="37"/>
        <v>0.1115485564304462</v>
      </c>
      <c r="J295">
        <f t="shared" si="38"/>
        <v>2.1034561106393173</v>
      </c>
      <c r="K295">
        <f t="shared" si="39"/>
        <v>4.4919520394596342</v>
      </c>
      <c r="L295">
        <f t="shared" si="40"/>
        <v>0.7493438320209973</v>
      </c>
      <c r="M295">
        <f t="shared" si="41"/>
        <v>0.93696629972276435</v>
      </c>
      <c r="N295">
        <f t="shared" si="42"/>
        <v>0.7427821522309711</v>
      </c>
    </row>
    <row r="296" spans="1:14" x14ac:dyDescent="0.35">
      <c r="A296">
        <f t="shared" si="43"/>
        <v>16</v>
      </c>
      <c r="B296">
        <f t="shared" si="32"/>
        <v>0.12598425196850394</v>
      </c>
      <c r="C296">
        <f t="shared" si="33"/>
        <v>2.3756680778985229</v>
      </c>
      <c r="D296">
        <f t="shared" si="34"/>
        <v>5.7298034596069201</v>
      </c>
      <c r="E296">
        <f t="shared" si="44"/>
        <v>0.76377952755905509</v>
      </c>
      <c r="F296">
        <f t="shared" si="45"/>
        <v>0.93799048096803705</v>
      </c>
      <c r="G296">
        <f t="shared" si="35"/>
        <v>0.75590551181102361</v>
      </c>
      <c r="H296">
        <f t="shared" si="36"/>
        <v>0.75590551181102361</v>
      </c>
      <c r="I296">
        <f t="shared" si="37"/>
        <v>0.10498687664041995</v>
      </c>
      <c r="J296">
        <f t="shared" si="38"/>
        <v>1.979723398248769</v>
      </c>
      <c r="K296">
        <f t="shared" si="39"/>
        <v>3.979030180282582</v>
      </c>
      <c r="L296">
        <f t="shared" si="40"/>
        <v>0.7427821522309711</v>
      </c>
      <c r="M296">
        <f t="shared" si="41"/>
        <v>0.93650076279309491</v>
      </c>
      <c r="N296">
        <f t="shared" si="42"/>
        <v>0.73622047244094491</v>
      </c>
    </row>
    <row r="297" spans="1:14" x14ac:dyDescent="0.35">
      <c r="A297">
        <f t="shared" si="43"/>
        <v>15</v>
      </c>
      <c r="B297">
        <f t="shared" si="32"/>
        <v>0.11811023622047244</v>
      </c>
      <c r="C297">
        <f t="shared" si="33"/>
        <v>2.2271888230298651</v>
      </c>
      <c r="D297">
        <f t="shared" si="34"/>
        <v>5.0359600719201438</v>
      </c>
      <c r="E297">
        <f t="shared" si="44"/>
        <v>0.75590551181102361</v>
      </c>
      <c r="F297">
        <f t="shared" si="45"/>
        <v>0.93743183665243368</v>
      </c>
      <c r="G297">
        <f t="shared" si="35"/>
        <v>0.74803149606299213</v>
      </c>
      <c r="H297">
        <f t="shared" si="36"/>
        <v>0.74803149606299213</v>
      </c>
      <c r="I297">
        <f t="shared" si="37"/>
        <v>9.8425196850393692E-2</v>
      </c>
      <c r="J297">
        <f t="shared" si="38"/>
        <v>1.8559906858582209</v>
      </c>
      <c r="K297">
        <f t="shared" si="39"/>
        <v>3.4971944943889879</v>
      </c>
      <c r="L297">
        <f t="shared" si="40"/>
        <v>0.73622047244094491</v>
      </c>
      <c r="M297">
        <f t="shared" si="41"/>
        <v>0.93603522586342558</v>
      </c>
      <c r="N297">
        <f t="shared" si="42"/>
        <v>0.7296587926509186</v>
      </c>
    </row>
    <row r="298" spans="1:14" x14ac:dyDescent="0.35">
      <c r="A298">
        <f t="shared" si="43"/>
        <v>14</v>
      </c>
      <c r="B298">
        <f t="shared" si="32"/>
        <v>0.11023622047244094</v>
      </c>
      <c r="C298">
        <f t="shared" si="33"/>
        <v>2.0787095681612073</v>
      </c>
      <c r="D298">
        <f t="shared" si="34"/>
        <v>4.3868807737615469</v>
      </c>
      <c r="E298">
        <f t="shared" si="44"/>
        <v>0.74803149606299213</v>
      </c>
      <c r="F298">
        <f t="shared" si="45"/>
        <v>0.93687319233683053</v>
      </c>
      <c r="G298">
        <f t="shared" si="35"/>
        <v>0.74015748031496065</v>
      </c>
      <c r="H298">
        <f t="shared" si="36"/>
        <v>0.74015748031496065</v>
      </c>
      <c r="I298">
        <f t="shared" si="37"/>
        <v>9.1863517060367453E-2</v>
      </c>
      <c r="J298">
        <f t="shared" si="38"/>
        <v>1.7322579734676729</v>
      </c>
      <c r="K298">
        <f t="shared" si="39"/>
        <v>3.0464449817788521</v>
      </c>
      <c r="L298">
        <f t="shared" si="40"/>
        <v>0.7296587926509186</v>
      </c>
      <c r="M298">
        <f t="shared" si="41"/>
        <v>0.93556968893375614</v>
      </c>
      <c r="N298">
        <f t="shared" si="42"/>
        <v>0.7230971128608924</v>
      </c>
    </row>
    <row r="299" spans="1:14" x14ac:dyDescent="0.35">
      <c r="A299">
        <f t="shared" si="43"/>
        <v>13</v>
      </c>
      <c r="B299">
        <f t="shared" si="32"/>
        <v>0.10236220472440945</v>
      </c>
      <c r="C299">
        <f t="shared" si="33"/>
        <v>1.9302303132925498</v>
      </c>
      <c r="D299">
        <f t="shared" si="34"/>
        <v>3.7825655651311298</v>
      </c>
      <c r="E299">
        <f t="shared" si="44"/>
        <v>0.74015748031496065</v>
      </c>
      <c r="F299">
        <f t="shared" si="45"/>
        <v>0.93631454802122716</v>
      </c>
      <c r="G299">
        <f t="shared" si="35"/>
        <v>0.73228346456692917</v>
      </c>
      <c r="H299">
        <f t="shared" si="36"/>
        <v>0.73228346456692917</v>
      </c>
      <c r="I299">
        <f t="shared" si="37"/>
        <v>8.5301837270341199E-2</v>
      </c>
      <c r="J299">
        <f t="shared" si="38"/>
        <v>1.6085252610771248</v>
      </c>
      <c r="K299">
        <f t="shared" si="39"/>
        <v>2.6267816424521735</v>
      </c>
      <c r="L299">
        <f t="shared" si="40"/>
        <v>0.7230971128608924</v>
      </c>
      <c r="M299">
        <f t="shared" si="41"/>
        <v>0.93510415200408681</v>
      </c>
      <c r="N299">
        <f t="shared" si="42"/>
        <v>0.71653543307086609</v>
      </c>
    </row>
    <row r="300" spans="1:14" x14ac:dyDescent="0.35">
      <c r="A300">
        <f t="shared" si="43"/>
        <v>12</v>
      </c>
      <c r="B300">
        <f t="shared" si="32"/>
        <v>9.4488188976377951E-2</v>
      </c>
      <c r="C300">
        <f t="shared" si="33"/>
        <v>1.781751058423892</v>
      </c>
      <c r="D300">
        <f t="shared" si="34"/>
        <v>3.2230144460288916</v>
      </c>
      <c r="E300">
        <f t="shared" si="44"/>
        <v>0.73228346456692917</v>
      </c>
      <c r="F300">
        <f t="shared" si="45"/>
        <v>0.93575590370562389</v>
      </c>
      <c r="G300">
        <f t="shared" si="35"/>
        <v>0.72440944881889757</v>
      </c>
      <c r="H300">
        <f t="shared" si="36"/>
        <v>0.72440944881889757</v>
      </c>
      <c r="I300">
        <f t="shared" si="37"/>
        <v>7.874015748031496E-2</v>
      </c>
      <c r="J300">
        <f t="shared" si="38"/>
        <v>1.4847925486865767</v>
      </c>
      <c r="K300">
        <f t="shared" si="39"/>
        <v>2.2382044764089528</v>
      </c>
      <c r="L300">
        <f t="shared" si="40"/>
        <v>0.71653543307086609</v>
      </c>
      <c r="M300">
        <f t="shared" si="41"/>
        <v>0.93463861507441737</v>
      </c>
      <c r="N300">
        <f t="shared" si="42"/>
        <v>0.70997375328083989</v>
      </c>
    </row>
    <row r="301" spans="1:14" x14ac:dyDescent="0.35">
      <c r="A301">
        <f t="shared" si="43"/>
        <v>11</v>
      </c>
      <c r="B301">
        <f t="shared" si="32"/>
        <v>8.6614173228346455E-2</v>
      </c>
      <c r="C301">
        <f t="shared" si="33"/>
        <v>1.6332718035552345</v>
      </c>
      <c r="D301">
        <f t="shared" si="34"/>
        <v>2.7082274164548328</v>
      </c>
      <c r="E301">
        <f t="shared" si="44"/>
        <v>0.72440944881889757</v>
      </c>
      <c r="F301">
        <f t="shared" si="45"/>
        <v>0.93519725939002063</v>
      </c>
      <c r="G301">
        <f t="shared" si="35"/>
        <v>0.71653543307086609</v>
      </c>
      <c r="H301">
        <f t="shared" si="36"/>
        <v>0.71653543307086609</v>
      </c>
      <c r="I301">
        <f t="shared" si="37"/>
        <v>7.217847769028872E-2</v>
      </c>
      <c r="J301">
        <f t="shared" si="38"/>
        <v>1.3610598362960289</v>
      </c>
      <c r="K301">
        <f t="shared" si="39"/>
        <v>1.8807134836491899</v>
      </c>
      <c r="L301">
        <f t="shared" si="40"/>
        <v>0.70997375328083989</v>
      </c>
      <c r="M301">
        <f t="shared" si="41"/>
        <v>0.93417307814474804</v>
      </c>
      <c r="N301">
        <f t="shared" si="42"/>
        <v>0.70341207349081358</v>
      </c>
    </row>
    <row r="302" spans="1:14" x14ac:dyDescent="0.35">
      <c r="A302">
        <f t="shared" si="43"/>
        <v>10</v>
      </c>
      <c r="B302">
        <f t="shared" si="32"/>
        <v>7.874015748031496E-2</v>
      </c>
      <c r="C302">
        <f t="shared" si="33"/>
        <v>1.4847925486865767</v>
      </c>
      <c r="D302">
        <f t="shared" si="34"/>
        <v>2.2382044764089528</v>
      </c>
      <c r="E302">
        <f t="shared" si="44"/>
        <v>0.71653543307086609</v>
      </c>
      <c r="F302">
        <f t="shared" si="45"/>
        <v>0.93463861507441737</v>
      </c>
      <c r="G302">
        <f t="shared" si="35"/>
        <v>0.70866141732283461</v>
      </c>
      <c r="H302">
        <f t="shared" si="36"/>
        <v>0.70866141732283461</v>
      </c>
      <c r="I302">
        <f t="shared" si="37"/>
        <v>6.5616797900262466E-2</v>
      </c>
      <c r="J302">
        <f t="shared" si="38"/>
        <v>1.2373271239054806</v>
      </c>
      <c r="K302">
        <f t="shared" si="39"/>
        <v>1.554308664172884</v>
      </c>
      <c r="L302">
        <f t="shared" si="40"/>
        <v>0.70341207349081358</v>
      </c>
      <c r="M302">
        <f t="shared" si="41"/>
        <v>0.9337075412150786</v>
      </c>
      <c r="N302">
        <f t="shared" si="42"/>
        <v>0.69685039370078738</v>
      </c>
    </row>
    <row r="303" spans="1:14" x14ac:dyDescent="0.35">
      <c r="A303">
        <f t="shared" si="43"/>
        <v>9</v>
      </c>
      <c r="B303">
        <f t="shared" si="32"/>
        <v>7.0866141732283464E-2</v>
      </c>
      <c r="C303">
        <f t="shared" si="33"/>
        <v>1.3363132938179192</v>
      </c>
      <c r="D303">
        <f t="shared" si="34"/>
        <v>1.812945625891252</v>
      </c>
      <c r="E303">
        <f t="shared" si="44"/>
        <v>0.70866141732283461</v>
      </c>
      <c r="F303">
        <f t="shared" si="45"/>
        <v>0.9340799707588141</v>
      </c>
      <c r="G303">
        <f t="shared" si="35"/>
        <v>0.70078740157480313</v>
      </c>
      <c r="H303">
        <f t="shared" si="36"/>
        <v>0.70078740157480313</v>
      </c>
      <c r="I303">
        <f t="shared" si="37"/>
        <v>5.905511811023622E-2</v>
      </c>
      <c r="J303">
        <f t="shared" si="38"/>
        <v>1.1135944115149325</v>
      </c>
      <c r="K303">
        <f t="shared" si="39"/>
        <v>1.258990017980036</v>
      </c>
      <c r="L303">
        <f t="shared" si="40"/>
        <v>0.69685039370078738</v>
      </c>
      <c r="M303">
        <f t="shared" si="41"/>
        <v>0.93324200428540927</v>
      </c>
      <c r="N303">
        <f t="shared" si="42"/>
        <v>0.69028871391076119</v>
      </c>
    </row>
    <row r="304" spans="1:14" x14ac:dyDescent="0.35">
      <c r="A304">
        <f t="shared" si="43"/>
        <v>8</v>
      </c>
      <c r="B304">
        <f t="shared" si="32"/>
        <v>6.2992125984251968E-2</v>
      </c>
      <c r="C304">
        <f t="shared" si="33"/>
        <v>1.1878340389492614</v>
      </c>
      <c r="D304">
        <f t="shared" si="34"/>
        <v>1.43245086490173</v>
      </c>
      <c r="E304">
        <f t="shared" si="44"/>
        <v>0.70078740157480313</v>
      </c>
      <c r="F304">
        <f t="shared" si="45"/>
        <v>0.93352132644321084</v>
      </c>
      <c r="G304">
        <f t="shared" si="35"/>
        <v>0.69291338582677164</v>
      </c>
      <c r="H304">
        <f t="shared" si="36"/>
        <v>0.69291338582677164</v>
      </c>
      <c r="I304">
        <f t="shared" si="37"/>
        <v>5.2493438320209973E-2</v>
      </c>
      <c r="J304">
        <f t="shared" si="38"/>
        <v>0.98986169912438449</v>
      </c>
      <c r="K304">
        <f t="shared" si="39"/>
        <v>0.99475754507064551</v>
      </c>
      <c r="L304">
        <f t="shared" si="40"/>
        <v>0.69028871391076119</v>
      </c>
      <c r="M304">
        <f t="shared" si="41"/>
        <v>0.93277646735573982</v>
      </c>
      <c r="N304">
        <f t="shared" si="42"/>
        <v>0.68372703412073488</v>
      </c>
    </row>
    <row r="305" spans="1:14" x14ac:dyDescent="0.35">
      <c r="A305">
        <f t="shared" si="43"/>
        <v>7</v>
      </c>
      <c r="B305">
        <f t="shared" si="32"/>
        <v>5.5118110236220472E-2</v>
      </c>
      <c r="C305">
        <f t="shared" si="33"/>
        <v>1.0393547840806037</v>
      </c>
      <c r="D305">
        <f t="shared" si="34"/>
        <v>1.0967201934403867</v>
      </c>
      <c r="E305">
        <f t="shared" si="44"/>
        <v>0.69291338582677164</v>
      </c>
      <c r="F305">
        <f t="shared" si="45"/>
        <v>0.93296268212760758</v>
      </c>
      <c r="G305">
        <f t="shared" si="35"/>
        <v>0.68503937007874016</v>
      </c>
      <c r="H305">
        <f t="shared" si="36"/>
        <v>0.68503937007874016</v>
      </c>
      <c r="I305">
        <f t="shared" si="37"/>
        <v>4.5931758530183726E-2</v>
      </c>
      <c r="J305">
        <f t="shared" si="38"/>
        <v>0.86612898673383643</v>
      </c>
      <c r="K305">
        <f t="shared" si="39"/>
        <v>0.76161124544471304</v>
      </c>
      <c r="L305">
        <f t="shared" si="40"/>
        <v>0.68372703412073488</v>
      </c>
      <c r="M305">
        <f t="shared" si="41"/>
        <v>0.93231093042607038</v>
      </c>
      <c r="N305">
        <f t="shared" si="42"/>
        <v>0.67716535433070868</v>
      </c>
    </row>
    <row r="306" spans="1:14" x14ac:dyDescent="0.35">
      <c r="A306">
        <f t="shared" si="43"/>
        <v>6</v>
      </c>
      <c r="B306">
        <f t="shared" si="32"/>
        <v>4.7244094488188976E-2</v>
      </c>
      <c r="C306">
        <f t="shared" si="33"/>
        <v>0.89087552921194602</v>
      </c>
      <c r="D306">
        <f t="shared" si="34"/>
        <v>0.80575361150722291</v>
      </c>
      <c r="E306">
        <f t="shared" si="44"/>
        <v>0.68503937007874016</v>
      </c>
      <c r="F306">
        <f t="shared" si="45"/>
        <v>0.93240403781200432</v>
      </c>
      <c r="G306">
        <f t="shared" si="35"/>
        <v>0.67716535433070868</v>
      </c>
      <c r="H306">
        <f t="shared" si="36"/>
        <v>0.5595511191022382</v>
      </c>
      <c r="I306">
        <f t="shared" si="37"/>
        <v>3.937007874015748E-2</v>
      </c>
      <c r="J306">
        <f t="shared" si="38"/>
        <v>0.74239627434328836</v>
      </c>
      <c r="K306">
        <f t="shared" si="39"/>
        <v>0.5595511191022382</v>
      </c>
      <c r="L306">
        <f t="shared" si="40"/>
        <v>0.67716535433070868</v>
      </c>
      <c r="M306">
        <f t="shared" si="41"/>
        <v>0.93184539349640105</v>
      </c>
      <c r="N306">
        <f t="shared" si="42"/>
        <v>0.6186635619527403</v>
      </c>
    </row>
    <row r="307" spans="1:14" x14ac:dyDescent="0.35">
      <c r="A307">
        <f t="shared" si="43"/>
        <v>5</v>
      </c>
      <c r="B307">
        <f t="shared" si="32"/>
        <v>3.937007874015748E-2</v>
      </c>
      <c r="C307">
        <f t="shared" si="33"/>
        <v>0.74239627434328836</v>
      </c>
      <c r="D307">
        <f t="shared" si="34"/>
        <v>0.5595511191022382</v>
      </c>
      <c r="E307">
        <f t="shared" si="44"/>
        <v>0.67716535433070868</v>
      </c>
      <c r="F307">
        <f t="shared" si="45"/>
        <v>0.93184539349640105</v>
      </c>
      <c r="G307">
        <f t="shared" si="35"/>
        <v>0.59391701947463071</v>
      </c>
      <c r="H307">
        <f t="shared" si="36"/>
        <v>0.3581127162254325</v>
      </c>
      <c r="I307">
        <f t="shared" si="37"/>
        <v>3.2808398950131233E-2</v>
      </c>
      <c r="J307">
        <f t="shared" si="38"/>
        <v>0.6186635619527403</v>
      </c>
      <c r="K307">
        <f t="shared" si="39"/>
        <v>0.38857716604322101</v>
      </c>
      <c r="L307">
        <f t="shared" si="40"/>
        <v>0.67060367454068237</v>
      </c>
      <c r="M307">
        <f t="shared" si="41"/>
        <v>0.93137985656673161</v>
      </c>
      <c r="N307">
        <f t="shared" si="42"/>
        <v>0.49493084956219224</v>
      </c>
    </row>
    <row r="308" spans="1:14" x14ac:dyDescent="0.35">
      <c r="A308">
        <f t="shared" si="43"/>
        <v>4</v>
      </c>
      <c r="B308">
        <f t="shared" si="32"/>
        <v>3.1496062992125984E-2</v>
      </c>
      <c r="C308">
        <f t="shared" si="33"/>
        <v>0.59391701947463071</v>
      </c>
      <c r="D308">
        <f t="shared" si="34"/>
        <v>0.3581127162254325</v>
      </c>
      <c r="E308">
        <f t="shared" si="44"/>
        <v>0.66929133858267709</v>
      </c>
      <c r="F308">
        <f t="shared" si="45"/>
        <v>0.93128674918079779</v>
      </c>
      <c r="G308">
        <f t="shared" si="35"/>
        <v>0.44543776460597301</v>
      </c>
      <c r="H308">
        <f t="shared" si="36"/>
        <v>0.20143840287680573</v>
      </c>
      <c r="I308">
        <f t="shared" si="37"/>
        <v>2.6246719160104987E-2</v>
      </c>
      <c r="J308">
        <f t="shared" si="38"/>
        <v>0.49493084956219224</v>
      </c>
      <c r="K308">
        <f t="shared" si="39"/>
        <v>0.24868938626766138</v>
      </c>
      <c r="L308">
        <f t="shared" si="40"/>
        <v>0.66404199475065617</v>
      </c>
      <c r="M308">
        <f t="shared" si="41"/>
        <v>0.93091431963706228</v>
      </c>
      <c r="N308">
        <f t="shared" si="42"/>
        <v>0.37119813717164418</v>
      </c>
    </row>
    <row r="309" spans="1:14" x14ac:dyDescent="0.35">
      <c r="A309">
        <f t="shared" si="43"/>
        <v>3</v>
      </c>
      <c r="B309">
        <f t="shared" si="32"/>
        <v>2.3622047244094488E-2</v>
      </c>
      <c r="C309">
        <f t="shared" si="33"/>
        <v>0.44543776460597301</v>
      </c>
      <c r="D309">
        <f t="shared" si="34"/>
        <v>0.20143840287680573</v>
      </c>
      <c r="E309">
        <f t="shared" si="44"/>
        <v>0.6614173228346456</v>
      </c>
      <c r="F309">
        <f t="shared" si="45"/>
        <v>0.93072810486519453</v>
      </c>
      <c r="G309">
        <f t="shared" si="35"/>
        <v>0.29695850973731536</v>
      </c>
      <c r="H309">
        <f t="shared" si="36"/>
        <v>8.9528179056358126E-2</v>
      </c>
      <c r="I309">
        <f t="shared" si="37"/>
        <v>1.968503937007874E-2</v>
      </c>
      <c r="J309">
        <f t="shared" si="38"/>
        <v>0.37119813717164418</v>
      </c>
      <c r="K309">
        <f t="shared" si="39"/>
        <v>0.13988777977555955</v>
      </c>
      <c r="L309">
        <f t="shared" si="40"/>
        <v>0.65748031496062986</v>
      </c>
      <c r="M309">
        <f t="shared" si="41"/>
        <v>0.93044878270739284</v>
      </c>
      <c r="N309">
        <f t="shared" si="42"/>
        <v>0.24746542478109612</v>
      </c>
    </row>
    <row r="310" spans="1:14" x14ac:dyDescent="0.35">
      <c r="A310">
        <f t="shared" si="43"/>
        <v>2</v>
      </c>
      <c r="B310">
        <f t="shared" si="32"/>
        <v>1.5748031496062992E-2</v>
      </c>
      <c r="C310">
        <f t="shared" si="33"/>
        <v>0.29695850973731536</v>
      </c>
      <c r="D310">
        <f t="shared" si="34"/>
        <v>8.9528179056358126E-2</v>
      </c>
      <c r="E310">
        <f t="shared" si="44"/>
        <v>0.65354330708661412</v>
      </c>
      <c r="F310">
        <f t="shared" si="45"/>
        <v>0.93016946054959126</v>
      </c>
      <c r="G310">
        <f t="shared" si="35"/>
        <v>0.14847925486865768</v>
      </c>
      <c r="H310">
        <f t="shared" si="36"/>
        <v>2.2382044764089531E-2</v>
      </c>
      <c r="I310">
        <f t="shared" si="37"/>
        <v>1.3123359580052493E-2</v>
      </c>
      <c r="J310">
        <f t="shared" si="38"/>
        <v>0.24746542478109612</v>
      </c>
      <c r="K310">
        <f t="shared" si="39"/>
        <v>6.2172346566915344E-2</v>
      </c>
      <c r="L310">
        <f t="shared" si="40"/>
        <v>0.65091863517060367</v>
      </c>
      <c r="M310">
        <f t="shared" si="41"/>
        <v>0.92998324577772351</v>
      </c>
      <c r="N310">
        <f t="shared" si="42"/>
        <v>0.12373271239054806</v>
      </c>
    </row>
    <row r="311" spans="1:14" x14ac:dyDescent="0.35">
      <c r="A311">
        <f t="shared" si="43"/>
        <v>1</v>
      </c>
      <c r="B311">
        <f t="shared" si="32"/>
        <v>7.874015748031496E-3</v>
      </c>
      <c r="C311">
        <f t="shared" si="33"/>
        <v>0.14847925486865768</v>
      </c>
      <c r="D311">
        <f t="shared" si="34"/>
        <v>2.2382044764089531E-2</v>
      </c>
      <c r="E311">
        <f t="shared" si="44"/>
        <v>0.64566929133858264</v>
      </c>
      <c r="F311">
        <f t="shared" si="45"/>
        <v>0.929610816233988</v>
      </c>
      <c r="G311">
        <f t="shared" si="35"/>
        <v>0</v>
      </c>
      <c r="H311">
        <f t="shared" si="36"/>
        <v>0</v>
      </c>
      <c r="I311">
        <f t="shared" si="37"/>
        <v>6.5616797900262466E-3</v>
      </c>
      <c r="J311">
        <f t="shared" si="38"/>
        <v>0.12373271239054806</v>
      </c>
      <c r="K311">
        <f t="shared" si="39"/>
        <v>1.5543086641728836E-2</v>
      </c>
      <c r="L311">
        <f t="shared" si="40"/>
        <v>0.64435695538057736</v>
      </c>
      <c r="M311">
        <f t="shared" si="41"/>
        <v>0.92951770884805407</v>
      </c>
      <c r="N311">
        <f t="shared" si="42"/>
        <v>0</v>
      </c>
    </row>
    <row r="312" spans="1:14" x14ac:dyDescent="0.35">
      <c r="A312">
        <f t="shared" si="43"/>
        <v>0</v>
      </c>
      <c r="B312">
        <f t="shared" si="32"/>
        <v>0</v>
      </c>
      <c r="C312">
        <f t="shared" si="33"/>
        <v>0</v>
      </c>
      <c r="D312">
        <f t="shared" si="34"/>
        <v>0</v>
      </c>
      <c r="E312">
        <f t="shared" si="44"/>
        <v>0.63779527559055116</v>
      </c>
      <c r="F312">
        <f t="shared" si="45"/>
        <v>0.92905217191838463</v>
      </c>
      <c r="G312">
        <f t="shared" si="35"/>
        <v>0</v>
      </c>
      <c r="H312">
        <f t="shared" si="36"/>
        <v>0</v>
      </c>
      <c r="I312">
        <f t="shared" si="37"/>
        <v>0</v>
      </c>
      <c r="J312">
        <f t="shared" si="38"/>
        <v>0</v>
      </c>
      <c r="K312">
        <f t="shared" si="39"/>
        <v>0</v>
      </c>
      <c r="L312">
        <f t="shared" si="40"/>
        <v>0.63779527559055116</v>
      </c>
      <c r="M312">
        <f t="shared" si="41"/>
        <v>0.92905217191838463</v>
      </c>
      <c r="N312">
        <f t="shared" si="42"/>
        <v>0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351"/>
  <sheetViews>
    <sheetView zoomScale="85" zoomScaleNormal="85" workbookViewId="0">
      <pane xSplit="1" ySplit="3" topLeftCell="M121" activePane="bottomRight" state="frozen"/>
      <selection pane="topRight" activeCell="B1" sqref="B1"/>
      <selection pane="bottomLeft" activeCell="A4" sqref="A4"/>
      <selection pane="bottomRight" activeCell="C4" sqref="C4"/>
    </sheetView>
  </sheetViews>
  <sheetFormatPr defaultRowHeight="14.5" outlineLevelRow="2" x14ac:dyDescent="0.35"/>
  <cols>
    <col min="4" max="5" width="12.81640625" bestFit="1" customWidth="1"/>
    <col min="6" max="7" width="12.81640625" customWidth="1"/>
    <col min="8" max="14" width="8.81640625" style="1"/>
    <col min="15" max="15" width="9.6328125" style="1" bestFit="1" customWidth="1"/>
    <col min="16" max="53" width="8.81640625" style="1"/>
  </cols>
  <sheetData>
    <row r="1" spans="1:55" x14ac:dyDescent="0.35">
      <c r="C1" t="s">
        <v>136</v>
      </c>
      <c r="H1" s="6">
        <f>ROUND((H2+0.5)*127,0)</f>
        <v>127</v>
      </c>
      <c r="I1" s="6">
        <f t="shared" ref="I1:BA1" si="0">ROUND((I2+0.5)*127,0)</f>
        <v>64</v>
      </c>
      <c r="J1" s="6">
        <f t="shared" si="0"/>
        <v>126</v>
      </c>
      <c r="K1" s="6">
        <f t="shared" si="0"/>
        <v>124</v>
      </c>
      <c r="L1" s="6">
        <f t="shared" si="0"/>
        <v>123</v>
      </c>
      <c r="M1" s="6">
        <f t="shared" si="0"/>
        <v>122</v>
      </c>
      <c r="N1" s="6">
        <f t="shared" si="0"/>
        <v>121</v>
      </c>
      <c r="O1" s="6">
        <f t="shared" si="0"/>
        <v>118</v>
      </c>
      <c r="P1" s="6">
        <f t="shared" si="0"/>
        <v>114</v>
      </c>
      <c r="Q1" s="6"/>
      <c r="R1" s="6">
        <f t="shared" si="0"/>
        <v>108</v>
      </c>
      <c r="S1" s="6"/>
      <c r="T1" s="6">
        <f t="shared" si="0"/>
        <v>102</v>
      </c>
      <c r="U1" s="6"/>
      <c r="V1" s="6">
        <f t="shared" si="0"/>
        <v>91</v>
      </c>
      <c r="W1" s="6"/>
      <c r="X1" s="6">
        <f t="shared" si="0"/>
        <v>89</v>
      </c>
      <c r="Y1" s="6"/>
      <c r="Z1" s="6">
        <f t="shared" si="0"/>
        <v>83</v>
      </c>
      <c r="AA1" s="6"/>
      <c r="AB1" s="6">
        <f t="shared" si="0"/>
        <v>76</v>
      </c>
      <c r="AC1" s="6"/>
      <c r="AD1" s="6">
        <f t="shared" si="0"/>
        <v>70</v>
      </c>
      <c r="AE1" s="6"/>
      <c r="AF1" s="6">
        <f t="shared" si="0"/>
        <v>66</v>
      </c>
      <c r="AG1" s="6"/>
      <c r="AH1" s="6">
        <f t="shared" si="0"/>
        <v>65</v>
      </c>
      <c r="AI1" s="6">
        <f t="shared" si="0"/>
        <v>64</v>
      </c>
      <c r="AJ1" s="6"/>
      <c r="AK1" s="6">
        <f t="shared" si="0"/>
        <v>62</v>
      </c>
      <c r="AL1" s="6">
        <f t="shared" si="0"/>
        <v>57</v>
      </c>
      <c r="AM1" s="6"/>
      <c r="AN1" s="6">
        <f t="shared" si="0"/>
        <v>51</v>
      </c>
      <c r="AO1" s="6"/>
      <c r="AP1" s="6">
        <f t="shared" si="0"/>
        <v>38</v>
      </c>
      <c r="AQ1" s="6"/>
      <c r="AR1" s="6">
        <f t="shared" si="0"/>
        <v>25</v>
      </c>
      <c r="AS1" s="6"/>
      <c r="AT1" s="6">
        <f t="shared" si="0"/>
        <v>19</v>
      </c>
      <c r="AU1" s="6">
        <f t="shared" si="0"/>
        <v>13</v>
      </c>
      <c r="AV1" s="6">
        <f t="shared" si="0"/>
        <v>6</v>
      </c>
      <c r="AW1" s="6">
        <f t="shared" si="0"/>
        <v>5</v>
      </c>
      <c r="AX1" s="6">
        <f t="shared" si="0"/>
        <v>4</v>
      </c>
      <c r="AY1" s="6">
        <f t="shared" si="0"/>
        <v>3</v>
      </c>
      <c r="AZ1" s="6">
        <f t="shared" si="0"/>
        <v>1</v>
      </c>
      <c r="BA1" s="6">
        <f t="shared" si="0"/>
        <v>0</v>
      </c>
    </row>
    <row r="2" spans="1:55" x14ac:dyDescent="0.35">
      <c r="A2" t="s">
        <v>4</v>
      </c>
      <c r="B2" t="s">
        <v>5</v>
      </c>
      <c r="C2">
        <v>110</v>
      </c>
      <c r="D2" t="s">
        <v>137</v>
      </c>
      <c r="E2" t="s">
        <v>138</v>
      </c>
      <c r="H2" s="1">
        <v>0.5</v>
      </c>
      <c r="J2" s="1">
        <v>0.49</v>
      </c>
      <c r="K2" s="1">
        <v>0.48</v>
      </c>
      <c r="L2" s="1">
        <v>0.47</v>
      </c>
      <c r="M2" s="1">
        <v>0.45999999999999996</v>
      </c>
      <c r="N2" s="1">
        <v>0.44999999999999996</v>
      </c>
      <c r="O2" s="1">
        <v>0.43</v>
      </c>
      <c r="P2" s="1">
        <v>0.4</v>
      </c>
      <c r="R2" s="1">
        <v>0.35</v>
      </c>
      <c r="T2" s="1">
        <v>0.30000000000000004</v>
      </c>
      <c r="V2" s="1">
        <v>0.22</v>
      </c>
      <c r="X2" s="1">
        <v>0.19999999999999996</v>
      </c>
      <c r="Z2" s="1">
        <v>0.15</v>
      </c>
      <c r="AB2" s="1">
        <v>9.9999999999999978E-2</v>
      </c>
      <c r="AD2" s="1">
        <v>0.05</v>
      </c>
      <c r="AF2" s="1">
        <v>0.02</v>
      </c>
      <c r="AH2" s="1">
        <v>0.01</v>
      </c>
      <c r="AI2" s="1">
        <v>0</v>
      </c>
      <c r="AJ2" s="1" t="s">
        <v>13</v>
      </c>
      <c r="AK2" s="1">
        <v>-0.01</v>
      </c>
      <c r="AL2" s="1">
        <v>-0.05</v>
      </c>
      <c r="AM2" s="1" t="s">
        <v>14</v>
      </c>
      <c r="AN2" s="1">
        <v>-9.9999999999999978E-2</v>
      </c>
      <c r="AO2" s="1" t="s">
        <v>7</v>
      </c>
      <c r="AP2" s="1">
        <v>-0.2</v>
      </c>
      <c r="AQ2" s="1" t="s">
        <v>6</v>
      </c>
      <c r="AR2" s="1">
        <v>-0.3</v>
      </c>
      <c r="AT2" s="1">
        <v>-0.35</v>
      </c>
      <c r="AU2" s="1">
        <v>-0.4</v>
      </c>
      <c r="AV2" s="1">
        <v>-0.45</v>
      </c>
      <c r="AW2" s="1">
        <v>-0.46</v>
      </c>
      <c r="AX2" s="1">
        <v>-0.47</v>
      </c>
      <c r="AY2" s="1">
        <v>-0.48</v>
      </c>
      <c r="AZ2" s="1">
        <v>-0.49</v>
      </c>
      <c r="BA2" s="1">
        <v>-0.5</v>
      </c>
    </row>
    <row r="3" spans="1:55" x14ac:dyDescent="0.35">
      <c r="B3">
        <v>0</v>
      </c>
      <c r="C3">
        <v>0.5</v>
      </c>
      <c r="D3">
        <f>(1-$C$3)^2.75*12.8</f>
        <v>1.9027313840043538</v>
      </c>
      <c r="E3">
        <f>(1-$C$3)^(1-$C$3*0.5)*2</f>
        <v>1.189207115002721</v>
      </c>
      <c r="H3" s="1">
        <v>295</v>
      </c>
      <c r="P3" s="1">
        <v>293</v>
      </c>
      <c r="R3" s="1">
        <v>293</v>
      </c>
      <c r="T3" s="1">
        <v>294</v>
      </c>
      <c r="V3" s="1">
        <v>292</v>
      </c>
      <c r="X3" s="1">
        <v>292</v>
      </c>
      <c r="Z3" s="1">
        <v>292</v>
      </c>
      <c r="AB3" s="1">
        <v>291</v>
      </c>
      <c r="AD3" s="1">
        <v>288</v>
      </c>
      <c r="AF3" s="1">
        <v>290</v>
      </c>
      <c r="AI3" s="1">
        <v>290</v>
      </c>
      <c r="AL3" s="1">
        <v>288</v>
      </c>
      <c r="AN3" s="1">
        <v>286</v>
      </c>
      <c r="AR3" s="1">
        <v>275</v>
      </c>
      <c r="BA3" s="1">
        <v>256</v>
      </c>
    </row>
    <row r="4" spans="1:55" x14ac:dyDescent="0.35">
      <c r="A4">
        <v>127</v>
      </c>
      <c r="B4">
        <f>A4/127</f>
        <v>1</v>
      </c>
      <c r="D4">
        <f>$B4^D$3</f>
        <v>1</v>
      </c>
      <c r="E4">
        <f>$B4^E$3</f>
        <v>1</v>
      </c>
      <c r="F4">
        <f>POWER(1-D4,2.75)*12.8</f>
        <v>0</v>
      </c>
      <c r="G4">
        <f t="shared" ref="G4:G35" si="1">POWER(B4,0.5)</f>
        <v>1</v>
      </c>
      <c r="H4" s="1">
        <v>295</v>
      </c>
      <c r="I4" s="1">
        <f>(H4-H$131)/(H$3-H$131)</f>
        <v>1</v>
      </c>
      <c r="P4" s="1">
        <v>293</v>
      </c>
      <c r="Q4" s="1">
        <f>(P4-P$131)/(P$3-P$131)</f>
        <v>1</v>
      </c>
      <c r="R4" s="1">
        <v>293</v>
      </c>
      <c r="S4" s="1">
        <f>(R4-R$131)/(R$3-R$131)</f>
        <v>1</v>
      </c>
      <c r="T4" s="1">
        <v>294</v>
      </c>
      <c r="U4" s="1">
        <f>(T4-T$131)/(T$3-T$131)</f>
        <v>1</v>
      </c>
      <c r="V4" s="1">
        <v>292</v>
      </c>
      <c r="W4" s="1">
        <f>(V4-V$131)/(V$3-V$131)</f>
        <v>1</v>
      </c>
      <c r="X4" s="1">
        <v>292</v>
      </c>
      <c r="Y4" s="1">
        <f>(X4-X$131)/(X$3-X$131)</f>
        <v>1</v>
      </c>
      <c r="Z4" s="1">
        <v>292</v>
      </c>
      <c r="AA4" s="1">
        <f>(Z4-Z$131)/(Z$3-Z$131)</f>
        <v>1</v>
      </c>
      <c r="AB4" s="1">
        <v>291</v>
      </c>
      <c r="AC4" s="1">
        <f>(AB4-AB$131)/(AB$3-AB$131)</f>
        <v>1</v>
      </c>
      <c r="AD4" s="1">
        <v>288</v>
      </c>
      <c r="AE4" s="1">
        <f>(AD4-AD$131)/(AD$3-AD$131)</f>
        <v>1</v>
      </c>
      <c r="AF4" s="1">
        <v>290</v>
      </c>
      <c r="AG4" s="1">
        <f>(AF4-AF$131)/(AF$3-AF$131)</f>
        <v>1</v>
      </c>
      <c r="AI4" s="1">
        <v>290</v>
      </c>
      <c r="AJ4" s="1">
        <f>(AI4-AI$131)/(AI$3-AI$131)</f>
        <v>1</v>
      </c>
      <c r="AL4" s="1">
        <v>288</v>
      </c>
      <c r="AM4" s="1">
        <f>(AL4-AL$131)/(AL$3-AL$131)</f>
        <v>1</v>
      </c>
      <c r="AN4" s="1">
        <v>286</v>
      </c>
      <c r="AO4" s="1">
        <f>(AN4-AN$131)/(AN$3-AN$131)</f>
        <v>1</v>
      </c>
      <c r="AR4" s="1">
        <v>275</v>
      </c>
      <c r="AS4" s="1">
        <f>(AR4-AR$131)/(AR$3-AR$131)</f>
        <v>1</v>
      </c>
      <c r="BA4" s="1">
        <v>256</v>
      </c>
      <c r="BB4" s="1">
        <f>(BA4-BA$131)/(BA$3-BA$131)</f>
        <v>1</v>
      </c>
      <c r="BC4" s="1">
        <f>BB4-BB5</f>
        <v>0.15056660591172044</v>
      </c>
    </row>
    <row r="5" spans="1:55" outlineLevel="1" x14ac:dyDescent="0.35">
      <c r="A5">
        <f>A4-1</f>
        <v>126</v>
      </c>
      <c r="B5">
        <f t="shared" ref="B5:B68" si="2">A5/127</f>
        <v>0.99212598425196852</v>
      </c>
      <c r="D5">
        <f t="shared" ref="D5:E68" si="3">$B5^D$3</f>
        <v>0.98507112416340792</v>
      </c>
      <c r="E5">
        <f t="shared" si="3"/>
        <v>0.9906431545594736</v>
      </c>
      <c r="F5">
        <f t="shared" ref="F5:F68" si="4">POWER(1-D5,2.75)*12.8</f>
        <v>1.2183849091778675E-4</v>
      </c>
      <c r="G5">
        <f t="shared" si="1"/>
        <v>0.99605521144762277</v>
      </c>
      <c r="BA5" s="1">
        <v>218</v>
      </c>
      <c r="BB5" s="1">
        <f>(BA5-BA$131)/(BA$3-BA$131)</f>
        <v>0.84943339408827956</v>
      </c>
      <c r="BC5" s="1">
        <f t="shared" ref="BC5:BC12" si="5">BB5-BB6</f>
        <v>0.13471748949996032</v>
      </c>
    </row>
    <row r="6" spans="1:55" outlineLevel="1" x14ac:dyDescent="0.35">
      <c r="A6">
        <f t="shared" ref="A6:A69" si="6">A5-1</f>
        <v>125</v>
      </c>
      <c r="B6">
        <f t="shared" si="2"/>
        <v>0.98425196850393704</v>
      </c>
      <c r="D6">
        <f t="shared" si="3"/>
        <v>0.97024882514845578</v>
      </c>
      <c r="E6">
        <f t="shared" si="3"/>
        <v>0.98130034935670485</v>
      </c>
      <c r="F6">
        <f t="shared" si="4"/>
        <v>8.1160796531896257E-4</v>
      </c>
      <c r="G6">
        <f t="shared" si="1"/>
        <v>0.99209473766568135</v>
      </c>
      <c r="BA6" s="1">
        <v>184</v>
      </c>
      <c r="BB6" s="1">
        <f>(BA6-BA$131)/(BA$3-BA$131)</f>
        <v>0.71471590458831924</v>
      </c>
      <c r="BC6" s="1">
        <f t="shared" si="5"/>
        <v>0.12283065219114042</v>
      </c>
    </row>
    <row r="7" spans="1:55" outlineLevel="1" x14ac:dyDescent="0.35">
      <c r="A7">
        <f t="shared" si="6"/>
        <v>124</v>
      </c>
      <c r="B7">
        <f t="shared" si="2"/>
        <v>0.97637795275590555</v>
      </c>
      <c r="D7">
        <f t="shared" si="3"/>
        <v>0.95553318559079026</v>
      </c>
      <c r="E7">
        <f t="shared" si="3"/>
        <v>0.97197167539453588</v>
      </c>
      <c r="F7">
        <f t="shared" si="4"/>
        <v>2.4508064727196939E-3</v>
      </c>
      <c r="G7">
        <f t="shared" si="1"/>
        <v>0.98811839005045621</v>
      </c>
      <c r="BA7" s="1">
        <v>153</v>
      </c>
      <c r="BB7" s="1">
        <f t="shared" ref="BB7:BB13" si="7">(BA7-BA$131)/(BA$3-BA$131)</f>
        <v>0.59188525239717882</v>
      </c>
      <c r="BC7" s="1">
        <f t="shared" si="5"/>
        <v>0.1109438148823203</v>
      </c>
    </row>
    <row r="8" spans="1:55" outlineLevel="1" x14ac:dyDescent="0.35">
      <c r="A8">
        <f t="shared" si="6"/>
        <v>123</v>
      </c>
      <c r="B8">
        <f t="shared" si="2"/>
        <v>0.96850393700787396</v>
      </c>
      <c r="D8">
        <f t="shared" si="3"/>
        <v>0.94092428885466717</v>
      </c>
      <c r="E8">
        <f t="shared" si="3"/>
        <v>0.96265722500376882</v>
      </c>
      <c r="F8">
        <f t="shared" si="4"/>
        <v>5.3528442249855396E-3</v>
      </c>
      <c r="G8">
        <f t="shared" si="1"/>
        <v>0.98412597618794417</v>
      </c>
      <c r="AI8" s="1">
        <v>273</v>
      </c>
      <c r="AJ8" s="1">
        <f>(AI8-AD$131)/(AD$3-AD$131)</f>
        <v>0.94596541786743515</v>
      </c>
      <c r="BA8" s="1">
        <v>125</v>
      </c>
      <c r="BB8" s="1">
        <f t="shared" si="7"/>
        <v>0.48094143751485852</v>
      </c>
      <c r="BC8" s="1">
        <f t="shared" si="5"/>
        <v>0.1069815357793803</v>
      </c>
    </row>
    <row r="9" spans="1:55" outlineLevel="1" x14ac:dyDescent="0.35">
      <c r="A9">
        <f t="shared" si="6"/>
        <v>122</v>
      </c>
      <c r="B9">
        <f t="shared" si="2"/>
        <v>0.96062992125984248</v>
      </c>
      <c r="D9">
        <f t="shared" si="3"/>
        <v>0.9264222190453314</v>
      </c>
      <c r="E9">
        <f t="shared" si="3"/>
        <v>0.95335709187349182</v>
      </c>
      <c r="F9">
        <f t="shared" si="4"/>
        <v>9.7895641225686277E-3</v>
      </c>
      <c r="G9">
        <f t="shared" si="1"/>
        <v>0.98011729974521034</v>
      </c>
      <c r="BA9" s="1">
        <v>98</v>
      </c>
      <c r="BB9" s="1">
        <f t="shared" si="7"/>
        <v>0.37395990173547822</v>
      </c>
      <c r="BC9" s="1">
        <f t="shared" si="5"/>
        <v>8.8755051905856253E-2</v>
      </c>
    </row>
    <row r="10" spans="1:55" outlineLevel="1" x14ac:dyDescent="0.35">
      <c r="A10">
        <f t="shared" si="6"/>
        <v>121</v>
      </c>
      <c r="B10">
        <f t="shared" si="2"/>
        <v>0.952755905511811</v>
      </c>
      <c r="D10">
        <f t="shared" si="3"/>
        <v>0.91202706102170705</v>
      </c>
      <c r="E10">
        <f t="shared" si="3"/>
        <v>0.94407137108234862</v>
      </c>
      <c r="F10">
        <f t="shared" si="4"/>
        <v>1.6001842718943952E-2</v>
      </c>
      <c r="G10">
        <f t="shared" si="1"/>
        <v>0.97609216035772517</v>
      </c>
      <c r="BA10" s="1">
        <v>75.599999999999994</v>
      </c>
      <c r="BB10" s="1">
        <f t="shared" si="7"/>
        <v>0.28520484982962196</v>
      </c>
      <c r="BC10" s="1">
        <f t="shared" si="5"/>
        <v>7.369839131468417E-2</v>
      </c>
    </row>
    <row r="11" spans="1:55" x14ac:dyDescent="0.35">
      <c r="A11">
        <f t="shared" si="6"/>
        <v>120</v>
      </c>
      <c r="B11">
        <f t="shared" si="2"/>
        <v>0.94488188976377951</v>
      </c>
      <c r="D11">
        <f t="shared" si="3"/>
        <v>0.89773890040941418</v>
      </c>
      <c r="E11">
        <f t="shared" si="3"/>
        <v>0.93480015913079506</v>
      </c>
      <c r="F11">
        <f t="shared" si="4"/>
        <v>2.4205481712074615E-2</v>
      </c>
      <c r="G11">
        <f t="shared" si="1"/>
        <v>0.97205035351250169</v>
      </c>
      <c r="X11" s="1">
        <v>284</v>
      </c>
      <c r="Y11" s="1">
        <f>(X11-X$131)/(X$3-X$131)</f>
        <v>0.97158081705150978</v>
      </c>
      <c r="AI11" s="1">
        <v>260</v>
      </c>
      <c r="AJ11" s="1">
        <f>(AI11-AD$131)/(AD$3-AD$131)</f>
        <v>0.89913544668587886</v>
      </c>
      <c r="AN11" s="1">
        <v>226</v>
      </c>
      <c r="AO11" s="1">
        <f>(AN11-AN$131)/(AN$3-AN$131)</f>
        <v>0.78749778643527524</v>
      </c>
      <c r="AR11" s="1">
        <v>153</v>
      </c>
      <c r="AS11" s="1">
        <f>(AR11-AR$131)/(AR$3-AR$131)</f>
        <v>0.55039616731159013</v>
      </c>
      <c r="BA11" s="1">
        <v>57</v>
      </c>
      <c r="BB11" s="1">
        <f t="shared" si="7"/>
        <v>0.2115064585149378</v>
      </c>
      <c r="BC11" s="1">
        <f t="shared" si="5"/>
        <v>1.2679293129408048E-2</v>
      </c>
    </row>
    <row r="12" spans="1:55" x14ac:dyDescent="0.35">
      <c r="A12">
        <f t="shared" si="6"/>
        <v>119</v>
      </c>
      <c r="B12">
        <f t="shared" si="2"/>
        <v>0.93700787401574803</v>
      </c>
      <c r="D12">
        <f t="shared" si="3"/>
        <v>0.88355782361411861</v>
      </c>
      <c r="E12">
        <f t="shared" si="3"/>
        <v>0.92554355397437693</v>
      </c>
      <c r="F12">
        <f t="shared" si="4"/>
        <v>3.4594999881566418E-2</v>
      </c>
      <c r="G12">
        <f t="shared" si="1"/>
        <v>0.96799167042684209</v>
      </c>
      <c r="BA12" s="1">
        <v>53.8</v>
      </c>
      <c r="BB12" s="1">
        <f t="shared" si="7"/>
        <v>0.19882716538552975</v>
      </c>
      <c r="BC12" s="1">
        <f t="shared" si="5"/>
        <v>7.9245582058800057E-3</v>
      </c>
    </row>
    <row r="13" spans="1:55" x14ac:dyDescent="0.35">
      <c r="A13">
        <f t="shared" si="6"/>
        <v>118</v>
      </c>
      <c r="B13">
        <f t="shared" si="2"/>
        <v>0.92913385826771655</v>
      </c>
      <c r="D13">
        <f t="shared" si="3"/>
        <v>0.86948391783522827</v>
      </c>
      <c r="E13">
        <f t="shared" si="3"/>
        <v>0.91630165505807437</v>
      </c>
      <c r="F13">
        <f t="shared" si="4"/>
        <v>4.734630030951556E-2</v>
      </c>
      <c r="G13">
        <f t="shared" si="1"/>
        <v>0.96391589792248811</v>
      </c>
      <c r="AR13" s="1">
        <v>125</v>
      </c>
      <c r="AS13" s="1">
        <f>(AR13-AR$131)/(AR$3-AR$131)</f>
        <v>0.44720840243228299</v>
      </c>
      <c r="BA13" s="1">
        <v>51.8</v>
      </c>
      <c r="BB13" s="1">
        <f t="shared" si="7"/>
        <v>0.19090260717964974</v>
      </c>
      <c r="BC13" s="1"/>
    </row>
    <row r="14" spans="1:55" x14ac:dyDescent="0.35">
      <c r="A14">
        <f t="shared" si="6"/>
        <v>117</v>
      </c>
      <c r="B14">
        <f t="shared" si="2"/>
        <v>0.92125984251968507</v>
      </c>
      <c r="D14">
        <f t="shared" si="3"/>
        <v>0.85551727107994757</v>
      </c>
      <c r="E14">
        <f t="shared" si="3"/>
        <v>0.90707456335175385</v>
      </c>
      <c r="F14">
        <f t="shared" si="4"/>
        <v>6.2618663362858082E-2</v>
      </c>
      <c r="G14">
        <f t="shared" si="1"/>
        <v>0.95982281829496274</v>
      </c>
      <c r="AR14" s="1">
        <v>112</v>
      </c>
      <c r="AS14" s="1">
        <f>(AR14-AR$131)/(AR$3-AR$131)</f>
        <v>0.39929979730974752</v>
      </c>
    </row>
    <row r="15" spans="1:55" x14ac:dyDescent="0.35">
      <c r="A15">
        <f t="shared" si="6"/>
        <v>116</v>
      </c>
      <c r="B15">
        <f t="shared" si="2"/>
        <v>0.91338582677165359</v>
      </c>
      <c r="D15">
        <f t="shared" si="3"/>
        <v>0.841657972177703</v>
      </c>
      <c r="E15">
        <f t="shared" si="3"/>
        <v>0.89786238138677399</v>
      </c>
      <c r="F15">
        <f t="shared" si="4"/>
        <v>8.055630294102023E-2</v>
      </c>
      <c r="G15">
        <f t="shared" si="1"/>
        <v>0.95571220917787458</v>
      </c>
      <c r="AI15" s="1">
        <v>243</v>
      </c>
      <c r="AJ15" s="1">
        <f>(AI15-AD$131)/(AD$3-AD$131)</f>
        <v>0.83789625360230535</v>
      </c>
      <c r="AN15" s="1">
        <v>197</v>
      </c>
      <c r="AO15" s="1">
        <f>(AN15-AN$131)/(AN$3-AN$131)</f>
        <v>0.68478838321232505</v>
      </c>
      <c r="AR15" s="1">
        <v>106</v>
      </c>
      <c r="AS15" s="1">
        <f>(AR15-AR$131)/(AR$3-AR$131)</f>
        <v>0.37718813340703883</v>
      </c>
    </row>
    <row r="16" spans="1:55" x14ac:dyDescent="0.35">
      <c r="A16">
        <f t="shared" si="6"/>
        <v>115</v>
      </c>
      <c r="B16">
        <f t="shared" si="2"/>
        <v>0.90551181102362199</v>
      </c>
      <c r="D16">
        <f t="shared" si="3"/>
        <v>0.82790611079495147</v>
      </c>
      <c r="E16">
        <f t="shared" si="3"/>
        <v>0.88866521329379267</v>
      </c>
      <c r="F16">
        <f t="shared" si="4"/>
        <v>0.10128962322514296</v>
      </c>
      <c r="G16">
        <f t="shared" si="1"/>
        <v>0.95158384340194746</v>
      </c>
      <c r="AN16" s="1">
        <v>190</v>
      </c>
      <c r="AO16" s="1">
        <f>(AN16-AN$131)/(AN$3-AN$131)</f>
        <v>0.65999645829644049</v>
      </c>
    </row>
    <row r="17" spans="1:54" x14ac:dyDescent="0.35">
      <c r="A17">
        <f t="shared" si="6"/>
        <v>114</v>
      </c>
      <c r="B17">
        <f t="shared" si="2"/>
        <v>0.89763779527559051</v>
      </c>
      <c r="D17">
        <f t="shared" si="3"/>
        <v>0.81426177745038741</v>
      </c>
      <c r="E17">
        <f t="shared" si="3"/>
        <v>0.87948316484182754</v>
      </c>
      <c r="F17">
        <f t="shared" si="4"/>
        <v>0.12493626081133793</v>
      </c>
      <c r="G17">
        <f t="shared" si="1"/>
        <v>0.94743748884852053</v>
      </c>
      <c r="AN17" s="1">
        <v>183</v>
      </c>
      <c r="AO17" s="1">
        <f>(AN17-AN$131)/(AN$3-AN$131)</f>
        <v>0.63520453338055594</v>
      </c>
    </row>
    <row r="18" spans="1:54" x14ac:dyDescent="0.35">
      <c r="A18">
        <f t="shared" si="6"/>
        <v>113</v>
      </c>
      <c r="B18">
        <f t="shared" si="2"/>
        <v>0.88976377952755903</v>
      </c>
      <c r="D18">
        <f t="shared" si="3"/>
        <v>0.80072506353055939</v>
      </c>
      <c r="E18">
        <f t="shared" si="3"/>
        <v>0.87031634347861919</v>
      </c>
      <c r="F18">
        <f t="shared" si="4"/>
        <v>0.15160196757437552</v>
      </c>
      <c r="G18">
        <f t="shared" si="1"/>
        <v>0.94327290829725363</v>
      </c>
      <c r="AN18" s="1">
        <v>178</v>
      </c>
      <c r="AO18" s="1">
        <f>(AN18-AN$131)/(AN$3-AN$131)</f>
        <v>0.61749601558349554</v>
      </c>
    </row>
    <row r="19" spans="1:54" x14ac:dyDescent="0.35">
      <c r="A19">
        <f t="shared" si="6"/>
        <v>112</v>
      </c>
      <c r="B19">
        <f t="shared" si="2"/>
        <v>0.88188976377952755</v>
      </c>
      <c r="D19">
        <f t="shared" si="3"/>
        <v>0.7872960613059149</v>
      </c>
      <c r="E19">
        <f t="shared" si="3"/>
        <v>0.86116485837235601</v>
      </c>
      <c r="F19">
        <f t="shared" si="4"/>
        <v>0.18138137190732745</v>
      </c>
      <c r="G19">
        <f t="shared" si="1"/>
        <v>0.93908985926775268</v>
      </c>
      <c r="X19" s="1">
        <v>274</v>
      </c>
      <c r="Y19" s="1">
        <f>(X19-X$131)/(X$3-X$131)</f>
        <v>0.93605683836589693</v>
      </c>
      <c r="AB19" s="1">
        <v>258</v>
      </c>
      <c r="AC19" s="1">
        <f>(AB19-AB$131)/(AB$3-AB$131)</f>
        <v>0.88517745302714002</v>
      </c>
      <c r="AD19" s="1">
        <v>245</v>
      </c>
      <c r="AE19" s="1">
        <f>(AD19-AD$131)/(AD$3-AD$131)</f>
        <v>0.84510086455331401</v>
      </c>
      <c r="AF19" s="1">
        <v>234</v>
      </c>
      <c r="AG19" s="1">
        <f>(AF19-AF$131)/(AF$3-AF$131)</f>
        <v>0.80436681222707429</v>
      </c>
      <c r="AI19" s="1">
        <v>226</v>
      </c>
      <c r="AJ19" s="1">
        <f>(AI19-AI$131)/(AI$3-AI$131)</f>
        <v>0.77118341079728281</v>
      </c>
      <c r="AL19" s="1">
        <v>195</v>
      </c>
      <c r="AM19" s="1">
        <f>(AL19-AL$131)/(AL$3-AL$131)</f>
        <v>0.66474405191059849</v>
      </c>
      <c r="AN19" s="1">
        <v>175</v>
      </c>
      <c r="AO19" s="1">
        <f>(AN19-AN$131)/(AN$3-AN$131)</f>
        <v>0.60687090490525941</v>
      </c>
      <c r="AR19" s="1">
        <v>95.2</v>
      </c>
      <c r="AS19" s="1">
        <f>(AR19-AR$131)/(AR$3-AR$131)</f>
        <v>0.33738713838216322</v>
      </c>
      <c r="BA19" s="1">
        <v>41.1</v>
      </c>
      <c r="BB19" s="1">
        <f>(BA19-BA$131)/(BA$3-BA$131)</f>
        <v>0.14850622077819164</v>
      </c>
    </row>
    <row r="20" spans="1:54" outlineLevel="1" x14ac:dyDescent="0.35">
      <c r="A20">
        <f t="shared" si="6"/>
        <v>111</v>
      </c>
      <c r="B20">
        <f t="shared" si="2"/>
        <v>0.87401574803149606</v>
      </c>
      <c r="D20">
        <f t="shared" si="3"/>
        <v>0.77397486394728621</v>
      </c>
      <c r="E20">
        <f t="shared" si="3"/>
        <v>0.85202882045481676</v>
      </c>
      <c r="F20">
        <f t="shared" si="4"/>
        <v>0.21435864484602055</v>
      </c>
      <c r="G20">
        <f t="shared" si="1"/>
        <v>0.93488809385481852</v>
      </c>
    </row>
    <row r="21" spans="1:54" outlineLevel="1" x14ac:dyDescent="0.35">
      <c r="A21">
        <f t="shared" si="6"/>
        <v>110</v>
      </c>
      <c r="B21">
        <f t="shared" si="2"/>
        <v>0.86614173228346458</v>
      </c>
      <c r="D21">
        <f t="shared" si="3"/>
        <v>0.76076156554283492</v>
      </c>
      <c r="E21">
        <f t="shared" si="3"/>
        <v>0.84290834246599367</v>
      </c>
      <c r="F21">
        <f t="shared" si="4"/>
        <v>0.25060809029388648</v>
      </c>
      <c r="G21">
        <f t="shared" si="1"/>
        <v>0.93066735855700056</v>
      </c>
      <c r="AI21" s="1">
        <v>218</v>
      </c>
      <c r="AJ21" s="1">
        <f>(AI21-AI$131)/(AI$3-AI$131)</f>
        <v>0.74258133714694319</v>
      </c>
    </row>
    <row r="22" spans="1:54" outlineLevel="1" x14ac:dyDescent="0.35">
      <c r="A22">
        <f t="shared" si="6"/>
        <v>109</v>
      </c>
      <c r="B22">
        <f t="shared" si="2"/>
        <v>0.8582677165354331</v>
      </c>
      <c r="D22">
        <f t="shared" si="3"/>
        <v>0.74765626111547123</v>
      </c>
      <c r="E22">
        <f t="shared" si="3"/>
        <v>0.83380353900026016</v>
      </c>
      <c r="F22">
        <f t="shared" si="4"/>
        <v>0.29019467362312884</v>
      </c>
      <c r="G22">
        <f t="shared" si="1"/>
        <v>0.92642739409811992</v>
      </c>
    </row>
    <row r="23" spans="1:54" outlineLevel="1" x14ac:dyDescent="0.35">
      <c r="A23">
        <f t="shared" si="6"/>
        <v>108</v>
      </c>
      <c r="B23">
        <f t="shared" si="2"/>
        <v>0.85039370078740162</v>
      </c>
      <c r="D23">
        <f t="shared" si="3"/>
        <v>0.73465904664076609</v>
      </c>
      <c r="E23">
        <f t="shared" si="3"/>
        <v>0.8247145265541509</v>
      </c>
      <c r="F23">
        <f t="shared" si="4"/>
        <v>0.33317449948518696</v>
      </c>
      <c r="G23">
        <f t="shared" si="1"/>
        <v>0.92216793524140794</v>
      </c>
      <c r="AI23" s="1">
        <v>211</v>
      </c>
      <c r="AJ23" s="1">
        <f>(AI23-AI$131)/(AI$3-AI$131)</f>
        <v>0.71755452270289599</v>
      </c>
      <c r="AN23" s="1">
        <v>160</v>
      </c>
      <c r="AO23" s="1">
        <f>(AN23-AN$131)/(AN$3-AN$131)</f>
        <v>0.55374535151407822</v>
      </c>
      <c r="BA23" s="1">
        <v>34.5</v>
      </c>
      <c r="BB23" s="1">
        <f>(BA23-BA$131)/(BA$3-BA$131)</f>
        <v>0.12235517869878754</v>
      </c>
    </row>
    <row r="24" spans="1:54" outlineLevel="1" x14ac:dyDescent="0.35">
      <c r="A24">
        <f t="shared" si="6"/>
        <v>107</v>
      </c>
      <c r="B24">
        <f t="shared" si="2"/>
        <v>0.84251968503937003</v>
      </c>
      <c r="D24">
        <f t="shared" si="3"/>
        <v>0.72177001906537575</v>
      </c>
      <c r="E24">
        <f t="shared" si="3"/>
        <v>0.81564142357582692</v>
      </c>
      <c r="F24">
        <f t="shared" si="4"/>
        <v>0.37959524720363458</v>
      </c>
      <c r="G24">
        <f t="shared" si="1"/>
        <v>0.91788871059588162</v>
      </c>
    </row>
    <row r="25" spans="1:54" outlineLevel="1" x14ac:dyDescent="0.35">
      <c r="A25">
        <f t="shared" si="6"/>
        <v>106</v>
      </c>
      <c r="B25">
        <f t="shared" si="2"/>
        <v>0.83464566929133854</v>
      </c>
      <c r="D25">
        <f t="shared" si="3"/>
        <v>0.70898927632599695</v>
      </c>
      <c r="E25">
        <f t="shared" si="3"/>
        <v>0.80658435051630095</v>
      </c>
      <c r="F25">
        <f t="shared" si="4"/>
        <v>0.42949657032682809</v>
      </c>
      <c r="G25">
        <f t="shared" si="1"/>
        <v>0.91358944241455553</v>
      </c>
    </row>
    <row r="26" spans="1:54" outlineLevel="1" x14ac:dyDescent="0.35">
      <c r="A26">
        <f t="shared" si="6"/>
        <v>105</v>
      </c>
      <c r="B26">
        <f t="shared" si="2"/>
        <v>0.82677165354330706</v>
      </c>
      <c r="D26">
        <f t="shared" si="3"/>
        <v>0.69631691736887291</v>
      </c>
      <c r="E26">
        <f t="shared" si="3"/>
        <v>0.7975434298825026</v>
      </c>
      <c r="F26">
        <f t="shared" si="4"/>
        <v>0.48291046558141482</v>
      </c>
      <c r="G26">
        <f t="shared" si="1"/>
        <v>0.90926984638406827</v>
      </c>
    </row>
    <row r="27" spans="1:54" outlineLevel="1" x14ac:dyDescent="0.35">
      <c r="A27">
        <f t="shared" si="6"/>
        <v>104</v>
      </c>
      <c r="B27">
        <f t="shared" si="2"/>
        <v>0.81889763779527558</v>
      </c>
      <c r="D27">
        <f t="shared" si="3"/>
        <v>0.68375304216987354</v>
      </c>
      <c r="E27">
        <f t="shared" si="3"/>
        <v>0.78851878629226801</v>
      </c>
      <c r="F27">
        <f t="shared" si="4"/>
        <v>0.53986161545665012</v>
      </c>
      <c r="G27">
        <f t="shared" si="1"/>
        <v>0.90492963140526872</v>
      </c>
      <c r="AI27" s="1">
        <v>195</v>
      </c>
      <c r="AJ27" s="1">
        <f>(AI27-AI$131)/(AI$3-AI$131)</f>
        <v>0.66035037540221664</v>
      </c>
      <c r="AN27" s="1">
        <v>147</v>
      </c>
      <c r="AO27" s="1">
        <f>AN27/AN$3</f>
        <v>0.51398601398601396</v>
      </c>
      <c r="BA27" s="1">
        <v>28.4</v>
      </c>
      <c r="BB27" s="1">
        <f>(BA27-BA$131)/(BA$3-BA$131)</f>
        <v>9.8185276170853472E-2</v>
      </c>
    </row>
    <row r="28" spans="1:54" outlineLevel="1" x14ac:dyDescent="0.35">
      <c r="A28">
        <f t="shared" si="6"/>
        <v>103</v>
      </c>
      <c r="B28">
        <f t="shared" si="2"/>
        <v>0.8110236220472441</v>
      </c>
      <c r="D28">
        <f t="shared" si="3"/>
        <v>0.67129775175517081</v>
      </c>
      <c r="E28">
        <f t="shared" si="3"/>
        <v>0.77951054653134277</v>
      </c>
      <c r="F28">
        <f t="shared" si="4"/>
        <v>0.60036770787271831</v>
      </c>
      <c r="G28">
        <f t="shared" si="1"/>
        <v>0.90056849936428718</v>
      </c>
    </row>
    <row r="29" spans="1:54" outlineLevel="1" x14ac:dyDescent="0.35">
      <c r="A29">
        <f t="shared" si="6"/>
        <v>102</v>
      </c>
      <c r="B29">
        <f t="shared" si="2"/>
        <v>0.80314960629921262</v>
      </c>
      <c r="D29">
        <f t="shared" si="3"/>
        <v>0.65895114822253253</v>
      </c>
      <c r="E29">
        <f t="shared" si="3"/>
        <v>0.77051883961249235</v>
      </c>
      <c r="F29">
        <f t="shared" si="4"/>
        <v>0.66443973578136117</v>
      </c>
      <c r="G29">
        <f t="shared" si="1"/>
        <v>0.89618614489357773</v>
      </c>
    </row>
    <row r="30" spans="1:54" outlineLevel="1" x14ac:dyDescent="0.35">
      <c r="A30">
        <f t="shared" si="6"/>
        <v>101</v>
      </c>
      <c r="B30">
        <f t="shared" si="2"/>
        <v>0.79527559055118113</v>
      </c>
      <c r="D30">
        <f t="shared" si="3"/>
        <v>0.64671333476326087</v>
      </c>
      <c r="E30">
        <f t="shared" si="3"/>
        <v>0.76154379683681805</v>
      </c>
      <c r="F30">
        <f t="shared" si="4"/>
        <v>0.7320822790702799</v>
      </c>
      <c r="G30">
        <f t="shared" si="1"/>
        <v>0.89178225512239317</v>
      </c>
    </row>
    <row r="31" spans="1:54" outlineLevel="1" x14ac:dyDescent="0.35">
      <c r="A31">
        <f t="shared" si="6"/>
        <v>100</v>
      </c>
      <c r="B31">
        <f t="shared" si="2"/>
        <v>0.78740157480314965</v>
      </c>
      <c r="D31">
        <f t="shared" si="3"/>
        <v>0.63458441568479973</v>
      </c>
      <c r="E31">
        <f t="shared" si="3"/>
        <v>0.75258555185738651</v>
      </c>
      <c r="F31">
        <f t="shared" si="4"/>
        <v>0.80329377076269481</v>
      </c>
      <c r="G31">
        <f t="shared" si="1"/>
        <v>0.88735650941611377</v>
      </c>
      <c r="AI31" s="1">
        <v>181</v>
      </c>
      <c r="AJ31" s="1">
        <f>(AI31-AI$131)/(AI$3-AI$131)</f>
        <v>0.61029674651412225</v>
      </c>
      <c r="BA31" s="1">
        <v>23</v>
      </c>
      <c r="BB31" s="1">
        <f>(BA31-BA$131)/(BA$3-BA$131)</f>
        <v>7.6788969014977407E-2</v>
      </c>
    </row>
    <row r="32" spans="1:54" outlineLevel="1" x14ac:dyDescent="0.35">
      <c r="A32">
        <f t="shared" si="6"/>
        <v>99</v>
      </c>
      <c r="B32">
        <f t="shared" si="2"/>
        <v>0.77952755905511806</v>
      </c>
      <c r="D32">
        <f t="shared" si="3"/>
        <v>0.62256449643403988</v>
      </c>
      <c r="E32">
        <f t="shared" si="3"/>
        <v>0.74364424074527891</v>
      </c>
      <c r="F32">
        <f t="shared" si="4"/>
        <v>0.87806674919734284</v>
      </c>
      <c r="G32">
        <f t="shared" si="1"/>
        <v>0.88290857910381526</v>
      </c>
    </row>
    <row r="33" spans="1:54" outlineLevel="1" x14ac:dyDescent="0.35">
      <c r="A33">
        <f t="shared" si="6"/>
        <v>98</v>
      </c>
      <c r="B33">
        <f t="shared" si="2"/>
        <v>0.77165354330708658</v>
      </c>
      <c r="D33">
        <f t="shared" si="3"/>
        <v>0.61065368362135075</v>
      </c>
      <c r="E33">
        <f t="shared" si="3"/>
        <v>0.73472000205818389</v>
      </c>
      <c r="F33">
        <f t="shared" si="4"/>
        <v>0.9563880976253879</v>
      </c>
      <c r="G33">
        <f t="shared" si="1"/>
        <v>0.87843812719342196</v>
      </c>
    </row>
    <row r="34" spans="1:54" outlineLevel="1" x14ac:dyDescent="0.35">
      <c r="A34">
        <f t="shared" si="6"/>
        <v>97</v>
      </c>
      <c r="B34">
        <f t="shared" si="2"/>
        <v>0.76377952755905509</v>
      </c>
      <c r="D34">
        <f t="shared" si="3"/>
        <v>0.59885208504536591</v>
      </c>
      <c r="E34">
        <f t="shared" si="3"/>
        <v>0.72581297691165247</v>
      </c>
      <c r="F34">
        <f t="shared" si="4"/>
        <v>1.0382392724567873</v>
      </c>
      <c r="G34">
        <f t="shared" si="1"/>
        <v>0.87394480807374508</v>
      </c>
    </row>
    <row r="35" spans="1:54" x14ac:dyDescent="0.35">
      <c r="A35">
        <f t="shared" si="6"/>
        <v>96</v>
      </c>
      <c r="B35">
        <f t="shared" si="2"/>
        <v>0.75590551181102361</v>
      </c>
      <c r="D35">
        <f t="shared" si="3"/>
        <v>0.58715980971855897</v>
      </c>
      <c r="E35">
        <f t="shared" si="3"/>
        <v>0.71692330905315105</v>
      </c>
      <c r="F35">
        <f t="shared" si="4"/>
        <v>1.1235965212200432</v>
      </c>
      <c r="G35">
        <f t="shared" si="1"/>
        <v>0.86942826720266209</v>
      </c>
      <c r="H35" s="1">
        <v>295</v>
      </c>
      <c r="I35" s="1">
        <f>(H35-H$131)/(H$3-H$131)</f>
        <v>1</v>
      </c>
      <c r="X35" s="1">
        <v>255</v>
      </c>
      <c r="Y35" s="1">
        <f>(X35-X$131)/(X$3-X$131)</f>
        <v>0.86856127886323264</v>
      </c>
      <c r="Z35" s="1">
        <v>243</v>
      </c>
      <c r="AA35" s="1">
        <f>(Z35-Z$131)/(Z$3-Z$131)</f>
        <v>0.82593250444049737</v>
      </c>
      <c r="AB35" s="1">
        <v>223</v>
      </c>
      <c r="AC35" s="1">
        <f>(AB35-AB$131)/(AB$3-AB$131)</f>
        <v>0.76339596381350039</v>
      </c>
      <c r="AD35" s="1">
        <v>200</v>
      </c>
      <c r="AE35" s="1">
        <f>(AD35-AD$131)/(AD$3-AD$131)</f>
        <v>0.68299711815561948</v>
      </c>
      <c r="AF35" s="1">
        <v>179</v>
      </c>
      <c r="AG35" s="1">
        <f>(AF35-AF$131)/(AF$3-AF$131)</f>
        <v>0.61222707423580791</v>
      </c>
      <c r="AI35" s="1">
        <v>166</v>
      </c>
      <c r="AJ35" s="1">
        <f>(AI35-AI$131)/(AI$3-AI$131)</f>
        <v>0.55666785841973543</v>
      </c>
      <c r="AL35" s="1">
        <v>140</v>
      </c>
      <c r="AM35" s="1">
        <f>(AL35-AL$131)/(AL$3-AL$131)</f>
        <v>0.46647440519105993</v>
      </c>
      <c r="AN35" s="1">
        <v>123</v>
      </c>
      <c r="AO35" s="1">
        <f>(AN35-AN$131)/(AN$3-AN$131)</f>
        <v>0.42270231981583134</v>
      </c>
      <c r="AR35" s="1">
        <v>58.3</v>
      </c>
      <c r="AS35" s="1">
        <f>(AR35-AR$131)/(AR$3-AR$131)</f>
        <v>0.20140040538050485</v>
      </c>
      <c r="BA35" s="1">
        <v>18.2</v>
      </c>
      <c r="BB35" s="1">
        <f>(BA35-BA$131)/(BA$3-BA$131)</f>
        <v>5.7770029320865356E-2</v>
      </c>
    </row>
    <row r="36" spans="1:54" hidden="1" outlineLevel="1" x14ac:dyDescent="0.35">
      <c r="A36">
        <f t="shared" si="6"/>
        <v>95</v>
      </c>
      <c r="B36">
        <f t="shared" si="2"/>
        <v>0.74803149606299213</v>
      </c>
      <c r="D36">
        <f t="shared" si="3"/>
        <v>0.57557696789363932</v>
      </c>
      <c r="E36">
        <f t="shared" si="3"/>
        <v>0.70805114493905219</v>
      </c>
      <c r="F36">
        <f t="shared" si="4"/>
        <v>1.2124310911590186</v>
      </c>
      <c r="G36">
        <f t="shared" ref="G36:G67" si="8">POWER(B36,0.5)</f>
        <v>0.86488814078064002</v>
      </c>
      <c r="AO36" s="1">
        <f t="shared" ref="AO36:AO42" si="9">AN36/AN$3</f>
        <v>0</v>
      </c>
    </row>
    <row r="37" spans="1:54" hidden="1" outlineLevel="1" x14ac:dyDescent="0.35">
      <c r="A37">
        <f t="shared" si="6"/>
        <v>94</v>
      </c>
      <c r="B37">
        <f t="shared" si="2"/>
        <v>0.74015748031496065</v>
      </c>
      <c r="D37">
        <f t="shared" si="3"/>
        <v>0.5641036710908055</v>
      </c>
      <c r="E37">
        <f t="shared" si="3"/>
        <v>0.69919663381470898</v>
      </c>
      <c r="F37">
        <f t="shared" si="4"/>
        <v>1.3047094292728556</v>
      </c>
      <c r="G37">
        <f t="shared" si="8"/>
        <v>0.86032405540875156</v>
      </c>
      <c r="AO37" s="1">
        <f t="shared" si="9"/>
        <v>0</v>
      </c>
    </row>
    <row r="38" spans="1:54" hidden="1" outlineLevel="1" x14ac:dyDescent="0.35">
      <c r="A38">
        <f t="shared" si="6"/>
        <v>93</v>
      </c>
      <c r="B38">
        <f t="shared" si="2"/>
        <v>0.73228346456692917</v>
      </c>
      <c r="D38">
        <f t="shared" si="3"/>
        <v>0.55274003212589118</v>
      </c>
      <c r="E38">
        <f t="shared" si="3"/>
        <v>0.69035992779777511</v>
      </c>
      <c r="F38">
        <f t="shared" si="4"/>
        <v>1.4003933745058894</v>
      </c>
      <c r="G38">
        <f t="shared" si="8"/>
        <v>0.85573562773027578</v>
      </c>
      <c r="AO38" s="1">
        <f t="shared" si="9"/>
        <v>0</v>
      </c>
    </row>
    <row r="39" spans="1:54" hidden="1" outlineLevel="1" x14ac:dyDescent="0.35">
      <c r="A39">
        <f t="shared" si="6"/>
        <v>92</v>
      </c>
      <c r="B39">
        <f t="shared" si="2"/>
        <v>0.72440944881889768</v>
      </c>
      <c r="D39">
        <f t="shared" si="3"/>
        <v>0.54148616513944514</v>
      </c>
      <c r="E39">
        <f t="shared" si="3"/>
        <v>0.68154118196493374</v>
      </c>
      <c r="F39">
        <f t="shared" si="4"/>
        <v>1.4994403427102403</v>
      </c>
      <c r="G39">
        <f t="shared" si="8"/>
        <v>0.85112246405490777</v>
      </c>
      <c r="AO39" s="1">
        <f t="shared" si="9"/>
        <v>0</v>
      </c>
    </row>
    <row r="40" spans="1:54" hidden="1" outlineLevel="1" x14ac:dyDescent="0.35">
      <c r="A40">
        <f t="shared" si="6"/>
        <v>91</v>
      </c>
      <c r="B40">
        <f t="shared" si="2"/>
        <v>0.71653543307086609</v>
      </c>
      <c r="D40">
        <f t="shared" si="3"/>
        <v>0.53034218562678481</v>
      </c>
      <c r="E40">
        <f t="shared" si="3"/>
        <v>0.67274055444221681</v>
      </c>
      <c r="F40">
        <f t="shared" si="4"/>
        <v>1.601803504932001</v>
      </c>
      <c r="G40">
        <f t="shared" si="8"/>
        <v>0.84648415996453596</v>
      </c>
      <c r="AO40" s="1">
        <f t="shared" si="9"/>
        <v>0</v>
      </c>
    </row>
    <row r="41" spans="1:54" hidden="1" outlineLevel="1" x14ac:dyDescent="0.35">
      <c r="A41">
        <f t="shared" si="6"/>
        <v>90</v>
      </c>
      <c r="B41">
        <f t="shared" si="2"/>
        <v>0.70866141732283461</v>
      </c>
      <c r="D41">
        <f t="shared" si="3"/>
        <v>0.51930821046906872</v>
      </c>
      <c r="E41">
        <f t="shared" si="3"/>
        <v>0.66395820649910298</v>
      </c>
      <c r="F41">
        <f t="shared" si="4"/>
        <v>1.7074319595103244</v>
      </c>
      <c r="G41">
        <f t="shared" si="8"/>
        <v>0.8418202998994706</v>
      </c>
      <c r="AO41" s="1">
        <f t="shared" si="9"/>
        <v>0</v>
      </c>
    </row>
    <row r="42" spans="1:54" hidden="1" outlineLevel="1" x14ac:dyDescent="0.35">
      <c r="A42">
        <f t="shared" si="6"/>
        <v>89</v>
      </c>
      <c r="B42">
        <f t="shared" si="2"/>
        <v>0.70078740157480313</v>
      </c>
      <c r="D42">
        <f t="shared" si="3"/>
        <v>0.50838435796543202</v>
      </c>
      <c r="E42">
        <f t="shared" si="3"/>
        <v>0.65519430264659584</v>
      </c>
      <c r="F42">
        <f t="shared" si="4"/>
        <v>1.8162708984256437</v>
      </c>
      <c r="G42">
        <f t="shared" si="8"/>
        <v>0.8371304567239225</v>
      </c>
      <c r="AO42" s="1">
        <f t="shared" si="9"/>
        <v>0</v>
      </c>
    </row>
    <row r="43" spans="1:54" collapsed="1" x14ac:dyDescent="0.35">
      <c r="A43">
        <f t="shared" si="6"/>
        <v>88</v>
      </c>
      <c r="B43">
        <f t="shared" si="2"/>
        <v>0.69291338582677164</v>
      </c>
      <c r="D43">
        <f t="shared" si="3"/>
        <v>0.49757074786623529</v>
      </c>
      <c r="E43">
        <f t="shared" si="3"/>
        <v>0.64644901073949701</v>
      </c>
      <c r="F43">
        <f t="shared" si="4"/>
        <v>1.9282617682872871</v>
      </c>
      <c r="G43">
        <f t="shared" si="8"/>
        <v>0.83241419126944949</v>
      </c>
      <c r="X43" s="1">
        <v>246</v>
      </c>
      <c r="Y43" s="1">
        <f>(X43-X$131)/(X$3-X$131)</f>
        <v>0.83658969804618122</v>
      </c>
      <c r="Z43" s="1">
        <v>231</v>
      </c>
      <c r="AA43" s="1">
        <f>(Z43-Z$131)/(Z$3-Z$131)</f>
        <v>0.78330373001776199</v>
      </c>
      <c r="AB43" s="1">
        <v>206</v>
      </c>
      <c r="AC43" s="1">
        <f>(AB43-AB$131)/(AB$3-AB$131)</f>
        <v>0.70424495476687554</v>
      </c>
      <c r="AN43" s="1">
        <v>99.9</v>
      </c>
      <c r="AO43" s="1">
        <f>(AN43-AN$131)/(AN$3-AN$131)</f>
        <v>0.34088896759341242</v>
      </c>
    </row>
    <row r="44" spans="1:54" outlineLevel="1" x14ac:dyDescent="0.35">
      <c r="A44">
        <f t="shared" si="6"/>
        <v>87</v>
      </c>
      <c r="B44">
        <f t="shared" si="2"/>
        <v>0.68503937007874016</v>
      </c>
      <c r="D44">
        <f t="shared" si="3"/>
        <v>0.48686750140747798</v>
      </c>
      <c r="E44">
        <f t="shared" si="3"/>
        <v>0.63772250208310577</v>
      </c>
      <c r="F44">
        <f t="shared" si="4"/>
        <v>2.04334242631076</v>
      </c>
      <c r="G44">
        <f t="shared" si="8"/>
        <v>0.82767105185498679</v>
      </c>
    </row>
    <row r="45" spans="1:54" outlineLevel="1" x14ac:dyDescent="0.35">
      <c r="A45">
        <f t="shared" si="6"/>
        <v>86</v>
      </c>
      <c r="B45">
        <f t="shared" si="2"/>
        <v>0.67716535433070868</v>
      </c>
      <c r="D45">
        <f t="shared" si="3"/>
        <v>0.47627474134643066</v>
      </c>
      <c r="E45">
        <f t="shared" si="3"/>
        <v>0.62901495154458542</v>
      </c>
      <c r="F45">
        <f t="shared" si="4"/>
        <v>2.1614472916000822</v>
      </c>
      <c r="G45">
        <f t="shared" si="8"/>
        <v>0.82290057378197801</v>
      </c>
    </row>
    <row r="46" spans="1:54" outlineLevel="1" x14ac:dyDescent="0.35">
      <c r="A46">
        <f t="shared" si="6"/>
        <v>85</v>
      </c>
      <c r="B46">
        <f t="shared" si="2"/>
        <v>0.6692913385826772</v>
      </c>
      <c r="D46">
        <f t="shared" si="3"/>
        <v>0.46579259199854389</v>
      </c>
      <c r="E46">
        <f t="shared" si="3"/>
        <v>0.62032653766926127</v>
      </c>
      <c r="F46">
        <f t="shared" si="4"/>
        <v>2.2825074920199149</v>
      </c>
      <c r="G46">
        <f t="shared" si="8"/>
        <v>0.81810227880300956</v>
      </c>
    </row>
    <row r="47" spans="1:54" outlineLevel="1" x14ac:dyDescent="0.35">
      <c r="A47">
        <f t="shared" si="6"/>
        <v>84</v>
      </c>
      <c r="B47">
        <f t="shared" si="2"/>
        <v>0.66141732283464572</v>
      </c>
      <c r="D47">
        <f t="shared" si="3"/>
        <v>0.45542117927569481</v>
      </c>
      <c r="E47">
        <f t="shared" si="3"/>
        <v>0.61165744280212719</v>
      </c>
      <c r="F47">
        <f t="shared" si="4"/>
        <v>2.4064510069153071</v>
      </c>
      <c r="G47">
        <f t="shared" si="8"/>
        <v>0.81327567456222727</v>
      </c>
      <c r="AB47" s="1">
        <v>200</v>
      </c>
      <c r="AC47" s="1">
        <f>(AB47-AB$131)/(AB$3-AB$131)</f>
        <v>0.68336812804453728</v>
      </c>
    </row>
    <row r="48" spans="1:54" outlineLevel="1" x14ac:dyDescent="0.35">
      <c r="A48">
        <f t="shared" si="6"/>
        <v>83</v>
      </c>
      <c r="B48">
        <f t="shared" si="2"/>
        <v>0.65354330708661412</v>
      </c>
      <c r="D48">
        <f t="shared" si="3"/>
        <v>0.44516063072583778</v>
      </c>
      <c r="E48">
        <f t="shared" si="3"/>
        <v>0.60300785321485784</v>
      </c>
      <c r="F48">
        <f t="shared" si="4"/>
        <v>2.5332028059130396</v>
      </c>
      <c r="G48">
        <f t="shared" si="8"/>
        <v>0.80842025400568374</v>
      </c>
    </row>
    <row r="49" spans="1:45" outlineLevel="1" x14ac:dyDescent="0.35">
      <c r="A49">
        <f t="shared" si="6"/>
        <v>82</v>
      </c>
      <c r="B49">
        <f t="shared" si="2"/>
        <v>0.64566929133858264</v>
      </c>
      <c r="D49">
        <f t="shared" si="3"/>
        <v>0.43501107557412555</v>
      </c>
      <c r="E49">
        <f t="shared" si="3"/>
        <v>0.59437795923864867</v>
      </c>
      <c r="F49">
        <f t="shared" si="4"/>
        <v>2.6626849840175257</v>
      </c>
      <c r="G49">
        <f t="shared" si="8"/>
        <v>0.80353549475961705</v>
      </c>
    </row>
    <row r="50" spans="1:45" outlineLevel="1" x14ac:dyDescent="0.35">
      <c r="A50">
        <f t="shared" si="6"/>
        <v>81</v>
      </c>
      <c r="B50">
        <f t="shared" si="2"/>
        <v>0.63779527559055116</v>
      </c>
      <c r="D50">
        <f t="shared" si="3"/>
        <v>0.4249726447655755</v>
      </c>
      <c r="E50">
        <f t="shared" si="3"/>
        <v>0.58576795540322046</v>
      </c>
      <c r="F50">
        <f t="shared" si="4"/>
        <v>2.7948168931953936</v>
      </c>
      <c r="G50">
        <f t="shared" si="8"/>
        <v>0.79862085847450237</v>
      </c>
    </row>
    <row r="51" spans="1:45" x14ac:dyDescent="0.35">
      <c r="A51">
        <f t="shared" si="6"/>
        <v>80</v>
      </c>
      <c r="B51">
        <f t="shared" si="2"/>
        <v>0.62992125984251968</v>
      </c>
      <c r="D51">
        <f t="shared" si="3"/>
        <v>0.41504547100935957</v>
      </c>
      <c r="E51">
        <f t="shared" si="3"/>
        <v>0.57717804058235855</v>
      </c>
      <c r="F51">
        <f t="shared" si="4"/>
        <v>2.9295152706261627</v>
      </c>
      <c r="G51">
        <f t="shared" si="8"/>
        <v>0.79367579013254508</v>
      </c>
      <c r="X51" s="1">
        <v>237</v>
      </c>
      <c r="Y51" s="1">
        <f>(X51-X$131)/(X$3-X$131)</f>
        <v>0.80461811722912968</v>
      </c>
      <c r="AB51" s="1">
        <v>192</v>
      </c>
      <c r="AC51" s="1">
        <f>(AB51-AB$131)/(AB$3-AB$131)</f>
        <v>0.65553235908141971</v>
      </c>
      <c r="AD51" s="1">
        <v>153</v>
      </c>
      <c r="AE51" s="1">
        <f>(AD51-AD$131)/(AD$3-AD$131)</f>
        <v>0.51368876080691639</v>
      </c>
      <c r="AF51" s="1">
        <v>128</v>
      </c>
      <c r="AG51" s="1">
        <f>(AF51-AF$131)/(AF$3-AF$131)</f>
        <v>0.43406113537117902</v>
      </c>
      <c r="AI51" s="1">
        <v>115</v>
      </c>
      <c r="AJ51" s="1">
        <f>(AI51-AI$131)/(AI$3-AI$131)</f>
        <v>0.37432963889882021</v>
      </c>
      <c r="AL51" s="1">
        <v>94</v>
      </c>
      <c r="AM51" s="1">
        <f>(AL51-AL$131)/(AL$3-AL$131)</f>
        <v>0.30064888248017307</v>
      </c>
      <c r="AN51" s="1">
        <v>78.900000000000006</v>
      </c>
      <c r="AO51" s="1">
        <f>(AN51-AN$131)/(AN$3-AN$131)</f>
        <v>0.26651319284575881</v>
      </c>
      <c r="AR51" s="1">
        <v>30.4</v>
      </c>
      <c r="AS51" s="1">
        <f>(AR51-AR$131)/(AR$3-AR$131)</f>
        <v>9.8581168232909522E-2</v>
      </c>
    </row>
    <row r="52" spans="1:45" outlineLevel="1" x14ac:dyDescent="0.35">
      <c r="A52">
        <f t="shared" si="6"/>
        <v>79</v>
      </c>
      <c r="B52">
        <f t="shared" si="2"/>
        <v>0.62204724409448819</v>
      </c>
      <c r="D52">
        <f t="shared" si="3"/>
        <v>0.40522968882479843</v>
      </c>
      <c r="E52">
        <f t="shared" si="3"/>
        <v>0.56860841814637786</v>
      </c>
      <c r="F52">
        <f t="shared" si="4"/>
        <v>3.0666943637814765</v>
      </c>
      <c r="G52">
        <f t="shared" si="8"/>
        <v>0.78869971731609501</v>
      </c>
    </row>
    <row r="53" spans="1:45" outlineLevel="1" x14ac:dyDescent="0.35">
      <c r="A53">
        <f t="shared" si="6"/>
        <v>78</v>
      </c>
      <c r="B53">
        <f t="shared" si="2"/>
        <v>0.61417322834645671</v>
      </c>
      <c r="D53">
        <f t="shared" si="3"/>
        <v>0.39552543458914957</v>
      </c>
      <c r="E53">
        <f t="shared" si="3"/>
        <v>0.56005929612193284</v>
      </c>
      <c r="F53">
        <f t="shared" si="4"/>
        <v>3.2062660524818543</v>
      </c>
      <c r="G53">
        <f t="shared" si="8"/>
        <v>0.78369204943425108</v>
      </c>
    </row>
    <row r="54" spans="1:45" outlineLevel="1" x14ac:dyDescent="0.35">
      <c r="A54">
        <f t="shared" si="6"/>
        <v>77</v>
      </c>
      <c r="B54">
        <f t="shared" si="2"/>
        <v>0.60629921259842523</v>
      </c>
      <c r="D54">
        <f t="shared" si="3"/>
        <v>0.385932846587282</v>
      </c>
      <c r="E54">
        <f t="shared" si="3"/>
        <v>0.55153088735962852</v>
      </c>
      <c r="F54">
        <f t="shared" si="4"/>
        <v>3.348139968067894</v>
      </c>
      <c r="G54">
        <f t="shared" si="8"/>
        <v>0.77865217690469812</v>
      </c>
    </row>
    <row r="55" spans="1:45" outlineLevel="1" x14ac:dyDescent="0.35">
      <c r="A55">
        <f t="shared" si="6"/>
        <v>76</v>
      </c>
      <c r="B55">
        <f t="shared" si="2"/>
        <v>0.59842519685039375</v>
      </c>
      <c r="D55">
        <f t="shared" si="3"/>
        <v>0.37645206506333811</v>
      </c>
      <c r="E55">
        <f t="shared" si="3"/>
        <v>0.54302340970991725</v>
      </c>
      <c r="F55">
        <f t="shared" si="4"/>
        <v>3.4922236098118171</v>
      </c>
      <c r="G55">
        <f t="shared" si="8"/>
        <v>0.77357947028756768</v>
      </c>
      <c r="AB55" s="1">
        <v>182</v>
      </c>
      <c r="AC55" s="1">
        <f>(AB55-AB$131)/(AB$3-AB$131)</f>
        <v>0.62073764787752272</v>
      </c>
    </row>
    <row r="56" spans="1:45" outlineLevel="1" x14ac:dyDescent="0.35">
      <c r="A56">
        <f t="shared" si="6"/>
        <v>75</v>
      </c>
      <c r="B56">
        <f t="shared" si="2"/>
        <v>0.59055118110236215</v>
      </c>
      <c r="D56">
        <f t="shared" si="3"/>
        <v>0.36708323227448852</v>
      </c>
      <c r="E56">
        <f t="shared" si="3"/>
        <v>0.53453708620780538</v>
      </c>
      <c r="F56">
        <f t="shared" si="4"/>
        <v>3.6384224586854703</v>
      </c>
      <c r="G56">
        <f t="shared" si="8"/>
        <v>0.76847327936783993</v>
      </c>
    </row>
    <row r="57" spans="1:45" outlineLevel="1" x14ac:dyDescent="0.35">
      <c r="A57">
        <f t="shared" si="6"/>
        <v>74</v>
      </c>
      <c r="B57">
        <f t="shared" si="2"/>
        <v>0.58267716535433067</v>
      </c>
      <c r="D57">
        <f t="shared" si="3"/>
        <v>0.35782649254689436</v>
      </c>
      <c r="E57">
        <f t="shared" si="3"/>
        <v>0.5260721452669348</v>
      </c>
      <c r="F57">
        <f t="shared" si="4"/>
        <v>3.7866400885918283</v>
      </c>
      <c r="G57">
        <f t="shared" si="8"/>
        <v>0.76333293218249842</v>
      </c>
    </row>
    <row r="58" spans="1:45" outlineLevel="1" x14ac:dyDescent="0.35">
      <c r="A58">
        <f t="shared" si="6"/>
        <v>73</v>
      </c>
      <c r="B58">
        <f t="shared" si="2"/>
        <v>0.57480314960629919</v>
      </c>
      <c r="D58">
        <f t="shared" si="3"/>
        <v>0.34868199233399705</v>
      </c>
      <c r="E58">
        <f t="shared" si="3"/>
        <v>0.51762882088364748</v>
      </c>
      <c r="F58">
        <f t="shared" si="4"/>
        <v>3.936778275158872</v>
      </c>
      <c r="G58">
        <f t="shared" si="8"/>
        <v>0.75815773398831665</v>
      </c>
    </row>
    <row r="59" spans="1:45" x14ac:dyDescent="0.35">
      <c r="A59">
        <f t="shared" si="6"/>
        <v>72</v>
      </c>
      <c r="B59">
        <f t="shared" si="2"/>
        <v>0.56692913385826771</v>
      </c>
      <c r="D59">
        <f t="shared" si="3"/>
        <v>0.339649880277268</v>
      </c>
      <c r="E59">
        <f t="shared" si="3"/>
        <v>0.50920735285169172</v>
      </c>
      <c r="F59">
        <f t="shared" si="4"/>
        <v>4.0887371021872525</v>
      </c>
      <c r="G59">
        <f t="shared" si="8"/>
        <v>0.75294696616579027</v>
      </c>
      <c r="T59" s="1">
        <v>260</v>
      </c>
      <c r="U59" s="1">
        <f>(T59-T$131)/(T$3-T$131)</f>
        <v>0.88007054673721341</v>
      </c>
      <c r="V59" s="1">
        <v>234</v>
      </c>
      <c r="W59" s="1">
        <f>(V59-V$131)/(V$3-V$131)</f>
        <v>0.79926628365750674</v>
      </c>
      <c r="X59" s="1">
        <v>228</v>
      </c>
      <c r="Y59" s="1">
        <f>(X59-X$131)/(X$3-X$131)</f>
        <v>0.77264653641207814</v>
      </c>
      <c r="Z59" s="1">
        <v>206</v>
      </c>
      <c r="AA59" s="1">
        <f>(Z59-Z$131)/(Z$3-Z$131)</f>
        <v>0.69449378330373002</v>
      </c>
      <c r="AB59" s="1">
        <v>166</v>
      </c>
      <c r="AC59" s="1">
        <f>(AB59-AB$131)/(AB$3-AB$131)</f>
        <v>0.56506610995128748</v>
      </c>
    </row>
    <row r="60" spans="1:45" outlineLevel="1" x14ac:dyDescent="0.35">
      <c r="A60">
        <f t="shared" si="6"/>
        <v>71</v>
      </c>
      <c r="B60">
        <f t="shared" si="2"/>
        <v>0.55905511811023623</v>
      </c>
      <c r="D60">
        <f t="shared" si="3"/>
        <v>0.33073030726955471</v>
      </c>
      <c r="E60">
        <f t="shared" si="3"/>
        <v>0.50080798698827822</v>
      </c>
      <c r="F60">
        <f t="shared" si="4"/>
        <v>4.2424150658363002</v>
      </c>
      <c r="G60">
        <f t="shared" si="8"/>
        <v>0.74769988505431528</v>
      </c>
    </row>
    <row r="61" spans="1:45" outlineLevel="1" x14ac:dyDescent="0.35">
      <c r="A61">
        <f t="shared" si="6"/>
        <v>70</v>
      </c>
      <c r="B61">
        <f t="shared" si="2"/>
        <v>0.55118110236220474</v>
      </c>
      <c r="D61">
        <f t="shared" si="3"/>
        <v>0.32192342652117351</v>
      </c>
      <c r="E61">
        <f t="shared" si="3"/>
        <v>0.492430975372255</v>
      </c>
      <c r="F61">
        <f t="shared" si="4"/>
        <v>4.3977091766265968</v>
      </c>
      <c r="G61">
        <f t="shared" si="8"/>
        <v>0.74241572071327044</v>
      </c>
    </row>
    <row r="62" spans="1:45" outlineLevel="1" x14ac:dyDescent="0.35">
      <c r="A62">
        <f t="shared" si="6"/>
        <v>69</v>
      </c>
      <c r="B62">
        <f t="shared" si="2"/>
        <v>0.54330708661417326</v>
      </c>
      <c r="D62">
        <f t="shared" si="3"/>
        <v>0.31322939362890856</v>
      </c>
      <c r="E62">
        <f t="shared" si="3"/>
        <v>0.48407657659523506</v>
      </c>
      <c r="F62">
        <f t="shared" si="4"/>
        <v>4.5545150593316128</v>
      </c>
      <c r="G62">
        <f t="shared" si="8"/>
        <v>0.73709367560315786</v>
      </c>
    </row>
    <row r="63" spans="1:45" outlineLevel="1" x14ac:dyDescent="0.35">
      <c r="A63">
        <f t="shared" si="6"/>
        <v>68</v>
      </c>
      <c r="B63">
        <f t="shared" si="2"/>
        <v>0.53543307086614178</v>
      </c>
      <c r="D63">
        <f t="shared" si="3"/>
        <v>0.30464836664808892</v>
      </c>
      <c r="E63">
        <f t="shared" si="3"/>
        <v>0.47574505602657469</v>
      </c>
      <c r="F63">
        <f t="shared" si="4"/>
        <v>4.7127270508254409</v>
      </c>
      <c r="G63">
        <f t="shared" si="8"/>
        <v>0.73173292318040584</v>
      </c>
      <c r="Z63" s="1">
        <v>203</v>
      </c>
      <c r="AA63" s="1">
        <f>(Z63-Z$131)/(Z$3-Z$131)</f>
        <v>0.68383658969804617</v>
      </c>
    </row>
    <row r="64" spans="1:45" outlineLevel="1" x14ac:dyDescent="0.35">
      <c r="A64">
        <f t="shared" si="6"/>
        <v>67</v>
      </c>
      <c r="B64">
        <f t="shared" si="2"/>
        <v>0.52755905511811019</v>
      </c>
      <c r="D64">
        <f t="shared" si="3"/>
        <v>0.29618050616792685</v>
      </c>
      <c r="E64">
        <f t="shared" si="3"/>
        <v>0.46743668609318489</v>
      </c>
      <c r="F64">
        <f t="shared" si="4"/>
        <v>4.8722382959487387</v>
      </c>
      <c r="G64">
        <f t="shared" si="8"/>
        <v>0.7263326063988248</v>
      </c>
    </row>
    <row r="65" spans="1:54" outlineLevel="1" x14ac:dyDescent="0.35">
      <c r="A65">
        <f t="shared" si="6"/>
        <v>66</v>
      </c>
      <c r="B65">
        <f t="shared" si="2"/>
        <v>0.51968503937007871</v>
      </c>
      <c r="D65">
        <f t="shared" si="3"/>
        <v>0.28782597539031762</v>
      </c>
      <c r="E65">
        <f t="shared" si="3"/>
        <v>0.45915174657523894</v>
      </c>
      <c r="F65">
        <f t="shared" si="4"/>
        <v>5.0329408414503165</v>
      </c>
      <c r="G65">
        <f t="shared" si="8"/>
        <v>0.72089183611002194</v>
      </c>
    </row>
    <row r="66" spans="1:54" outlineLevel="1" x14ac:dyDescent="0.35">
      <c r="A66">
        <f t="shared" si="6"/>
        <v>65</v>
      </c>
      <c r="B66">
        <f t="shared" si="2"/>
        <v>0.51181102362204722</v>
      </c>
      <c r="D66">
        <f t="shared" si="3"/>
        <v>0.27958494021231101</v>
      </c>
      <c r="E66">
        <f t="shared" si="3"/>
        <v>0.45089052491893072</v>
      </c>
      <c r="F66">
        <f t="shared" si="4"/>
        <v>5.1947257280575307</v>
      </c>
      <c r="G66">
        <f t="shared" si="8"/>
        <v>0.71540968935432181</v>
      </c>
    </row>
    <row r="67" spans="1:54" x14ac:dyDescent="0.35">
      <c r="A67">
        <f t="shared" si="6"/>
        <v>64</v>
      </c>
      <c r="B67">
        <f t="shared" si="2"/>
        <v>0.50393700787401574</v>
      </c>
      <c r="D67">
        <f t="shared" si="3"/>
        <v>0.27145756931248788</v>
      </c>
      <c r="E67">
        <f t="shared" si="3"/>
        <v>0.44265331656754842</v>
      </c>
      <c r="F67">
        <f t="shared" si="4"/>
        <v>5.3574830807244203</v>
      </c>
      <c r="G67">
        <f t="shared" si="8"/>
        <v>0.70988520753289097</v>
      </c>
      <c r="H67" s="1">
        <v>295</v>
      </c>
      <c r="I67" s="1">
        <f>(H67-H$131)/(H$3-H$131)</f>
        <v>1</v>
      </c>
      <c r="P67" s="1">
        <v>277</v>
      </c>
      <c r="Q67" s="1">
        <f>(P67-P$131)/(P$3-P$131)</f>
        <v>0.94470746794761029</v>
      </c>
      <c r="T67" s="1">
        <v>255</v>
      </c>
      <c r="U67" s="1">
        <f>(T67-T$131)/(T$3-T$131)</f>
        <v>0.86243386243386244</v>
      </c>
      <c r="V67" s="1">
        <v>227</v>
      </c>
      <c r="W67" s="1">
        <f>(V67-V$131)/(V$3-V$131)</f>
        <v>0.77503980065065414</v>
      </c>
      <c r="X67" s="1">
        <v>217</v>
      </c>
      <c r="Y67" s="1">
        <f>(X67-X$131)/(X$3-X$131)</f>
        <v>0.73357015985790408</v>
      </c>
      <c r="Z67" s="1">
        <v>190</v>
      </c>
      <c r="AA67" s="1">
        <f>(Z67-Z$131)/(Z$3-Z$131)</f>
        <v>0.63765541740674958</v>
      </c>
      <c r="AB67" s="1">
        <v>140</v>
      </c>
      <c r="AC67" s="1">
        <f>(AB67-AB$131)/(AB$3-AB$131)</f>
        <v>0.47459986082115524</v>
      </c>
      <c r="AD67" s="1">
        <v>103</v>
      </c>
      <c r="AE67" s="1">
        <f>(AD67-AD$131)/(AD$3-AD$131)</f>
        <v>0.33357348703170026</v>
      </c>
      <c r="AF67" s="1">
        <v>82.5</v>
      </c>
      <c r="AG67" s="1">
        <f>(AF67-AF$131)/(AF$3-AF$131)</f>
        <v>0.27510917030567683</v>
      </c>
      <c r="AI67" s="1">
        <v>73.3</v>
      </c>
      <c r="AJ67" s="1">
        <f>(AI67-AI$131)/(AI$3-AI$131)</f>
        <v>0.22524132999642474</v>
      </c>
      <c r="AL67" s="1">
        <v>57.9</v>
      </c>
      <c r="AM67" s="1">
        <f>(AL67-AL$131)/(AL$3-AL$131)</f>
        <v>0.17051189617880316</v>
      </c>
      <c r="AN67" s="1">
        <v>45.8</v>
      </c>
      <c r="AO67" s="1">
        <f>(AN67-AN$131)/(AN$3-AN$131)</f>
        <v>0.14928280502921903</v>
      </c>
      <c r="AR67" s="1">
        <v>12</v>
      </c>
      <c r="AS67" s="1">
        <f>(AR67-AR$131)/(AR$3-AR$131)</f>
        <v>3.077206559793624E-2</v>
      </c>
      <c r="BA67" s="1">
        <v>4.6100000000000003</v>
      </c>
      <c r="BB67" s="1">
        <f>(BA67-BA$131)/(BA$3-BA$131)</f>
        <v>3.922656311910612E-3</v>
      </c>
    </row>
    <row r="68" spans="1:54" outlineLevel="1" x14ac:dyDescent="0.35">
      <c r="A68">
        <f t="shared" si="6"/>
        <v>63</v>
      </c>
      <c r="B68">
        <f t="shared" si="2"/>
        <v>0.49606299212598426</v>
      </c>
      <c r="D68">
        <f t="shared" si="3"/>
        <v>0.2634440342414886</v>
      </c>
      <c r="E68">
        <f t="shared" si="3"/>
        <v>0.43444042531223548</v>
      </c>
      <c r="F68">
        <f t="shared" si="4"/>
        <v>5.5211021971028247</v>
      </c>
      <c r="G68">
        <f t="shared" ref="G68:G99" si="10">POWER(B68,0.5)</f>
        <v>0.70431739445081454</v>
      </c>
    </row>
    <row r="69" spans="1:54" outlineLevel="1" x14ac:dyDescent="0.35">
      <c r="A69">
        <f t="shared" si="6"/>
        <v>62</v>
      </c>
      <c r="B69">
        <f t="shared" ref="B69:B131" si="11">A69/127</f>
        <v>0.48818897637795278</v>
      </c>
      <c r="D69">
        <f t="shared" ref="D69:E131" si="12">$B69^D$3</f>
        <v>0.25554450951696039</v>
      </c>
      <c r="E69">
        <f t="shared" si="12"/>
        <v>0.42625216366394175</v>
      </c>
      <c r="F69">
        <f t="shared" ref="F69:F131" si="13">POWER(1-D69,2.75)*12.8</f>
        <v>5.685471634277981</v>
      </c>
      <c r="G69">
        <f t="shared" si="10"/>
        <v>0.69870521421981158</v>
      </c>
    </row>
    <row r="70" spans="1:54" outlineLevel="1" x14ac:dyDescent="0.35">
      <c r="A70">
        <f t="shared" ref="A70:A131" si="14">A69-1</f>
        <v>61</v>
      </c>
      <c r="B70">
        <f t="shared" si="11"/>
        <v>0.48031496062992124</v>
      </c>
      <c r="D70">
        <f t="shared" si="12"/>
        <v>0.24775917272321576</v>
      </c>
      <c r="E70">
        <f t="shared" si="12"/>
        <v>0.41808885324820616</v>
      </c>
      <c r="F70">
        <f t="shared" si="13"/>
        <v>5.8504792938066377</v>
      </c>
      <c r="G70">
        <f t="shared" si="10"/>
        <v>0.69304758900808627</v>
      </c>
    </row>
    <row r="71" spans="1:54" outlineLevel="1" x14ac:dyDescent="0.35">
      <c r="A71">
        <f t="shared" si="14"/>
        <v>60</v>
      </c>
      <c r="B71">
        <f t="shared" si="11"/>
        <v>0.47244094488188976</v>
      </c>
      <c r="D71">
        <f t="shared" si="12"/>
        <v>0.24008820461591537</v>
      </c>
      <c r="E71">
        <f t="shared" si="12"/>
        <v>0.40995082522457066</v>
      </c>
      <c r="F71">
        <f t="shared" si="13"/>
        <v>6.0160125050923448</v>
      </c>
      <c r="G71">
        <f t="shared" si="10"/>
        <v>0.68734339662347066</v>
      </c>
      <c r="X71" s="1">
        <v>215</v>
      </c>
      <c r="Y71" s="1">
        <f>(X71-X$131)/(X$3-X$131)</f>
        <v>0.72646536412078155</v>
      </c>
    </row>
    <row r="72" spans="1:54" outlineLevel="1" x14ac:dyDescent="0.35">
      <c r="A72">
        <f t="shared" si="14"/>
        <v>59</v>
      </c>
      <c r="B72">
        <f t="shared" si="11"/>
        <v>0.46456692913385828</v>
      </c>
      <c r="D72">
        <f t="shared" si="12"/>
        <v>0.23253178923211437</v>
      </c>
      <c r="E72">
        <f t="shared" si="12"/>
        <v>0.40183842073259524</v>
      </c>
      <c r="F72">
        <f t="shared" si="13"/>
        <v>6.1819581071294376</v>
      </c>
      <c r="G72">
        <f t="shared" si="10"/>
        <v>0.68159146791451131</v>
      </c>
    </row>
    <row r="73" spans="1:54" outlineLevel="1" x14ac:dyDescent="0.35">
      <c r="A73">
        <f t="shared" si="14"/>
        <v>58</v>
      </c>
      <c r="B73">
        <f t="shared" si="11"/>
        <v>0.45669291338582679</v>
      </c>
      <c r="D73">
        <f t="shared" si="12"/>
        <v>0.22509011400604523</v>
      </c>
      <c r="E73">
        <f t="shared" si="12"/>
        <v>0.39375199136664385</v>
      </c>
      <c r="F73">
        <f t="shared" si="13"/>
        <v>6.3482025286439594</v>
      </c>
      <c r="G73">
        <f t="shared" si="10"/>
        <v>0.67579058397245129</v>
      </c>
    </row>
    <row r="74" spans="1:54" outlineLevel="1" x14ac:dyDescent="0.35">
      <c r="A74">
        <f t="shared" si="14"/>
        <v>57</v>
      </c>
      <c r="B74">
        <f t="shared" si="11"/>
        <v>0.44881889763779526</v>
      </c>
      <c r="D74">
        <f t="shared" si="12"/>
        <v>0.21776336989103642</v>
      </c>
      <c r="E74">
        <f t="shared" si="12"/>
        <v>0.38569189968182027</v>
      </c>
      <c r="F74">
        <f t="shared" si="13"/>
        <v>6.5146318666568241</v>
      </c>
      <c r="G74">
        <f t="shared" si="10"/>
        <v>0.6699394731151429</v>
      </c>
    </row>
    <row r="75" spans="1:54" outlineLevel="1" x14ac:dyDescent="0.35">
      <c r="A75">
        <f t="shared" si="14"/>
        <v>56</v>
      </c>
      <c r="B75">
        <f t="shared" si="11"/>
        <v>0.44094488188976377</v>
      </c>
      <c r="D75">
        <f t="shared" si="12"/>
        <v>0.21055175148800595</v>
      </c>
      <c r="E75">
        <f t="shared" si="12"/>
        <v>0.37765851973368347</v>
      </c>
      <c r="F75">
        <f t="shared" si="13"/>
        <v>6.6811319634913735</v>
      </c>
      <c r="G75">
        <f t="shared" si="10"/>
        <v>0.66403680763174855</v>
      </c>
      <c r="R75" s="1">
        <v>264</v>
      </c>
      <c r="S75" s="1">
        <f>(R75-R$131)/(R$3-R$131)</f>
        <v>0.8997822856550437</v>
      </c>
      <c r="T75" s="1">
        <v>250</v>
      </c>
      <c r="U75" s="1">
        <f>(T75-T$131)/(T$3-T$131)</f>
        <v>0.84479717813051147</v>
      </c>
      <c r="V75" s="1">
        <v>213</v>
      </c>
      <c r="W75" s="1">
        <f>(V75-V$131)/(V$3-V$131)</f>
        <v>0.72658683463694884</v>
      </c>
      <c r="X75" s="1">
        <v>204</v>
      </c>
      <c r="Y75" s="1">
        <f>(X75-X$131)/(X$3-X$131)</f>
        <v>0.68738898756660749</v>
      </c>
      <c r="Z75" s="1">
        <v>161</v>
      </c>
      <c r="AA75" s="1">
        <f>(Z75-Z$131)/(Z$3-Z$131)</f>
        <v>0.53463587921847244</v>
      </c>
    </row>
    <row r="76" spans="1:54" outlineLevel="1" x14ac:dyDescent="0.35">
      <c r="A76">
        <f t="shared" si="14"/>
        <v>55</v>
      </c>
      <c r="B76">
        <f t="shared" si="11"/>
        <v>0.43307086614173229</v>
      </c>
      <c r="D76">
        <f t="shared" si="12"/>
        <v>0.20345545718100738</v>
      </c>
      <c r="E76">
        <f t="shared" si="12"/>
        <v>0.36965223765463695</v>
      </c>
      <c r="F76">
        <f t="shared" si="13"/>
        <v>6.8475884822445412</v>
      </c>
      <c r="G76">
        <f t="shared" si="10"/>
        <v>0.65808120026462713</v>
      </c>
    </row>
    <row r="77" spans="1:54" outlineLevel="1" x14ac:dyDescent="0.35">
      <c r="A77">
        <f t="shared" si="14"/>
        <v>54</v>
      </c>
      <c r="B77">
        <f t="shared" si="11"/>
        <v>0.42519685039370081</v>
      </c>
      <c r="D77">
        <f t="shared" si="12"/>
        <v>0.1964746892803487</v>
      </c>
      <c r="E77">
        <f t="shared" si="12"/>
        <v>0.36167345227019815</v>
      </c>
      <c r="F77">
        <f t="shared" si="13"/>
        <v>7.0138869807377295</v>
      </c>
      <c r="G77">
        <f t="shared" si="10"/>
        <v>0.65207120040199662</v>
      </c>
    </row>
    <row r="78" spans="1:54" outlineLevel="1" x14ac:dyDescent="0.35">
      <c r="A78">
        <f t="shared" si="14"/>
        <v>53</v>
      </c>
      <c r="B78">
        <f t="shared" si="11"/>
        <v>0.41732283464566927</v>
      </c>
      <c r="D78">
        <f t="shared" si="12"/>
        <v>0.18960965417385484</v>
      </c>
      <c r="E78">
        <f t="shared" si="12"/>
        <v>0.35372257575869409</v>
      </c>
      <c r="F78">
        <f t="shared" si="13"/>
        <v>7.1799129839604632</v>
      </c>
      <c r="G78">
        <f t="shared" si="10"/>
        <v>0.64600528995176909</v>
      </c>
    </row>
    <row r="79" spans="1:54" outlineLevel="1" x14ac:dyDescent="0.35">
      <c r="A79">
        <f t="shared" si="14"/>
        <v>52</v>
      </c>
      <c r="B79">
        <f t="shared" si="11"/>
        <v>0.40944881889763779</v>
      </c>
      <c r="D79">
        <f t="shared" si="12"/>
        <v>0.18286056248689844</v>
      </c>
      <c r="E79">
        <f t="shared" si="12"/>
        <v>0.34580003435832019</v>
      </c>
      <c r="F79">
        <f t="shared" si="13"/>
        <v>7.3455520550167241</v>
      </c>
      <c r="G79">
        <f t="shared" si="10"/>
        <v>0.6398818788633085</v>
      </c>
    </row>
    <row r="80" spans="1:54" outlineLevel="1" x14ac:dyDescent="0.35">
      <c r="A80">
        <f t="shared" si="14"/>
        <v>51</v>
      </c>
      <c r="B80">
        <f t="shared" si="11"/>
        <v>0.40157480314960631</v>
      </c>
      <c r="D80">
        <f t="shared" si="12"/>
        <v>0.17622762925188346</v>
      </c>
      <c r="E80">
        <f t="shared" si="12"/>
        <v>0.33790626912593763</v>
      </c>
      <c r="F80">
        <f t="shared" si="13"/>
        <v>7.5106898645806028</v>
      </c>
      <c r="G80">
        <f t="shared" si="10"/>
        <v>0.63369930025967858</v>
      </c>
    </row>
    <row r="81" spans="1:41" outlineLevel="1" x14ac:dyDescent="0.35">
      <c r="A81">
        <f t="shared" si="14"/>
        <v>50</v>
      </c>
      <c r="B81">
        <f t="shared" si="11"/>
        <v>0.39370078740157483</v>
      </c>
      <c r="D81">
        <f t="shared" si="12"/>
        <v>0.16971107408793487</v>
      </c>
      <c r="E81">
        <f t="shared" si="12"/>
        <v>0.33004173675248233</v>
      </c>
      <c r="F81">
        <f t="shared" si="13"/>
        <v>7.6752122588645193</v>
      </c>
      <c r="G81">
        <f t="shared" si="10"/>
        <v>0.62745580513815857</v>
      </c>
    </row>
    <row r="82" spans="1:41" outlineLevel="1" x14ac:dyDescent="0.35">
      <c r="A82">
        <f t="shared" si="14"/>
        <v>49</v>
      </c>
      <c r="B82">
        <f t="shared" si="11"/>
        <v>0.38582677165354329</v>
      </c>
      <c r="D82">
        <f t="shared" si="12"/>
        <v>0.16331112139162446</v>
      </c>
      <c r="E82">
        <f t="shared" si="12"/>
        <v>0.32220691044042454</v>
      </c>
      <c r="F82">
        <f t="shared" si="13"/>
        <v>7.8390053260996568</v>
      </c>
      <c r="G82">
        <f t="shared" si="10"/>
        <v>0.62114955659127957</v>
      </c>
    </row>
    <row r="83" spans="1:41" x14ac:dyDescent="0.35">
      <c r="A83">
        <f t="shared" si="14"/>
        <v>48</v>
      </c>
      <c r="B83">
        <f t="shared" si="11"/>
        <v>0.37795275590551181</v>
      </c>
      <c r="D83">
        <f t="shared" si="12"/>
        <v>0.15702800053964666</v>
      </c>
      <c r="E83">
        <f t="shared" si="12"/>
        <v>0.31440228084936267</v>
      </c>
      <c r="F83">
        <f t="shared" si="13"/>
        <v>8.0019554615245152</v>
      </c>
      <c r="G83">
        <f t="shared" si="10"/>
        <v>0.61477862349427193</v>
      </c>
      <c r="R83" s="1">
        <v>260</v>
      </c>
      <c r="S83" s="1">
        <f>(R83-R$131)/(R$3-R$131)</f>
        <v>0.88595915264194625</v>
      </c>
      <c r="T83" s="1">
        <v>245</v>
      </c>
      <c r="U83" s="1">
        <f>(T83-T$131)/(T$3-T$131)</f>
        <v>0.8271604938271605</v>
      </c>
      <c r="V83" s="1">
        <v>190</v>
      </c>
      <c r="W83" s="1">
        <f>(V83-V$131)/(V$3-V$131)</f>
        <v>0.64698553332871878</v>
      </c>
      <c r="X83" s="1">
        <v>174</v>
      </c>
      <c r="Y83" s="1">
        <f>(X83-X$131)/(X$3-X$131)</f>
        <v>0.58081705150976914</v>
      </c>
      <c r="Z83" s="1">
        <v>134</v>
      </c>
      <c r="AA83" s="1">
        <f>(Z83-Z$131)/(Z$3-Z$131)</f>
        <v>0.43872113676731794</v>
      </c>
      <c r="AB83" s="1">
        <v>94.1</v>
      </c>
      <c r="AC83" s="1">
        <f>(AB83-AB$131)/(AB$3-AB$131)</f>
        <v>0.31489213639526792</v>
      </c>
      <c r="AD83" s="1">
        <v>64.8</v>
      </c>
      <c r="AE83" s="1">
        <f>(AD83-AD$131)/(AD$3-AD$131)</f>
        <v>0.19596541786743513</v>
      </c>
      <c r="AF83" s="1">
        <v>48.4</v>
      </c>
      <c r="AG83" s="1">
        <f>(AF83-AF$131)/(AF$3-AF$131)</f>
        <v>0.1559825327510917</v>
      </c>
      <c r="AI83" s="1">
        <v>42.4</v>
      </c>
      <c r="AJ83" s="1">
        <f>(AI83-AI$131)/(AI$3-AI$131)</f>
        <v>0.11476582052198783</v>
      </c>
      <c r="AL83" s="1">
        <v>31.2</v>
      </c>
      <c r="AM83" s="1">
        <f>(AL83-AL$131)/(AL$3-AL$131)</f>
        <v>7.4260994953136275E-2</v>
      </c>
      <c r="AN83" s="1">
        <v>21.7</v>
      </c>
      <c r="AO83" s="1">
        <f>(AN83-AN$131)/(AN$3-AN$131)</f>
        <v>6.3927749247387991E-2</v>
      </c>
    </row>
    <row r="84" spans="1:41" outlineLevel="1" x14ac:dyDescent="0.35">
      <c r="A84">
        <f t="shared" si="14"/>
        <v>47</v>
      </c>
      <c r="B84">
        <f t="shared" si="11"/>
        <v>0.37007874015748032</v>
      </c>
      <c r="D84">
        <f t="shared" si="12"/>
        <v>0.15086194610445569</v>
      </c>
      <c r="E84">
        <f t="shared" si="12"/>
        <v>0.30662835711656788</v>
      </c>
      <c r="F84">
        <f t="shared" si="13"/>
        <v>8.1639494308733429</v>
      </c>
      <c r="G84">
        <f t="shared" si="10"/>
        <v>0.60834097359743933</v>
      </c>
    </row>
    <row r="85" spans="1:41" outlineLevel="1" x14ac:dyDescent="0.35">
      <c r="A85">
        <f t="shared" si="14"/>
        <v>46</v>
      </c>
      <c r="B85">
        <f t="shared" si="11"/>
        <v>0.36220472440944884</v>
      </c>
      <c r="D85">
        <f t="shared" si="12"/>
        <v>0.14481319808398399</v>
      </c>
      <c r="E85">
        <f t="shared" si="12"/>
        <v>0.29888566796014104</v>
      </c>
      <c r="F85">
        <f t="shared" si="13"/>
        <v>8.3248744323518533</v>
      </c>
      <c r="G85">
        <f t="shared" si="10"/>
        <v>0.60183446595342882</v>
      </c>
    </row>
    <row r="86" spans="1:41" outlineLevel="1" x14ac:dyDescent="0.35">
      <c r="A86">
        <f t="shared" si="14"/>
        <v>45</v>
      </c>
      <c r="B86">
        <f t="shared" si="11"/>
        <v>0.3543307086614173</v>
      </c>
      <c r="D86">
        <f t="shared" si="12"/>
        <v>0.1388820021466847</v>
      </c>
      <c r="E86">
        <f t="shared" si="12"/>
        <v>0.29117476287340782</v>
      </c>
      <c r="F86">
        <f t="shared" si="13"/>
        <v>8.4846181570828261</v>
      </c>
      <c r="G86">
        <f t="shared" si="10"/>
        <v>0.59525684259940881</v>
      </c>
    </row>
    <row r="87" spans="1:41" outlineLevel="1" x14ac:dyDescent="0.35">
      <c r="A87">
        <f t="shared" si="14"/>
        <v>44</v>
      </c>
      <c r="B87">
        <f t="shared" si="11"/>
        <v>0.34645669291338582</v>
      </c>
      <c r="D87">
        <f t="shared" si="12"/>
        <v>0.13306860989328023</v>
      </c>
      <c r="E87">
        <f t="shared" si="12"/>
        <v>0.28349621342028913</v>
      </c>
      <c r="F87">
        <f t="shared" si="13"/>
        <v>8.6430688479988422</v>
      </c>
      <c r="G87">
        <f t="shared" si="10"/>
        <v>0.58860571940254358</v>
      </c>
    </row>
    <row r="88" spans="1:41" outlineLevel="1" x14ac:dyDescent="0.35">
      <c r="A88">
        <f t="shared" si="14"/>
        <v>43</v>
      </c>
      <c r="B88">
        <f t="shared" si="11"/>
        <v>0.33858267716535434</v>
      </c>
      <c r="D88">
        <f t="shared" si="12"/>
        <v>0.12737327913675744</v>
      </c>
      <c r="E88">
        <f t="shared" si="12"/>
        <v>0.27585061464267052</v>
      </c>
      <c r="F88">
        <f t="shared" si="13"/>
        <v>8.8001153571536985</v>
      </c>
      <c r="G88">
        <f t="shared" si="10"/>
        <v>0.58187857596353754</v>
      </c>
    </row>
    <row r="89" spans="1:41" outlineLevel="1" x14ac:dyDescent="0.35">
      <c r="A89">
        <f t="shared" si="14"/>
        <v>42</v>
      </c>
      <c r="B89">
        <f t="shared" si="11"/>
        <v>0.33070866141732286</v>
      </c>
      <c r="D89">
        <f t="shared" si="12"/>
        <v>0.12179627420233137</v>
      </c>
      <c r="E89">
        <f t="shared" si="12"/>
        <v>0.26823858659227973</v>
      </c>
      <c r="F89">
        <f t="shared" si="13"/>
        <v>8.95564720141736</v>
      </c>
      <c r="G89">
        <f t="shared" si="10"/>
        <v>0.57507274445701462</v>
      </c>
      <c r="T89" s="1">
        <v>242</v>
      </c>
      <c r="U89" s="1">
        <f>(T89-T$131)/(T$3-T$131)</f>
        <v>0.81657848324514992</v>
      </c>
      <c r="V89" s="1">
        <v>169</v>
      </c>
      <c r="W89" s="1">
        <f>(V89-V$131)/(V$3-V$131)</f>
        <v>0.57430608430816088</v>
      </c>
    </row>
    <row r="90" spans="1:41" outlineLevel="1" x14ac:dyDescent="0.35">
      <c r="A90">
        <f t="shared" si="14"/>
        <v>41</v>
      </c>
      <c r="B90">
        <f t="shared" si="11"/>
        <v>0.32283464566929132</v>
      </c>
      <c r="D90">
        <f t="shared" si="12"/>
        <v>0.1163378662493067</v>
      </c>
      <c r="E90">
        <f t="shared" si="12"/>
        <v>0.2606607760013091</v>
      </c>
      <c r="F90">
        <f t="shared" si="13"/>
        <v>9.1095546165121295</v>
      </c>
      <c r="G90">
        <f t="shared" si="10"/>
        <v>0.56818539726861272</v>
      </c>
    </row>
    <row r="91" spans="1:41" x14ac:dyDescent="0.35">
      <c r="A91">
        <f t="shared" si="14"/>
        <v>40</v>
      </c>
      <c r="B91">
        <f t="shared" si="11"/>
        <v>0.31496062992125984</v>
      </c>
      <c r="D91">
        <f t="shared" si="12"/>
        <v>0.11099833361700132</v>
      </c>
      <c r="E91">
        <f t="shared" si="12"/>
        <v>0.25311785810803661</v>
      </c>
      <c r="F91">
        <f t="shared" si="13"/>
        <v>9.2617286093393574</v>
      </c>
      <c r="G91">
        <f t="shared" si="10"/>
        <v>0.56121353326631374</v>
      </c>
      <c r="X91" s="1">
        <v>147</v>
      </c>
      <c r="Y91" s="1">
        <f>(X91-X$131)/(X$3-X$131)</f>
        <v>0.48490230905861459</v>
      </c>
    </row>
    <row r="92" spans="1:41" x14ac:dyDescent="0.35">
      <c r="A92">
        <f t="shared" si="14"/>
        <v>39</v>
      </c>
      <c r="B92">
        <f t="shared" si="11"/>
        <v>0.30708661417322836</v>
      </c>
      <c r="D92">
        <f t="shared" si="12"/>
        <v>0.10577796219717289</v>
      </c>
      <c r="E92">
        <f t="shared" si="12"/>
        <v>0.24561053865605284</v>
      </c>
      <c r="F92">
        <f t="shared" si="13"/>
        <v>9.4120610085366607</v>
      </c>
      <c r="G92">
        <f t="shared" si="10"/>
        <v>0.55415396251694204</v>
      </c>
    </row>
    <row r="93" spans="1:41" x14ac:dyDescent="0.35">
      <c r="A93">
        <f t="shared" si="14"/>
        <v>38</v>
      </c>
      <c r="B93">
        <f t="shared" si="11"/>
        <v>0.29921259842519687</v>
      </c>
      <c r="D93">
        <f t="shared" si="12"/>
        <v>0.10067704583570122</v>
      </c>
      <c r="E93">
        <f t="shared" si="12"/>
        <v>0.2381395560884722</v>
      </c>
      <c r="F93">
        <f t="shared" si="13"/>
        <v>9.5604445131948435</v>
      </c>
      <c r="G93">
        <f t="shared" si="10"/>
        <v>0.54700328922703645</v>
      </c>
    </row>
    <row r="94" spans="1:41" x14ac:dyDescent="0.35">
      <c r="A94">
        <f t="shared" si="14"/>
        <v>37</v>
      </c>
      <c r="B94">
        <f t="shared" si="11"/>
        <v>0.29133858267716534</v>
      </c>
      <c r="D94">
        <f t="shared" si="12"/>
        <v>9.5695886766647656E-2</v>
      </c>
      <c r="E94">
        <f t="shared" si="12"/>
        <v>0.23070568396176847</v>
      </c>
      <c r="F94">
        <f t="shared" si="13"/>
        <v>9.7067727396513774</v>
      </c>
      <c r="G94">
        <f t="shared" si="10"/>
        <v>0.53975789264925556</v>
      </c>
    </row>
    <row r="95" spans="1:41" x14ac:dyDescent="0.35">
      <c r="A95">
        <f t="shared" si="14"/>
        <v>36</v>
      </c>
      <c r="B95">
        <f t="shared" si="11"/>
        <v>0.28346456692913385</v>
      </c>
      <c r="D95">
        <f t="shared" si="12"/>
        <v>9.083479608223595E-2</v>
      </c>
      <c r="E95">
        <f t="shared" si="12"/>
        <v>0.22330973360773929</v>
      </c>
      <c r="F95">
        <f t="shared" si="13"/>
        <v>9.8509402662629597</v>
      </c>
      <c r="G95">
        <f t="shared" si="10"/>
        <v>0.53241390564966828</v>
      </c>
      <c r="T95" s="1">
        <v>222</v>
      </c>
      <c r="U95" s="1">
        <f>(T95-T$131)/(T$3-T$131)</f>
        <v>0.74603174603174605</v>
      </c>
      <c r="V95" s="1">
        <v>149</v>
      </c>
      <c r="W95" s="1">
        <f>(V95-V$131)/(V$3-V$131)</f>
        <v>0.50508756143143907</v>
      </c>
    </row>
    <row r="96" spans="1:41" x14ac:dyDescent="0.35">
      <c r="A96">
        <f t="shared" si="14"/>
        <v>35</v>
      </c>
      <c r="B96">
        <f t="shared" si="11"/>
        <v>0.27559055118110237</v>
      </c>
      <c r="D96">
        <f t="shared" si="12"/>
        <v>8.6094094242795932E-2</v>
      </c>
      <c r="E96">
        <f t="shared" si="12"/>
        <v>0.21595255707669456</v>
      </c>
      <c r="F96">
        <f t="shared" si="13"/>
        <v>9.9928426760431464</v>
      </c>
      <c r="G96">
        <f t="shared" si="10"/>
        <v>0.52496719057585151</v>
      </c>
    </row>
    <row r="97" spans="1:41" x14ac:dyDescent="0.35">
      <c r="A97">
        <f t="shared" si="14"/>
        <v>34</v>
      </c>
      <c r="B97">
        <f t="shared" si="11"/>
        <v>0.26771653543307089</v>
      </c>
      <c r="D97">
        <f t="shared" si="12"/>
        <v>8.1474111631292923E-2</v>
      </c>
      <c r="E97">
        <f t="shared" si="12"/>
        <v>0.20863505040045188</v>
      </c>
      <c r="F97">
        <f t="shared" si="13"/>
        <v>10.132376597031474</v>
      </c>
      <c r="G97">
        <f t="shared" si="10"/>
        <v>0.51741331199832008</v>
      </c>
    </row>
    <row r="98" spans="1:41" x14ac:dyDescent="0.35">
      <c r="A98">
        <f t="shared" si="14"/>
        <v>33</v>
      </c>
      <c r="B98">
        <f t="shared" si="11"/>
        <v>0.25984251968503935</v>
      </c>
      <c r="D98">
        <f t="shared" si="12"/>
        <v>7.6975189157750937E-2</v>
      </c>
      <c r="E98">
        <f t="shared" si="12"/>
        <v>0.20135815722030215</v>
      </c>
      <c r="F98">
        <f t="shared" si="13"/>
        <v>10.269439740237887</v>
      </c>
      <c r="G98">
        <f t="shared" si="10"/>
        <v>0.50974750581541772</v>
      </c>
    </row>
    <row r="99" spans="1:41" x14ac:dyDescent="0.35">
      <c r="A99">
        <f t="shared" si="14"/>
        <v>32</v>
      </c>
      <c r="B99">
        <f t="shared" si="11"/>
        <v>0.25196850393700787</v>
      </c>
      <c r="D99">
        <f t="shared" si="12"/>
        <v>7.2597678919687131E-2</v>
      </c>
      <c r="E99">
        <f t="shared" si="12"/>
        <v>0.19412287283304716</v>
      </c>
      <c r="F99">
        <f t="shared" si="13"/>
        <v>10.40393093497906</v>
      </c>
      <c r="G99">
        <f t="shared" si="10"/>
        <v>0.50196464411052688</v>
      </c>
      <c r="R99" s="1">
        <v>254</v>
      </c>
      <c r="S99" s="1">
        <f>(R99-R$131)/(R$3-R$131)</f>
        <v>0.86522445312230012</v>
      </c>
      <c r="T99" s="1">
        <v>207</v>
      </c>
      <c r="U99" s="1">
        <f>(T99-T$131)/(T$3-T$131)</f>
        <v>0.69312169312169314</v>
      </c>
      <c r="V99" s="1">
        <v>136</v>
      </c>
      <c r="W99" s="1">
        <f>(V99-V$131)/(V$3-V$131)</f>
        <v>0.46009552156156985</v>
      </c>
      <c r="X99" s="1">
        <v>122</v>
      </c>
      <c r="Y99" s="1">
        <f>(X99-X$131)/(X$3-X$131)</f>
        <v>0.39609236234458262</v>
      </c>
      <c r="Z99" s="1">
        <v>89.3</v>
      </c>
      <c r="AA99" s="1">
        <f>(Z99-Z$131)/(Z$3-Z$131)</f>
        <v>0.27992895204262874</v>
      </c>
      <c r="AB99" s="1">
        <v>56.4</v>
      </c>
      <c r="AC99" s="1">
        <f>(AB99-AB$131)/(AB$3-AB$131)</f>
        <v>0.1837160751565762</v>
      </c>
      <c r="AD99" s="1">
        <v>36</v>
      </c>
      <c r="AE99" s="1">
        <f>(AD99-AD$131)/(AD$3-AD$131)</f>
        <v>9.2219020172910657E-2</v>
      </c>
      <c r="AF99" s="1">
        <v>23.5</v>
      </c>
      <c r="AG99" s="1">
        <f>(AF99-AF$131)/(AF$3-AF$131)</f>
        <v>6.8995633187772923E-2</v>
      </c>
      <c r="AI99" s="1">
        <v>21.2</v>
      </c>
      <c r="AJ99" s="1">
        <f>(AI99-AI$131)/(AI$3-AI$131)</f>
        <v>3.897032534858777E-2</v>
      </c>
      <c r="AL99" s="1">
        <v>15.7</v>
      </c>
      <c r="AM99" s="1">
        <f>(AL99-AL$131)/(AL$3-AL$131)</f>
        <v>1.8385003604902667E-2</v>
      </c>
      <c r="AN99" s="1">
        <v>9.1</v>
      </c>
      <c r="AO99" s="1">
        <f>(AN99-AN$131)/(AN$3-AN$131)</f>
        <v>1.9302284398795815E-2</v>
      </c>
    </row>
    <row r="100" spans="1:41" outlineLevel="1" x14ac:dyDescent="0.35">
      <c r="A100">
        <f t="shared" si="14"/>
        <v>31</v>
      </c>
      <c r="B100">
        <f t="shared" si="11"/>
        <v>0.24409448818897639</v>
      </c>
      <c r="D100">
        <f t="shared" si="12"/>
        <v>6.8341944925636569E-2</v>
      </c>
      <c r="E100">
        <f t="shared" si="12"/>
        <v>0.18693024871783542</v>
      </c>
      <c r="F100">
        <f t="shared" si="13"/>
        <v>10.535750161391427</v>
      </c>
      <c r="G100">
        <f t="shared" ref="G100:G131" si="15">POWER(B100,0.5)</f>
        <v>0.4940591950252281</v>
      </c>
    </row>
    <row r="101" spans="1:41" outlineLevel="1" x14ac:dyDescent="0.35">
      <c r="A101">
        <f t="shared" si="14"/>
        <v>30</v>
      </c>
      <c r="B101">
        <f t="shared" si="11"/>
        <v>0.23622047244094488</v>
      </c>
      <c r="D101">
        <f t="shared" si="12"/>
        <v>6.4208363889997219E-2</v>
      </c>
      <c r="E101">
        <f t="shared" si="12"/>
        <v>0.17978139761826023</v>
      </c>
      <c r="F101">
        <f t="shared" si="13"/>
        <v>10.664798579867224</v>
      </c>
      <c r="G101">
        <f t="shared" si="15"/>
        <v>0.48602517675625084</v>
      </c>
      <c r="R101" s="1">
        <v>253</v>
      </c>
      <c r="S101" s="1">
        <f>(R101-R$131)/(R$3-R$131)</f>
        <v>0.86176866986902578</v>
      </c>
    </row>
    <row r="102" spans="1:41" outlineLevel="1" x14ac:dyDescent="0.35">
      <c r="A102">
        <f t="shared" si="14"/>
        <v>29</v>
      </c>
      <c r="B102">
        <f t="shared" si="11"/>
        <v>0.2283464566929134</v>
      </c>
      <c r="D102">
        <f t="shared" si="12"/>
        <v>6.0197326108802289E-2</v>
      </c>
      <c r="E102">
        <f t="shared" si="12"/>
        <v>0.17267749926857714</v>
      </c>
      <c r="F102">
        <f t="shared" si="13"/>
        <v>10.790978557114038</v>
      </c>
      <c r="G102">
        <f t="shared" si="15"/>
        <v>0.47785610458893729</v>
      </c>
      <c r="S102" s="1">
        <f>(S101+S103)/2</f>
        <v>0.85485710336247711</v>
      </c>
    </row>
    <row r="103" spans="1:41" outlineLevel="1" x14ac:dyDescent="0.35">
      <c r="A103">
        <f t="shared" si="14"/>
        <v>28</v>
      </c>
      <c r="B103">
        <f t="shared" si="11"/>
        <v>0.22047244094488189</v>
      </c>
      <c r="D103">
        <f t="shared" si="12"/>
        <v>5.6309236427693983E-2</v>
      </c>
      <c r="E103">
        <f t="shared" si="12"/>
        <v>0.16561980687066941</v>
      </c>
      <c r="F103">
        <f t="shared" si="13"/>
        <v>10.91419368848263</v>
      </c>
      <c r="G103">
        <f t="shared" si="15"/>
        <v>0.46954492963387634</v>
      </c>
      <c r="R103" s="1">
        <v>249</v>
      </c>
      <c r="S103" s="1">
        <f>(R103-R$131)/(R$3-R$131)</f>
        <v>0.84794553685592844</v>
      </c>
      <c r="V103" s="1">
        <v>120</v>
      </c>
      <c r="W103" s="1">
        <f>(V103-V$131)/(V$3-V$131)</f>
        <v>0.40472070326019244</v>
      </c>
    </row>
    <row r="104" spans="1:41" outlineLevel="1" x14ac:dyDescent="0.35">
      <c r="A104">
        <f t="shared" si="14"/>
        <v>27</v>
      </c>
      <c r="B104">
        <f t="shared" si="11"/>
        <v>0.2125984251968504</v>
      </c>
      <c r="D104">
        <f t="shared" si="12"/>
        <v>5.2544515315395474E-2</v>
      </c>
      <c r="E104">
        <f t="shared" si="12"/>
        <v>0.15860965445047784</v>
      </c>
      <c r="F104">
        <f t="shared" si="13"/>
        <v>11.034348816140165</v>
      </c>
      <c r="G104">
        <f t="shared" si="15"/>
        <v>0.46108396762070397</v>
      </c>
    </row>
    <row r="105" spans="1:41" outlineLevel="1" x14ac:dyDescent="0.35">
      <c r="A105">
        <f t="shared" si="14"/>
        <v>26</v>
      </c>
      <c r="B105">
        <f t="shared" si="11"/>
        <v>0.20472440944881889</v>
      </c>
      <c r="D105">
        <f t="shared" si="12"/>
        <v>4.8903600058451319E-2</v>
      </c>
      <c r="E105">
        <f t="shared" si="12"/>
        <v>0.15164846525025394</v>
      </c>
      <c r="F105">
        <f t="shared" si="13"/>
        <v>11.151350042583017</v>
      </c>
      <c r="G105">
        <f t="shared" si="15"/>
        <v>0.45246481570263436</v>
      </c>
      <c r="R105" s="1">
        <v>240</v>
      </c>
      <c r="S105" s="1">
        <f>(R105-R$131)/(R$3-R$131)</f>
        <v>0.81684348757645919</v>
      </c>
      <c r="X105" s="1">
        <v>106</v>
      </c>
      <c r="Y105" s="1">
        <f>(X105-X$131)/(X$3-X$131)</f>
        <v>0.33925399644760212</v>
      </c>
    </row>
    <row r="106" spans="1:41" outlineLevel="1" x14ac:dyDescent="0.35">
      <c r="A106">
        <f t="shared" si="14"/>
        <v>25</v>
      </c>
      <c r="B106">
        <f t="shared" si="11"/>
        <v>0.19685039370078741</v>
      </c>
      <c r="D106">
        <f t="shared" si="12"/>
        <v>4.5386946096051782E-2</v>
      </c>
      <c r="E106">
        <f t="shared" si="12"/>
        <v>0.14473776134787719</v>
      </c>
      <c r="F106">
        <f t="shared" si="13"/>
        <v>11.265104738881167</v>
      </c>
      <c r="G106">
        <f t="shared" si="15"/>
        <v>0.44367825470805689</v>
      </c>
    </row>
    <row r="107" spans="1:41" x14ac:dyDescent="0.35">
      <c r="A107">
        <f t="shared" si="14"/>
        <v>24</v>
      </c>
      <c r="B107">
        <f t="shared" si="11"/>
        <v>0.1889763779527559</v>
      </c>
      <c r="D107">
        <f t="shared" si="12"/>
        <v>4.1995028517531549E-2</v>
      </c>
      <c r="E107">
        <f t="shared" si="12"/>
        <v>0.13787917473883265</v>
      </c>
      <c r="F107">
        <f t="shared" si="13"/>
        <v>11.375521546918977</v>
      </c>
      <c r="G107">
        <f t="shared" si="15"/>
        <v>0.43471413360133104</v>
      </c>
      <c r="P107" s="1">
        <v>265</v>
      </c>
      <c r="Q107" s="1">
        <f>(P107-P$131)/(P$3-P$131)</f>
        <v>0.90323806890831804</v>
      </c>
      <c r="R107" s="1">
        <v>232</v>
      </c>
      <c r="S107" s="1">
        <f>(R107-R$131)/(R$3-R$131)</f>
        <v>0.78919722155026439</v>
      </c>
      <c r="V107" s="1">
        <v>112</v>
      </c>
      <c r="W107" s="1">
        <f>(V107-V$131)/(V$3-V$131)</f>
        <v>0.3770332941095037</v>
      </c>
      <c r="X107" s="1">
        <v>100</v>
      </c>
      <c r="Y107" s="1">
        <f>(X107-X$131)/(X$3-X$131)</f>
        <v>0.31793960923623443</v>
      </c>
      <c r="AB107" s="1">
        <v>41.6</v>
      </c>
      <c r="AC107" s="1">
        <f>(AB107-AB$131)/(AB$3-AB$131)</f>
        <v>0.13221990257480865</v>
      </c>
    </row>
    <row r="108" spans="1:41" outlineLevel="2" x14ac:dyDescent="0.35">
      <c r="A108">
        <f t="shared" si="14"/>
        <v>23</v>
      </c>
      <c r="B108">
        <f t="shared" si="11"/>
        <v>0.18110236220472442</v>
      </c>
      <c r="D108">
        <f t="shared" si="12"/>
        <v>3.8728343749854975E-2</v>
      </c>
      <c r="E108">
        <f t="shared" si="12"/>
        <v>0.13107446017337801</v>
      </c>
      <c r="F108">
        <f t="shared" si="13"/>
        <v>11.482510374737842</v>
      </c>
      <c r="G108">
        <f t="shared" si="15"/>
        <v>0.42556123202745388</v>
      </c>
    </row>
    <row r="109" spans="1:41" outlineLevel="2" x14ac:dyDescent="0.35">
      <c r="A109">
        <f t="shared" si="14"/>
        <v>22</v>
      </c>
      <c r="B109">
        <f t="shared" si="11"/>
        <v>0.17322834645669291</v>
      </c>
      <c r="D109">
        <f t="shared" si="12"/>
        <v>3.5587411468349324E-2</v>
      </c>
      <c r="E109">
        <f t="shared" si="12"/>
        <v>0.12432551011518105</v>
      </c>
      <c r="F109">
        <f t="shared" si="13"/>
        <v>11.585982383884952</v>
      </c>
      <c r="G109">
        <f t="shared" si="15"/>
        <v>0.41620709563472474</v>
      </c>
    </row>
    <row r="110" spans="1:41" outlineLevel="2" x14ac:dyDescent="0.35">
      <c r="A110">
        <f t="shared" si="14"/>
        <v>21</v>
      </c>
      <c r="B110">
        <f t="shared" si="11"/>
        <v>0.16535433070866143</v>
      </c>
      <c r="D110">
        <f t="shared" si="12"/>
        <v>3.2572776771519783E-2</v>
      </c>
      <c r="E110">
        <f t="shared" si="12"/>
        <v>0.11763437228426006</v>
      </c>
      <c r="F110">
        <f t="shared" si="13"/>
        <v>11.685849967415569</v>
      </c>
      <c r="G110">
        <f t="shared" si="15"/>
        <v>0.40663783728111363</v>
      </c>
    </row>
    <row r="111" spans="1:41" outlineLevel="2" x14ac:dyDescent="0.35">
      <c r="A111">
        <f t="shared" si="14"/>
        <v>20</v>
      </c>
      <c r="B111">
        <f t="shared" si="11"/>
        <v>0.15748031496062992</v>
      </c>
      <c r="D111">
        <f t="shared" si="12"/>
        <v>2.9685012670511195E-2</v>
      </c>
      <c r="E111">
        <f t="shared" si="12"/>
        <v>0.1110032703748681</v>
      </c>
      <c r="F111">
        <f t="shared" si="13"/>
        <v>11.782026716865408</v>
      </c>
      <c r="G111">
        <f t="shared" si="15"/>
        <v>0.39683789506627254</v>
      </c>
      <c r="P111" s="1">
        <v>266</v>
      </c>
      <c r="Q111" s="1">
        <f>(P111-P$131)/(P$3-P$131)</f>
        <v>0.90669385216159237</v>
      </c>
      <c r="X111" s="1">
        <v>90</v>
      </c>
      <c r="Y111" s="1">
        <f>(X111-X$131)/(X$3-X$131)</f>
        <v>0.28241563055062169</v>
      </c>
    </row>
    <row r="112" spans="1:41" outlineLevel="2" x14ac:dyDescent="0.35">
      <c r="A112">
        <f t="shared" si="14"/>
        <v>19</v>
      </c>
      <c r="B112">
        <f t="shared" si="11"/>
        <v>0.14960629921259844</v>
      </c>
      <c r="D112">
        <f t="shared" si="12"/>
        <v>2.6924722956423477E-2</v>
      </c>
      <c r="E112">
        <f t="shared" si="12"/>
        <v>0.10443462871022316</v>
      </c>
      <c r="F112">
        <f t="shared" si="13"/>
        <v>11.87442737607873</v>
      </c>
      <c r="G112">
        <f t="shared" si="15"/>
        <v>0.38678973514378384</v>
      </c>
    </row>
    <row r="113" spans="1:41" outlineLevel="2" x14ac:dyDescent="0.35">
      <c r="A113">
        <f t="shared" si="14"/>
        <v>18</v>
      </c>
      <c r="B113">
        <f t="shared" si="11"/>
        <v>0.14173228346456693</v>
      </c>
      <c r="D113">
        <f t="shared" si="12"/>
        <v>2.4292545525309305E-2</v>
      </c>
      <c r="E113">
        <f t="shared" si="12"/>
        <v>9.7931101828538342E-2</v>
      </c>
      <c r="F113">
        <f t="shared" si="13"/>
        <v>11.962967779209992</v>
      </c>
      <c r="G113">
        <f t="shared" si="15"/>
        <v>0.37647348308289513</v>
      </c>
      <c r="V113" s="1">
        <v>95.3</v>
      </c>
      <c r="W113" s="1">
        <f>(V113-V$131)/(V$3-V$131)</f>
        <v>0.31923582750744095</v>
      </c>
    </row>
    <row r="114" spans="1:41" outlineLevel="2" x14ac:dyDescent="0.35">
      <c r="A114">
        <f t="shared" si="14"/>
        <v>17</v>
      </c>
      <c r="B114">
        <f t="shared" si="11"/>
        <v>0.13385826771653545</v>
      </c>
      <c r="D114">
        <f t="shared" si="12"/>
        <v>2.1789156262820953E-2</v>
      </c>
      <c r="E114">
        <f t="shared" si="12"/>
        <v>9.1495610315218148E-2</v>
      </c>
      <c r="F114">
        <f t="shared" si="13"/>
        <v>12.047564769458548</v>
      </c>
      <c r="G114">
        <f t="shared" si="15"/>
        <v>0.36586646159020292</v>
      </c>
    </row>
    <row r="115" spans="1:41" x14ac:dyDescent="0.35">
      <c r="A115">
        <f t="shared" si="14"/>
        <v>16</v>
      </c>
      <c r="B115">
        <f t="shared" si="11"/>
        <v>0.12598425196850394</v>
      </c>
      <c r="D115">
        <f t="shared" si="12"/>
        <v>1.9415273620382804E-2</v>
      </c>
      <c r="E115">
        <f t="shared" si="12"/>
        <v>8.5131384644680286E-2</v>
      </c>
      <c r="F115">
        <f t="shared" si="13"/>
        <v>12.128136094069189</v>
      </c>
      <c r="G115">
        <f t="shared" si="15"/>
        <v>0.35494260376644549</v>
      </c>
      <c r="H115" s="1">
        <v>295</v>
      </c>
      <c r="I115" s="1">
        <f>(H115-H$131)/(H$3-H$131)</f>
        <v>1</v>
      </c>
      <c r="P115" s="1">
        <v>249</v>
      </c>
      <c r="Q115" s="1">
        <f>(P115-P$131)/(P$3-P$131)</f>
        <v>0.84794553685592844</v>
      </c>
      <c r="X115" s="1">
        <v>80.400000000000006</v>
      </c>
      <c r="Y115" s="1">
        <f>(X115-X$131)/(X$3-X$131)</f>
        <v>0.2483126110124334</v>
      </c>
      <c r="Z115" s="1">
        <v>53.8</v>
      </c>
      <c r="AA115" s="1">
        <f>(Z115-Z$131)/(Z$3-Z$131)</f>
        <v>0.15381882770870337</v>
      </c>
      <c r="AB115" s="1">
        <v>29</v>
      </c>
      <c r="AC115" s="1">
        <f t="shared" ref="AC115:AC121" si="16">(AB115-AB$131)/(AB$3-AB$131)</f>
        <v>8.8378566457898405E-2</v>
      </c>
      <c r="AD115" s="1">
        <v>17.399999999999999</v>
      </c>
      <c r="AE115" s="1">
        <f>(AD115-AD$131)/(AD$3-AD$131)</f>
        <v>2.5216138328530251E-2</v>
      </c>
      <c r="AF115" s="1">
        <v>3.75</v>
      </c>
      <c r="AG115" s="1">
        <v>3.5000000000000003E-2</v>
      </c>
      <c r="AI115" s="1">
        <v>11.2</v>
      </c>
      <c r="AJ115" s="1">
        <f>(AI115-AI$131)/(AI$3-AI$131)</f>
        <v>3.2177332856632057E-3</v>
      </c>
      <c r="AL115" s="1">
        <v>11</v>
      </c>
      <c r="AM115" s="1">
        <f>(AL115-AL$131)/(AL$3-AL$131)</f>
        <v>1.4419610670511911E-3</v>
      </c>
      <c r="AN115" s="1">
        <v>4.08</v>
      </c>
      <c r="AO115" s="1">
        <f>(AN115-AN$131)/(AN$3-AN$131)</f>
        <v>1.5229325305471937E-3</v>
      </c>
    </row>
    <row r="116" spans="1:41" x14ac:dyDescent="0.35">
      <c r="A116">
        <f t="shared" si="14"/>
        <v>15</v>
      </c>
      <c r="B116">
        <f t="shared" si="11"/>
        <v>0.11811023622047244</v>
      </c>
      <c r="D116">
        <f t="shared" si="12"/>
        <v>1.7171664055823446E-2</v>
      </c>
      <c r="E116">
        <f t="shared" si="12"/>
        <v>7.8842019434573404E-2</v>
      </c>
      <c r="F116">
        <f t="shared" si="13"/>
        <v>12.204600269718682</v>
      </c>
      <c r="G116">
        <f t="shared" si="15"/>
        <v>0.34367169831173533</v>
      </c>
      <c r="AB116" s="1">
        <v>27.5</v>
      </c>
      <c r="AC116" s="1">
        <f t="shared" si="16"/>
        <v>8.3159359777313854E-2</v>
      </c>
    </row>
    <row r="117" spans="1:41" x14ac:dyDescent="0.35">
      <c r="A117">
        <f t="shared" si="14"/>
        <v>14</v>
      </c>
      <c r="B117">
        <f t="shared" si="11"/>
        <v>0.11023622047244094</v>
      </c>
      <c r="D117">
        <f t="shared" si="12"/>
        <v>1.5059148568757267E-2</v>
      </c>
      <c r="E117">
        <f t="shared" si="12"/>
        <v>7.2631541444426601E-2</v>
      </c>
      <c r="F117">
        <f t="shared" si="13"/>
        <v>12.276876410430638</v>
      </c>
      <c r="G117">
        <f t="shared" si="15"/>
        <v>0.33201840381587427</v>
      </c>
      <c r="X117" s="1">
        <v>75.599999999999994</v>
      </c>
      <c r="Y117" s="1">
        <f>(X117-X$131)/(X$3-X$131)</f>
        <v>0.23126110124333923</v>
      </c>
      <c r="Z117" s="1">
        <v>49.1</v>
      </c>
      <c r="AA117" s="1">
        <f>(Z117-Z$131)/(Z$3-Z$131)</f>
        <v>0.13712255772646537</v>
      </c>
      <c r="AB117" s="1">
        <v>26.2</v>
      </c>
      <c r="AC117" s="1">
        <f t="shared" si="16"/>
        <v>7.8636047320807242E-2</v>
      </c>
    </row>
    <row r="118" spans="1:41" x14ac:dyDescent="0.35">
      <c r="A118">
        <f t="shared" si="14"/>
        <v>13</v>
      </c>
      <c r="B118">
        <f t="shared" si="11"/>
        <v>0.10236220472440945</v>
      </c>
      <c r="D118">
        <f t="shared" si="12"/>
        <v>1.3078610642731183E-2</v>
      </c>
      <c r="E118">
        <f t="shared" si="12"/>
        <v>6.6504496031737165E-2</v>
      </c>
      <c r="F118">
        <f t="shared" si="13"/>
        <v>12.344884007336953</v>
      </c>
      <c r="G118">
        <f t="shared" si="15"/>
        <v>0.31994093943165425</v>
      </c>
      <c r="AB118" s="1">
        <v>25</v>
      </c>
      <c r="AC118" s="1">
        <f t="shared" si="16"/>
        <v>7.4460681976339593E-2</v>
      </c>
    </row>
    <row r="119" spans="1:41" x14ac:dyDescent="0.35">
      <c r="A119">
        <f t="shared" si="14"/>
        <v>12</v>
      </c>
      <c r="B119">
        <f t="shared" si="11"/>
        <v>9.4488188976377951E-2</v>
      </c>
      <c r="D119">
        <f t="shared" si="12"/>
        <v>1.1231006025215333E-2</v>
      </c>
      <c r="E119">
        <f t="shared" si="12"/>
        <v>6.0466058882600759E-2</v>
      </c>
      <c r="F119">
        <f t="shared" si="13"/>
        <v>12.40854264548169</v>
      </c>
      <c r="G119">
        <f t="shared" si="15"/>
        <v>0.30738931174713596</v>
      </c>
      <c r="T119" s="1">
        <v>137</v>
      </c>
      <c r="U119" s="1">
        <f>(T119-T$131)/(T$3-T$131)</f>
        <v>0.44620811287477952</v>
      </c>
      <c r="V119" s="1">
        <v>80.3</v>
      </c>
      <c r="W119" s="1">
        <f>(V119-V$131)/(V$3-V$131)</f>
        <v>0.26732193534989962</v>
      </c>
      <c r="X119" s="1">
        <v>70.8</v>
      </c>
      <c r="Y119" s="1">
        <f>(X119-X$131)/(X$3-X$131)</f>
        <v>0.21420959147424509</v>
      </c>
      <c r="Z119" s="1">
        <v>45.7</v>
      </c>
      <c r="AA119" s="1">
        <f>(Z119-Z$131)/(Z$3-Z$131)</f>
        <v>0.12504440497335703</v>
      </c>
      <c r="AB119" s="1">
        <v>21.3</v>
      </c>
      <c r="AC119" s="1">
        <f t="shared" si="16"/>
        <v>6.1586638830897704E-2</v>
      </c>
    </row>
    <row r="120" spans="1:41" x14ac:dyDescent="0.35">
      <c r="A120">
        <f t="shared" si="14"/>
        <v>11</v>
      </c>
      <c r="B120">
        <f t="shared" si="11"/>
        <v>8.6614173228346455E-2</v>
      </c>
      <c r="D120">
        <f t="shared" si="12"/>
        <v>9.5173749544185688E-3</v>
      </c>
      <c r="E120">
        <f t="shared" si="12"/>
        <v>5.4522183132248443E-2</v>
      </c>
      <c r="F120">
        <f t="shared" si="13"/>
        <v>12.467771636691317</v>
      </c>
      <c r="G120">
        <f t="shared" si="15"/>
        <v>0.29430285970127179</v>
      </c>
      <c r="Z120" s="1">
        <v>42.9</v>
      </c>
      <c r="AA120" s="1">
        <f>(Z120-Z$131)/(Z$3-Z$131)</f>
        <v>0.11509769094138543</v>
      </c>
      <c r="AB120" s="1">
        <v>18.3</v>
      </c>
      <c r="AC120" s="1">
        <f t="shared" si="16"/>
        <v>5.1148225469728609E-2</v>
      </c>
    </row>
    <row r="121" spans="1:41" x14ac:dyDescent="0.35">
      <c r="A121">
        <f t="shared" si="14"/>
        <v>10</v>
      </c>
      <c r="B121">
        <f t="shared" si="11"/>
        <v>7.874015748031496E-2</v>
      </c>
      <c r="D121">
        <f t="shared" si="12"/>
        <v>7.9388577155489748E-3</v>
      </c>
      <c r="E121">
        <f t="shared" si="12"/>
        <v>4.8679797332422378E-2</v>
      </c>
      <c r="F121">
        <f t="shared" si="13"/>
        <v>12.522489538025198</v>
      </c>
      <c r="G121">
        <f t="shared" si="15"/>
        <v>0.28060676663315687</v>
      </c>
      <c r="V121" s="1">
        <v>75.7</v>
      </c>
      <c r="W121" s="1">
        <f>(V121-V$131)/(V$3-V$131)</f>
        <v>0.25140167508825362</v>
      </c>
      <c r="X121" s="1">
        <v>66.599999999999994</v>
      </c>
      <c r="Y121" s="1">
        <f>(X121-X$131)/(X$3-X$131)</f>
        <v>0.19928952042628773</v>
      </c>
      <c r="Z121" s="1">
        <v>35.4</v>
      </c>
      <c r="AA121" s="1">
        <f>(Z121-Z$131)/(Z$3-Z$131)</f>
        <v>8.8454706927175844E-2</v>
      </c>
      <c r="AB121" s="1">
        <v>15</v>
      </c>
      <c r="AC121" s="1">
        <f t="shared" si="16"/>
        <v>3.9665970772442591E-2</v>
      </c>
    </row>
    <row r="122" spans="1:41" x14ac:dyDescent="0.35">
      <c r="A122">
        <f t="shared" si="14"/>
        <v>9</v>
      </c>
      <c r="B122">
        <f t="shared" si="11"/>
        <v>7.0866141732283464E-2</v>
      </c>
      <c r="D122">
        <f t="shared" si="12"/>
        <v>6.4967148444409076E-3</v>
      </c>
      <c r="E122">
        <f t="shared" si="12"/>
        <v>4.2947078707272116E-2</v>
      </c>
      <c r="F122">
        <f t="shared" si="13"/>
        <v>12.572613510165183</v>
      </c>
      <c r="G122">
        <f t="shared" si="15"/>
        <v>0.26620695282483414</v>
      </c>
      <c r="X122" s="1">
        <v>57.3</v>
      </c>
      <c r="Y122" s="1">
        <f>(X122-X$131)/(X$3-X$131)</f>
        <v>0.16625222024866784</v>
      </c>
    </row>
    <row r="123" spans="1:41" x14ac:dyDescent="0.35">
      <c r="A123">
        <f t="shared" si="14"/>
        <v>8</v>
      </c>
      <c r="B123">
        <f t="shared" si="11"/>
        <v>6.2992125984251968E-2</v>
      </c>
      <c r="D123">
        <f t="shared" si="12"/>
        <v>5.1923540168735309E-3</v>
      </c>
      <c r="E123">
        <f t="shared" si="12"/>
        <v>3.7333841941199264E-2</v>
      </c>
      <c r="F123">
        <f t="shared" si="13"/>
        <v>12.618058444982321</v>
      </c>
      <c r="G123">
        <f t="shared" si="15"/>
        <v>0.25098232205526344</v>
      </c>
      <c r="P123" s="1">
        <v>216</v>
      </c>
      <c r="Q123" s="1">
        <f>(P123-P$131)/(P$3-P$131)</f>
        <v>0.73390468949787468</v>
      </c>
      <c r="R123" s="1">
        <v>171</v>
      </c>
      <c r="S123" s="1">
        <f>(R123-R$131)/(R$3-R$131)</f>
        <v>0.57839444310052879</v>
      </c>
      <c r="T123" s="1">
        <v>124</v>
      </c>
      <c r="U123" s="1">
        <f>(T123-T$131)/(T$3-T$131)</f>
        <v>0.400352733686067</v>
      </c>
      <c r="V123" s="1">
        <v>56.7</v>
      </c>
      <c r="W123" s="1">
        <f>(V123-V$131)/(V$3-V$131)</f>
        <v>0.18564407835536789</v>
      </c>
      <c r="X123" s="1">
        <v>45.5</v>
      </c>
      <c r="Y123" s="1">
        <f>(X123-X$131)/(X$3-X$131)</f>
        <v>0.12433392539964476</v>
      </c>
      <c r="Z123" s="1">
        <v>24.8</v>
      </c>
      <c r="AA123" s="1">
        <f>(Z123-Z$131)/(Z$3-Z$131)</f>
        <v>5.079928952042629E-2</v>
      </c>
    </row>
    <row r="124" spans="1:41" x14ac:dyDescent="0.35">
      <c r="A124">
        <f t="shared" si="14"/>
        <v>7</v>
      </c>
      <c r="B124">
        <f t="shared" si="11"/>
        <v>5.5118110236220472E-2</v>
      </c>
      <c r="D124">
        <f t="shared" si="12"/>
        <v>4.0273669117695567E-3</v>
      </c>
      <c r="E124">
        <f t="shared" si="12"/>
        <v>3.1852113055009859E-2</v>
      </c>
      <c r="F124">
        <f t="shared" si="13"/>
        <v>12.658735747869462</v>
      </c>
      <c r="G124">
        <f t="shared" si="15"/>
        <v>0.23477246481693817</v>
      </c>
      <c r="R124" s="1">
        <v>166</v>
      </c>
      <c r="S124" s="1">
        <f t="shared" ref="S124:S130" si="17">(R124-R$131)/(R$3-R$131)</f>
        <v>0.561115526834157</v>
      </c>
      <c r="T124" s="1">
        <v>121</v>
      </c>
      <c r="U124" s="1">
        <f>(T124-T$131)/(T$3-T$131)</f>
        <v>0.38977072310405642</v>
      </c>
    </row>
    <row r="125" spans="1:41" x14ac:dyDescent="0.35">
      <c r="A125">
        <f t="shared" si="14"/>
        <v>6</v>
      </c>
      <c r="B125">
        <f t="shared" si="11"/>
        <v>4.7244094488188976E-2</v>
      </c>
      <c r="D125">
        <f t="shared" si="12"/>
        <v>3.0035816331393994E-3</v>
      </c>
      <c r="E125">
        <f t="shared" si="12"/>
        <v>2.6517015957772606E-2</v>
      </c>
      <c r="F125">
        <f t="shared" si="13"/>
        <v>12.694551580109696</v>
      </c>
      <c r="G125">
        <f t="shared" si="15"/>
        <v>0.21735706680066552</v>
      </c>
      <c r="R125" s="1">
        <v>163</v>
      </c>
      <c r="S125" s="1">
        <f t="shared" si="17"/>
        <v>0.55074817707433388</v>
      </c>
      <c r="T125" s="1">
        <v>99.2</v>
      </c>
      <c r="U125" s="1">
        <f>(T125-T$131)/(T$3-T$131)</f>
        <v>0.31287477954144621</v>
      </c>
      <c r="X125" s="1">
        <v>27</v>
      </c>
      <c r="Y125" s="1">
        <f>(X125-X$131)/(X$3-X$131)</f>
        <v>5.8614564831261103E-2</v>
      </c>
    </row>
    <row r="126" spans="1:41" x14ac:dyDescent="0.35">
      <c r="A126">
        <f t="shared" si="14"/>
        <v>5</v>
      </c>
      <c r="B126">
        <f t="shared" si="11"/>
        <v>3.937007874015748E-2</v>
      </c>
      <c r="D126">
        <f t="shared" si="12"/>
        <v>2.1231408093802312E-3</v>
      </c>
      <c r="E126">
        <f t="shared" si="12"/>
        <v>2.1348223888566085E-2</v>
      </c>
      <c r="F126">
        <f t="shared" si="13"/>
        <v>12.725404207795293</v>
      </c>
      <c r="G126">
        <f t="shared" si="15"/>
        <v>0.19841894753313627</v>
      </c>
      <c r="R126" s="1">
        <v>159</v>
      </c>
      <c r="S126" s="1">
        <f t="shared" si="17"/>
        <v>0.53692504406123653</v>
      </c>
    </row>
    <row r="127" spans="1:41" x14ac:dyDescent="0.35">
      <c r="A127">
        <f t="shared" si="14"/>
        <v>4</v>
      </c>
      <c r="B127">
        <f t="shared" si="11"/>
        <v>3.1496062992125984E-2</v>
      </c>
      <c r="D127">
        <f t="shared" si="12"/>
        <v>1.3886253041645842E-3</v>
      </c>
      <c r="E127">
        <f t="shared" si="12"/>
        <v>1.6372525360745981E-2</v>
      </c>
      <c r="F127">
        <f t="shared" si="13"/>
        <v>12.751179759704893</v>
      </c>
      <c r="G127">
        <f t="shared" si="15"/>
        <v>0.17747130188322274</v>
      </c>
      <c r="P127" s="1">
        <v>201</v>
      </c>
      <c r="Q127" s="1">
        <f>(P127-P$131)/(P$3-P$131)</f>
        <v>0.68206794069875942</v>
      </c>
      <c r="R127" s="1">
        <v>108</v>
      </c>
      <c r="S127" s="1">
        <f t="shared" si="17"/>
        <v>0.3606800981442444</v>
      </c>
      <c r="T127" s="1">
        <v>44.5</v>
      </c>
      <c r="U127" s="1">
        <f>(T127-T$131)/(T$3-T$131)</f>
        <v>0.11992945326278659</v>
      </c>
      <c r="V127" s="1">
        <v>14.4</v>
      </c>
      <c r="W127" s="1">
        <f>(V127-V$131)/(V$3-V$131)</f>
        <v>3.9246902471101269E-2</v>
      </c>
      <c r="X127" s="1">
        <v>15</v>
      </c>
      <c r="Y127" s="1">
        <f>(X127-X$131)/(X$3-X$131)</f>
        <v>1.5985790408525755E-2</v>
      </c>
      <c r="Z127" s="1">
        <v>11.2</v>
      </c>
      <c r="AA127" s="1">
        <f>(Z127-Z$131)/(Z$3-Z$131)</f>
        <v>2.4866785079928925E-3</v>
      </c>
      <c r="AB127" s="1">
        <v>4.1900000000000004</v>
      </c>
      <c r="AC127" s="1">
        <f>(AB127-AB$131)/(AB$3-AB$131)</f>
        <v>2.0528879610299247E-3</v>
      </c>
    </row>
    <row r="128" spans="1:41" x14ac:dyDescent="0.35">
      <c r="A128">
        <f t="shared" si="14"/>
        <v>3</v>
      </c>
      <c r="B128">
        <f t="shared" si="11"/>
        <v>2.3622047244094488E-2</v>
      </c>
      <c r="D128">
        <f t="shared" si="12"/>
        <v>8.0326754403636455E-4</v>
      </c>
      <c r="E128">
        <f t="shared" si="12"/>
        <v>1.1628873260451584E-2</v>
      </c>
      <c r="F128">
        <f t="shared" si="13"/>
        <v>12.771744851812231</v>
      </c>
      <c r="G128">
        <f t="shared" si="15"/>
        <v>0.15369465587356798</v>
      </c>
      <c r="P128" s="1">
        <v>163</v>
      </c>
      <c r="Q128" s="1">
        <f>(P128-P$131)/(P$3-P$131)</f>
        <v>0.55074817707433388</v>
      </c>
      <c r="R128" s="1">
        <v>62</v>
      </c>
      <c r="S128" s="1">
        <f t="shared" si="17"/>
        <v>0.20171406849362405</v>
      </c>
    </row>
    <row r="129" spans="1:54" x14ac:dyDescent="0.35">
      <c r="A129">
        <f t="shared" si="14"/>
        <v>2</v>
      </c>
      <c r="B129">
        <f t="shared" si="11"/>
        <v>1.5748031496062992E-2</v>
      </c>
      <c r="D129">
        <f t="shared" si="12"/>
        <v>3.7136917650450576E-4</v>
      </c>
      <c r="E129">
        <f t="shared" si="12"/>
        <v>7.1800696834379849E-3</v>
      </c>
      <c r="F129">
        <f t="shared" si="13"/>
        <v>12.78693205237667</v>
      </c>
      <c r="G129">
        <f t="shared" si="15"/>
        <v>0.12549116102763172</v>
      </c>
      <c r="P129" s="1">
        <v>71.8</v>
      </c>
      <c r="Q129" s="1">
        <f>(P129-P$131)/(P$3-P$131)</f>
        <v>0.23558074437571275</v>
      </c>
      <c r="R129" s="1">
        <v>27.3</v>
      </c>
      <c r="S129" s="1">
        <f t="shared" si="17"/>
        <v>8.1798389605003977E-2</v>
      </c>
      <c r="T129" s="1">
        <v>14.9</v>
      </c>
      <c r="U129" s="1">
        <f>(T129-T$131)/(T$3-T$131)</f>
        <v>1.5520282186948856E-2</v>
      </c>
    </row>
    <row r="130" spans="1:54" x14ac:dyDescent="0.35">
      <c r="A130">
        <f t="shared" si="14"/>
        <v>1</v>
      </c>
      <c r="B130">
        <f t="shared" si="11"/>
        <v>7.874015748031496E-3</v>
      </c>
      <c r="D130">
        <f t="shared" si="12"/>
        <v>9.9317695597233904E-5</v>
      </c>
      <c r="E130">
        <f t="shared" si="12"/>
        <v>3.1487751292557059E-3</v>
      </c>
      <c r="F130">
        <f t="shared" si="13"/>
        <v>12.796504320918778</v>
      </c>
      <c r="G130">
        <f t="shared" si="15"/>
        <v>8.8735650941611371E-2</v>
      </c>
      <c r="H130" s="1">
        <v>295</v>
      </c>
      <c r="I130" s="1">
        <f>(H130-H$131)/(H$3-H$131)</f>
        <v>1</v>
      </c>
      <c r="P130" s="1">
        <v>18.399999999999999</v>
      </c>
      <c r="Q130" s="1">
        <f>(P130-P$131)/(P$3-P$131)</f>
        <v>5.1041918650862217E-2</v>
      </c>
      <c r="R130" s="1">
        <v>7.6</v>
      </c>
      <c r="S130" s="1">
        <f t="shared" si="17"/>
        <v>1.3719459515499187E-2</v>
      </c>
    </row>
    <row r="131" spans="1:54" x14ac:dyDescent="0.35">
      <c r="A131">
        <f t="shared" si="14"/>
        <v>0</v>
      </c>
      <c r="B131">
        <f t="shared" si="11"/>
        <v>0</v>
      </c>
      <c r="D131">
        <f t="shared" si="12"/>
        <v>0</v>
      </c>
      <c r="E131">
        <f t="shared" si="12"/>
        <v>0</v>
      </c>
      <c r="F131">
        <f t="shared" si="13"/>
        <v>12.8</v>
      </c>
      <c r="G131">
        <f t="shared" si="15"/>
        <v>0</v>
      </c>
      <c r="H131" s="1">
        <v>3.66</v>
      </c>
      <c r="I131" s="1">
        <f>(H131-H$131)/(H$3-H$131)</f>
        <v>0</v>
      </c>
      <c r="P131" s="1">
        <v>3.63</v>
      </c>
      <c r="Q131" s="1">
        <f>(P131-P$131)/(P$3-P$131)</f>
        <v>0</v>
      </c>
      <c r="R131" s="1">
        <v>3.63</v>
      </c>
      <c r="S131" s="1">
        <f>(R131-R$131)/(R$3-R$131)</f>
        <v>0</v>
      </c>
      <c r="T131" s="1">
        <v>10.5</v>
      </c>
      <c r="U131" s="1">
        <f>(T131-T$131)/(T$3-T$131)</f>
        <v>0</v>
      </c>
      <c r="V131" s="1">
        <v>3.06</v>
      </c>
      <c r="W131" s="1">
        <f>(V131-V$131)/(V$3-V$131)</f>
        <v>0</v>
      </c>
      <c r="X131" s="1">
        <v>10.5</v>
      </c>
      <c r="Y131" s="1">
        <f>(X131-X$131)/(X$3-X$131)</f>
        <v>0</v>
      </c>
      <c r="Z131" s="1">
        <v>10.5</v>
      </c>
      <c r="AA131" s="1">
        <f>(Z131-Z$131)/(Z$3-Z$131)</f>
        <v>0</v>
      </c>
      <c r="AB131" s="1">
        <v>3.6</v>
      </c>
      <c r="AC131" s="1">
        <f>(AB131-AB$131)/(AB$3-AB$131)</f>
        <v>0</v>
      </c>
      <c r="AD131" s="1">
        <v>10.4</v>
      </c>
      <c r="AE131" s="1">
        <f>(AD131-AD$131)/(AD$3-AD$131)</f>
        <v>0</v>
      </c>
      <c r="AF131" s="1">
        <v>3.75</v>
      </c>
      <c r="AG131" s="1">
        <f>(AF131-AF$131)/(AF$3-AF$131)</f>
        <v>0</v>
      </c>
      <c r="AI131" s="1">
        <v>10.3</v>
      </c>
      <c r="AJ131" s="1">
        <f>(AI131-AI$131)/(AI$3-AI$131)</f>
        <v>0</v>
      </c>
      <c r="AL131" s="1">
        <v>10.6</v>
      </c>
      <c r="AM131" s="1">
        <f>(AL131-AL$131)/(AL$3-AL$131)</f>
        <v>0</v>
      </c>
      <c r="AN131" s="1">
        <v>3.65</v>
      </c>
      <c r="AO131" s="1">
        <f>(AN131-AN$131)/(AN$3-AN$131)</f>
        <v>0</v>
      </c>
      <c r="AR131" s="1">
        <v>3.65</v>
      </c>
      <c r="AS131" s="1">
        <f>(AR131-AR$131)/(AR$3-AR$131)</f>
        <v>0</v>
      </c>
      <c r="BA131" s="1">
        <v>3.62</v>
      </c>
      <c r="BB131" s="1">
        <f>(BA131-BA$131)/(BA$3-BA$131)</f>
        <v>0</v>
      </c>
    </row>
    <row r="189" spans="2:13" x14ac:dyDescent="0.35">
      <c r="B189" t="s">
        <v>23</v>
      </c>
      <c r="C189" s="1" t="s">
        <v>16</v>
      </c>
      <c r="D189" s="1" t="s">
        <v>15</v>
      </c>
      <c r="E189" s="1"/>
      <c r="F189" s="1"/>
      <c r="G189" s="1"/>
      <c r="H189" s="1" t="s">
        <v>17</v>
      </c>
      <c r="I189" s="1" t="s">
        <v>18</v>
      </c>
      <c r="J189" s="1" t="s">
        <v>19</v>
      </c>
      <c r="K189" s="1" t="s">
        <v>20</v>
      </c>
      <c r="L189" s="1" t="s">
        <v>21</v>
      </c>
      <c r="M189" s="1" t="s">
        <v>22</v>
      </c>
    </row>
    <row r="190" spans="2:13" x14ac:dyDescent="0.35">
      <c r="B190">
        <v>0.5</v>
      </c>
      <c r="C190" s="1">
        <v>0</v>
      </c>
      <c r="D190" s="1">
        <v>1</v>
      </c>
      <c r="E190" s="1"/>
      <c r="F190" s="1"/>
      <c r="G190" s="1"/>
      <c r="H190" s="1">
        <v>0</v>
      </c>
      <c r="I190" s="1">
        <v>0</v>
      </c>
      <c r="J190" s="1">
        <v>0</v>
      </c>
      <c r="K190" s="1">
        <v>0</v>
      </c>
      <c r="L190" s="1">
        <v>127</v>
      </c>
    </row>
    <row r="191" spans="2:13" x14ac:dyDescent="0.35">
      <c r="B191">
        <v>0.4</v>
      </c>
      <c r="C191" s="1">
        <v>0.1149</v>
      </c>
      <c r="D191" s="1">
        <v>0.88549999999999995</v>
      </c>
      <c r="E191" s="1"/>
      <c r="F191" s="1"/>
      <c r="G191" s="1"/>
      <c r="H191" s="1">
        <v>0</v>
      </c>
      <c r="I191" s="1">
        <v>1.7885</v>
      </c>
      <c r="J191" s="1">
        <v>0.62370000000000003</v>
      </c>
      <c r="K191" s="1">
        <v>0</v>
      </c>
      <c r="L191" s="1">
        <v>20.754999999999999</v>
      </c>
    </row>
    <row r="192" spans="2:13" x14ac:dyDescent="0.35">
      <c r="B192">
        <v>0.35</v>
      </c>
      <c r="C192" s="1">
        <v>0.18340000000000001</v>
      </c>
      <c r="D192" s="1">
        <v>0.81710000000000005</v>
      </c>
      <c r="E192" s="1"/>
      <c r="F192" s="1"/>
      <c r="G192" s="1"/>
      <c r="H192" s="1">
        <v>0</v>
      </c>
      <c r="I192" s="1">
        <v>1.6966000000000001</v>
      </c>
      <c r="J192" s="1">
        <v>0.46989999999999998</v>
      </c>
      <c r="K192" s="1">
        <v>0</v>
      </c>
      <c r="L192" s="1">
        <v>11.337</v>
      </c>
    </row>
    <row r="193" spans="2:12" x14ac:dyDescent="0.35">
      <c r="B193">
        <v>0.3</v>
      </c>
      <c r="C193" s="1">
        <v>0.27600000000000002</v>
      </c>
      <c r="D193" s="1">
        <v>0.72370000000000001</v>
      </c>
      <c r="E193" s="1"/>
      <c r="F193" s="1"/>
      <c r="G193" s="1"/>
      <c r="H193" s="1">
        <v>0</v>
      </c>
      <c r="I193" s="1">
        <v>1.5585</v>
      </c>
      <c r="J193" s="1">
        <v>0.30180000000000001</v>
      </c>
      <c r="K193" s="1">
        <v>145.44999999999999</v>
      </c>
      <c r="L193" s="1">
        <v>0.68410000000000004</v>
      </c>
    </row>
    <row r="194" spans="2:12" x14ac:dyDescent="0.35">
      <c r="B194">
        <v>0.2</v>
      </c>
      <c r="C194" s="1">
        <v>0.52580000000000005</v>
      </c>
      <c r="D194" s="1">
        <v>0.47320000000000001</v>
      </c>
      <c r="E194" s="1"/>
      <c r="F194" s="1"/>
      <c r="G194" s="1"/>
      <c r="H194" s="1">
        <v>0.91590000000000005</v>
      </c>
      <c r="I194" s="1">
        <v>0.85319999999999996</v>
      </c>
      <c r="J194" s="1">
        <v>0.12559999999999999</v>
      </c>
      <c r="K194" s="1">
        <v>42.420999999999999</v>
      </c>
      <c r="L194" s="1">
        <v>0.74019999999999997</v>
      </c>
    </row>
    <row r="195" spans="2:12" x14ac:dyDescent="0.35">
      <c r="B195">
        <v>0.15</v>
      </c>
      <c r="C195" s="1">
        <v>0.69010000000000005</v>
      </c>
      <c r="D195" s="1">
        <v>0.30740000000000001</v>
      </c>
      <c r="E195" s="1"/>
      <c r="F195" s="1"/>
      <c r="G195" s="1"/>
      <c r="H195" s="1">
        <v>1.0013000000000001</v>
      </c>
      <c r="I195" s="1">
        <v>0.64570000000000005</v>
      </c>
      <c r="J195" s="1">
        <v>5.4100000000000002E-2</v>
      </c>
      <c r="K195" s="1">
        <v>22.355</v>
      </c>
      <c r="L195" s="1">
        <v>0.6169</v>
      </c>
    </row>
    <row r="196" spans="2:12" x14ac:dyDescent="0.35">
      <c r="B196">
        <v>0.1</v>
      </c>
      <c r="C196" s="1">
        <v>0.94630000000000003</v>
      </c>
      <c r="D196" s="1">
        <v>5.04E-2</v>
      </c>
      <c r="E196" s="1"/>
      <c r="F196" s="1"/>
      <c r="G196" s="1"/>
      <c r="H196" s="1">
        <v>0.77559999999999996</v>
      </c>
      <c r="I196" s="1">
        <v>0.55989999999999995</v>
      </c>
      <c r="J196" s="1">
        <v>0</v>
      </c>
      <c r="K196" s="1">
        <v>9.3186999999999998</v>
      </c>
      <c r="L196" s="1">
        <v>0.22559999999999999</v>
      </c>
    </row>
    <row r="197" spans="2:12" x14ac:dyDescent="0.35">
      <c r="B197">
        <v>0.05</v>
      </c>
      <c r="C197" s="1">
        <v>1.3259000000000001</v>
      </c>
      <c r="D197" s="1">
        <v>-0.3256</v>
      </c>
      <c r="E197" s="1"/>
      <c r="F197" s="1"/>
      <c r="G197" s="1"/>
      <c r="H197" s="1">
        <v>1.1932</v>
      </c>
      <c r="I197" s="1">
        <v>6.3399999999999998E-2</v>
      </c>
      <c r="J197" s="1">
        <v>0</v>
      </c>
      <c r="K197" s="1">
        <v>0</v>
      </c>
      <c r="L197" s="1">
        <v>0.20019999999999999</v>
      </c>
    </row>
    <row r="198" spans="2:12" x14ac:dyDescent="0.35">
      <c r="B198">
        <v>0.02</v>
      </c>
      <c r="C198" s="1">
        <v>1.5879000000000001</v>
      </c>
      <c r="D198" s="1">
        <v>-0.5907</v>
      </c>
      <c r="E198" s="1"/>
      <c r="F198" s="1"/>
      <c r="G198" s="1"/>
      <c r="H198" s="1">
        <v>1.0569999999999999</v>
      </c>
      <c r="I198" s="1">
        <v>1.84E-2</v>
      </c>
      <c r="J198" s="1">
        <v>0</v>
      </c>
      <c r="K198" s="1">
        <v>0</v>
      </c>
      <c r="L198" s="1">
        <v>0.27379999999999999</v>
      </c>
    </row>
    <row r="199" spans="2:12" x14ac:dyDescent="0.35">
      <c r="B199">
        <v>0</v>
      </c>
      <c r="C199" s="1"/>
      <c r="D199" s="1"/>
      <c r="E199" s="1"/>
      <c r="F199" s="1"/>
      <c r="G199" s="1"/>
      <c r="H199" s="1">
        <v>1.1271</v>
      </c>
      <c r="I199" s="1">
        <v>-0.1171</v>
      </c>
    </row>
    <row r="200" spans="2:12" x14ac:dyDescent="0.35">
      <c r="B200">
        <v>-0.1</v>
      </c>
      <c r="C200" s="1">
        <v>3.5649999999999999</v>
      </c>
      <c r="D200" s="1">
        <v>-2.5701000000000001</v>
      </c>
      <c r="E200" s="1"/>
      <c r="F200" s="1"/>
      <c r="G200" s="1"/>
      <c r="H200" s="1">
        <v>1.0894999999999999</v>
      </c>
      <c r="I200" s="1">
        <v>-0.29880000000000001</v>
      </c>
      <c r="J200" s="1">
        <v>2.3699999999999999E-2</v>
      </c>
      <c r="K200" s="1">
        <v>0</v>
      </c>
      <c r="L200" s="1">
        <v>6.7369999999999999E-2</v>
      </c>
    </row>
    <row r="201" spans="2:12" x14ac:dyDescent="0.35">
      <c r="B201">
        <v>-0.3</v>
      </c>
      <c r="C201" s="1">
        <v>7.7225000000000001</v>
      </c>
      <c r="D201" s="1">
        <v>-6.28</v>
      </c>
      <c r="E201" s="1"/>
      <c r="F201" s="1"/>
      <c r="G201" s="1"/>
      <c r="H201" s="1">
        <v>1.077</v>
      </c>
      <c r="I201" s="1">
        <v>-0.68049999999999999</v>
      </c>
      <c r="J201" s="1">
        <v>0.10009999999999999</v>
      </c>
      <c r="K201" s="1">
        <v>0</v>
      </c>
      <c r="L201" s="1">
        <v>6.1100000000000002E-2</v>
      </c>
    </row>
    <row r="202" spans="2:12" x14ac:dyDescent="0.35">
      <c r="B202">
        <v>-0.5</v>
      </c>
      <c r="C202" s="1">
        <v>15.1</v>
      </c>
      <c r="D202" s="1">
        <v>-14.129</v>
      </c>
      <c r="E202" s="1"/>
      <c r="F202" s="1"/>
      <c r="G202" s="1"/>
      <c r="H202" s="1">
        <v>1.2814000000000001</v>
      </c>
      <c r="I202" s="1">
        <v>-1.3818999999999999</v>
      </c>
      <c r="J202" s="1">
        <v>0.37040000000000001</v>
      </c>
      <c r="K202" s="1">
        <v>0</v>
      </c>
      <c r="L202" s="1">
        <v>5.5300000000000002E-2</v>
      </c>
    </row>
    <row r="220" spans="1:14" x14ac:dyDescent="0.35">
      <c r="C220" t="s">
        <v>24</v>
      </c>
      <c r="D220">
        <v>45</v>
      </c>
      <c r="H220" s="1">
        <f>(1-$C$221)^2.25*12.8</f>
        <v>1.5131865744050847E-2</v>
      </c>
    </row>
    <row r="221" spans="1:14" x14ac:dyDescent="0.35">
      <c r="A221" t="s">
        <v>4</v>
      </c>
      <c r="B221" t="s">
        <v>5</v>
      </c>
      <c r="C221">
        <f>D220/100+0.5</f>
        <v>0.95</v>
      </c>
      <c r="D221">
        <f>$D220/100+0.5</f>
        <v>0.95</v>
      </c>
    </row>
    <row r="222" spans="1:14" x14ac:dyDescent="0.35">
      <c r="B222">
        <v>0</v>
      </c>
      <c r="I222" s="1" t="s">
        <v>17</v>
      </c>
      <c r="J222" s="1" t="s">
        <v>18</v>
      </c>
      <c r="K222" s="1" t="s">
        <v>19</v>
      </c>
    </row>
    <row r="223" spans="1:14" x14ac:dyDescent="0.35">
      <c r="I223">
        <f xml:space="preserve"> IF($C$221&lt;=0.2, IF($C$221&gt;0,-1.0477*$C$221+1.0976, IF($C$221&lt;0,-0.4798*$C$221+1.0054, $H$199)),0)</f>
        <v>0</v>
      </c>
      <c r="J223">
        <f>IF($C$221&gt;0,4.9638*$C$221-0.0761, IF($C$221&lt;0,2.7078*$C$221+0.0253, $I$199))</f>
        <v>4.6395099999999996</v>
      </c>
      <c r="K223">
        <f>IF($C$221&gt;0,4.9296*$C$221^2-0.4118*$C$221, IF($C$221&lt;0,1.7615*$C$221^2+0.1483*$C$221, 0))</f>
        <v>4.0577539999999992</v>
      </c>
    </row>
    <row r="224" spans="1:14" x14ac:dyDescent="0.35">
      <c r="A224">
        <v>127</v>
      </c>
      <c r="B224">
        <f>A224/127</f>
        <v>1</v>
      </c>
      <c r="H224"/>
      <c r="J224" s="1">
        <f t="shared" ref="J224:J255" si="18">$I$223*B224^2+$J$223*B224+$K$223</f>
        <v>8.6972639999999988</v>
      </c>
      <c r="N224" s="1">
        <f t="shared" ref="N224:N255" si="19">IF(B224 = 0, 0, B224^((1-$D$221)^2.25*12.8))</f>
        <v>1</v>
      </c>
    </row>
    <row r="225" spans="1:14" x14ac:dyDescent="0.35">
      <c r="A225">
        <f>A224-1</f>
        <v>126</v>
      </c>
      <c r="B225">
        <f t="shared" ref="B225:B288" si="20">A225/127</f>
        <v>0.99212598425196852</v>
      </c>
      <c r="J225" s="1">
        <f t="shared" si="18"/>
        <v>8.6607324251968496</v>
      </c>
      <c r="N225" s="1">
        <f t="shared" si="19"/>
        <v>0.99988038703921645</v>
      </c>
    </row>
    <row r="226" spans="1:14" x14ac:dyDescent="0.35">
      <c r="A226">
        <f t="shared" ref="A226:A289" si="21">A225-1</f>
        <v>125</v>
      </c>
      <c r="B226">
        <f t="shared" si="20"/>
        <v>0.98425196850393704</v>
      </c>
      <c r="J226" s="1">
        <f t="shared" si="18"/>
        <v>8.6242008503936987</v>
      </c>
      <c r="N226" s="1">
        <f t="shared" si="19"/>
        <v>0.99975983545578107</v>
      </c>
    </row>
    <row r="227" spans="1:14" x14ac:dyDescent="0.35">
      <c r="A227">
        <f t="shared" si="21"/>
        <v>124</v>
      </c>
      <c r="B227">
        <f t="shared" si="20"/>
        <v>0.97637795275590555</v>
      </c>
      <c r="J227" s="1">
        <f t="shared" si="18"/>
        <v>8.5876692755905495</v>
      </c>
      <c r="N227" s="1">
        <f t="shared" si="19"/>
        <v>0.999638330286167</v>
      </c>
    </row>
    <row r="228" spans="1:14" x14ac:dyDescent="0.35">
      <c r="A228">
        <f t="shared" si="21"/>
        <v>123</v>
      </c>
      <c r="B228">
        <f t="shared" si="20"/>
        <v>0.96850393700787396</v>
      </c>
      <c r="J228" s="1">
        <f t="shared" si="18"/>
        <v>8.5511377007874003</v>
      </c>
      <c r="N228" s="1">
        <f t="shared" si="19"/>
        <v>0.99951585620520877</v>
      </c>
    </row>
    <row r="229" spans="1:14" x14ac:dyDescent="0.35">
      <c r="A229">
        <f t="shared" si="21"/>
        <v>122</v>
      </c>
      <c r="B229">
        <f t="shared" si="20"/>
        <v>0.96062992125984248</v>
      </c>
      <c r="J229" s="1">
        <f t="shared" si="18"/>
        <v>8.5146061259842512</v>
      </c>
      <c r="N229" s="1">
        <f t="shared" si="19"/>
        <v>0.99939239751433839</v>
      </c>
    </row>
    <row r="230" spans="1:14" x14ac:dyDescent="0.35">
      <c r="A230">
        <f t="shared" si="21"/>
        <v>121</v>
      </c>
      <c r="B230">
        <f t="shared" si="20"/>
        <v>0.952755905511811</v>
      </c>
      <c r="J230" s="1">
        <f t="shared" si="18"/>
        <v>8.478074551181102</v>
      </c>
      <c r="N230" s="1">
        <f t="shared" si="19"/>
        <v>0.99926793812933934</v>
      </c>
    </row>
    <row r="231" spans="1:14" x14ac:dyDescent="0.35">
      <c r="A231">
        <f t="shared" si="21"/>
        <v>120</v>
      </c>
      <c r="B231">
        <f t="shared" si="20"/>
        <v>0.94488188976377951</v>
      </c>
      <c r="J231" s="1">
        <f t="shared" si="18"/>
        <v>8.4415429763779528</v>
      </c>
      <c r="N231" s="1">
        <f t="shared" si="19"/>
        <v>0.99914246156759379</v>
      </c>
    </row>
    <row r="232" spans="1:14" x14ac:dyDescent="0.35">
      <c r="A232">
        <f t="shared" si="21"/>
        <v>119</v>
      </c>
      <c r="B232">
        <f t="shared" si="20"/>
        <v>0.93700787401574803</v>
      </c>
      <c r="J232" s="1">
        <f t="shared" si="18"/>
        <v>8.4050114015748019</v>
      </c>
      <c r="N232" s="1">
        <f t="shared" si="19"/>
        <v>0.99901595093479822</v>
      </c>
    </row>
    <row r="233" spans="1:14" x14ac:dyDescent="0.35">
      <c r="A233">
        <f t="shared" si="21"/>
        <v>118</v>
      </c>
      <c r="B233">
        <f t="shared" si="20"/>
        <v>0.92913385826771655</v>
      </c>
      <c r="J233" s="1">
        <f t="shared" si="18"/>
        <v>8.3684798267716527</v>
      </c>
      <c r="N233" s="1">
        <f t="shared" si="19"/>
        <v>0.99888838891111931</v>
      </c>
    </row>
    <row r="234" spans="1:14" x14ac:dyDescent="0.35">
      <c r="A234">
        <f t="shared" si="21"/>
        <v>117</v>
      </c>
      <c r="B234">
        <f t="shared" si="20"/>
        <v>0.92125984251968507</v>
      </c>
      <c r="J234" s="1">
        <f t="shared" si="18"/>
        <v>8.3319482519685018</v>
      </c>
      <c r="N234" s="1">
        <f t="shared" si="19"/>
        <v>0.99875975773676351</v>
      </c>
    </row>
    <row r="235" spans="1:14" x14ac:dyDescent="0.35">
      <c r="A235">
        <f t="shared" si="21"/>
        <v>116</v>
      </c>
      <c r="B235">
        <f t="shared" si="20"/>
        <v>0.91338582677165359</v>
      </c>
      <c r="J235" s="1">
        <f t="shared" si="18"/>
        <v>8.2954166771653526</v>
      </c>
      <c r="N235" s="1">
        <f t="shared" si="19"/>
        <v>0.99863003919692894</v>
      </c>
    </row>
    <row r="236" spans="1:14" x14ac:dyDescent="0.35">
      <c r="A236">
        <f t="shared" si="21"/>
        <v>115</v>
      </c>
      <c r="B236">
        <f t="shared" si="20"/>
        <v>0.90551181102362199</v>
      </c>
      <c r="J236" s="1">
        <f t="shared" si="18"/>
        <v>8.2588851023622034</v>
      </c>
      <c r="N236" s="1">
        <f t="shared" si="19"/>
        <v>0.99849921460610702</v>
      </c>
    </row>
    <row r="237" spans="1:14" x14ac:dyDescent="0.35">
      <c r="A237">
        <f t="shared" si="21"/>
        <v>114</v>
      </c>
      <c r="B237">
        <f t="shared" si="20"/>
        <v>0.89763779527559051</v>
      </c>
      <c r="J237" s="1">
        <f t="shared" si="18"/>
        <v>8.2223535275590542</v>
      </c>
      <c r="N237" s="1">
        <f t="shared" si="19"/>
        <v>0.99836726479170212</v>
      </c>
    </row>
    <row r="238" spans="1:14" x14ac:dyDescent="0.35">
      <c r="A238">
        <f t="shared" si="21"/>
        <v>113</v>
      </c>
      <c r="B238">
        <f t="shared" si="20"/>
        <v>0.88976377952755903</v>
      </c>
      <c r="J238" s="1">
        <f t="shared" si="18"/>
        <v>8.1858219527559051</v>
      </c>
      <c r="N238" s="1">
        <f t="shared" si="19"/>
        <v>0.99823417007693038</v>
      </c>
    </row>
    <row r="239" spans="1:14" x14ac:dyDescent="0.35">
      <c r="A239">
        <f t="shared" si="21"/>
        <v>112</v>
      </c>
      <c r="B239">
        <f t="shared" si="20"/>
        <v>0.88188976377952755</v>
      </c>
      <c r="J239" s="1">
        <f t="shared" si="18"/>
        <v>8.1492903779527559</v>
      </c>
      <c r="N239" s="1">
        <f t="shared" si="19"/>
        <v>0.99809991026296185</v>
      </c>
    </row>
    <row r="240" spans="1:14" x14ac:dyDescent="0.35">
      <c r="A240">
        <f t="shared" si="21"/>
        <v>111</v>
      </c>
      <c r="B240">
        <f t="shared" si="20"/>
        <v>0.87401574803149606</v>
      </c>
      <c r="J240" s="1">
        <f t="shared" si="18"/>
        <v>8.112758803149605</v>
      </c>
      <c r="N240" s="1">
        <f t="shared" si="19"/>
        <v>0.99796446461026389</v>
      </c>
    </row>
    <row r="241" spans="1:14" x14ac:dyDescent="0.35">
      <c r="A241">
        <f t="shared" si="21"/>
        <v>110</v>
      </c>
      <c r="B241">
        <f t="shared" si="20"/>
        <v>0.86614173228346458</v>
      </c>
      <c r="J241" s="1">
        <f t="shared" si="18"/>
        <v>8.0762272283464558</v>
      </c>
      <c r="N241" s="1">
        <f t="shared" si="19"/>
        <v>0.99782781181910241</v>
      </c>
    </row>
    <row r="242" spans="1:14" x14ac:dyDescent="0.35">
      <c r="A242">
        <f t="shared" si="21"/>
        <v>109</v>
      </c>
      <c r="B242">
        <f t="shared" si="20"/>
        <v>0.8582677165354331</v>
      </c>
      <c r="J242" s="1">
        <f t="shared" si="18"/>
        <v>8.0396956535433066</v>
      </c>
      <c r="N242" s="1">
        <f t="shared" si="19"/>
        <v>0.99768993000915673</v>
      </c>
    </row>
    <row r="243" spans="1:14" x14ac:dyDescent="0.35">
      <c r="A243">
        <f t="shared" si="21"/>
        <v>108</v>
      </c>
      <c r="B243">
        <f t="shared" si="20"/>
        <v>0.85039370078740162</v>
      </c>
      <c r="J243" s="1">
        <f t="shared" si="18"/>
        <v>8.0031640787401557</v>
      </c>
      <c r="N243" s="1">
        <f t="shared" si="19"/>
        <v>0.9975507966981968</v>
      </c>
    </row>
    <row r="244" spans="1:14" x14ac:dyDescent="0.35">
      <c r="A244">
        <f t="shared" si="21"/>
        <v>107</v>
      </c>
      <c r="B244">
        <f t="shared" si="20"/>
        <v>0.84251968503937003</v>
      </c>
      <c r="J244" s="1">
        <f t="shared" si="18"/>
        <v>7.9666325039370065</v>
      </c>
      <c r="N244" s="1">
        <f t="shared" si="19"/>
        <v>0.99741038877977184</v>
      </c>
    </row>
    <row r="245" spans="1:14" x14ac:dyDescent="0.35">
      <c r="A245">
        <f t="shared" si="21"/>
        <v>106</v>
      </c>
      <c r="B245">
        <f t="shared" si="20"/>
        <v>0.83464566929133854</v>
      </c>
      <c r="J245" s="1">
        <f t="shared" si="18"/>
        <v>7.9301009291338573</v>
      </c>
      <c r="N245" s="1">
        <f t="shared" si="19"/>
        <v>0.99726868249985567</v>
      </c>
    </row>
    <row r="246" spans="1:14" x14ac:dyDescent="0.35">
      <c r="A246">
        <f t="shared" si="21"/>
        <v>105</v>
      </c>
      <c r="B246">
        <f t="shared" si="20"/>
        <v>0.82677165354330706</v>
      </c>
      <c r="J246" s="1">
        <f t="shared" si="18"/>
        <v>7.8935693543307073</v>
      </c>
      <c r="N246" s="1">
        <f t="shared" si="19"/>
        <v>0.99712565343238679</v>
      </c>
    </row>
    <row r="247" spans="1:14" x14ac:dyDescent="0.35">
      <c r="A247">
        <f t="shared" si="21"/>
        <v>104</v>
      </c>
      <c r="B247">
        <f t="shared" si="20"/>
        <v>0.81889763779527558</v>
      </c>
      <c r="J247" s="1">
        <f t="shared" si="18"/>
        <v>7.8570377795275572</v>
      </c>
      <c r="N247" s="1">
        <f t="shared" si="19"/>
        <v>0.99698127645364365</v>
      </c>
    </row>
    <row r="248" spans="1:14" x14ac:dyDescent="0.35">
      <c r="A248">
        <f t="shared" si="21"/>
        <v>103</v>
      </c>
      <c r="B248">
        <f t="shared" si="20"/>
        <v>0.8110236220472441</v>
      </c>
      <c r="J248" s="1">
        <f t="shared" si="18"/>
        <v>7.8205062047244081</v>
      </c>
      <c r="N248" s="1">
        <f t="shared" si="19"/>
        <v>0.99683552571538447</v>
      </c>
    </row>
    <row r="249" spans="1:14" x14ac:dyDescent="0.35">
      <c r="A249">
        <f t="shared" si="21"/>
        <v>102</v>
      </c>
      <c r="B249">
        <f t="shared" si="20"/>
        <v>0.80314960629921262</v>
      </c>
      <c r="J249" s="1">
        <f t="shared" si="18"/>
        <v>7.7839746299212589</v>
      </c>
      <c r="N249" s="1">
        <f t="shared" si="19"/>
        <v>0.99668837461668103</v>
      </c>
    </row>
    <row r="250" spans="1:14" x14ac:dyDescent="0.35">
      <c r="A250">
        <f t="shared" si="21"/>
        <v>101</v>
      </c>
      <c r="B250">
        <f t="shared" si="20"/>
        <v>0.79527559055118113</v>
      </c>
      <c r="J250" s="1">
        <f t="shared" si="18"/>
        <v>7.7474430551181097</v>
      </c>
      <c r="N250" s="1">
        <f t="shared" si="19"/>
        <v>0.99653979577436991</v>
      </c>
    </row>
    <row r="251" spans="1:14" x14ac:dyDescent="0.35">
      <c r="A251">
        <f t="shared" si="21"/>
        <v>100</v>
      </c>
      <c r="B251">
        <f t="shared" si="20"/>
        <v>0.78740157480314965</v>
      </c>
      <c r="J251" s="1">
        <f t="shared" si="18"/>
        <v>7.7109114803149597</v>
      </c>
      <c r="N251" s="1">
        <f t="shared" si="19"/>
        <v>0.99638976099203702</v>
      </c>
    </row>
    <row r="252" spans="1:14" x14ac:dyDescent="0.35">
      <c r="A252">
        <f t="shared" si="21"/>
        <v>99</v>
      </c>
      <c r="B252">
        <f t="shared" si="20"/>
        <v>0.77952755905511806</v>
      </c>
      <c r="J252" s="1">
        <f t="shared" si="18"/>
        <v>7.6743799055118096</v>
      </c>
      <c r="N252" s="1">
        <f t="shared" si="19"/>
        <v>0.99623824122744931</v>
      </c>
    </row>
    <row r="253" spans="1:14" x14ac:dyDescent="0.35">
      <c r="A253">
        <f t="shared" si="21"/>
        <v>98</v>
      </c>
      <c r="B253">
        <f t="shared" si="20"/>
        <v>0.77165354330708658</v>
      </c>
      <c r="J253" s="1">
        <f t="shared" si="18"/>
        <v>7.6378483307086604</v>
      </c>
      <c r="N253" s="1">
        <f t="shared" si="19"/>
        <v>0.99608520655833754</v>
      </c>
    </row>
    <row r="254" spans="1:14" x14ac:dyDescent="0.35">
      <c r="A254">
        <f t="shared" si="21"/>
        <v>97</v>
      </c>
      <c r="B254">
        <f t="shared" si="20"/>
        <v>0.76377952755905509</v>
      </c>
      <c r="J254" s="1">
        <f t="shared" si="18"/>
        <v>7.6013167559055104</v>
      </c>
      <c r="N254" s="1">
        <f t="shared" si="19"/>
        <v>0.99593062614643046</v>
      </c>
    </row>
    <row r="255" spans="1:14" x14ac:dyDescent="0.35">
      <c r="A255">
        <f t="shared" si="21"/>
        <v>96</v>
      </c>
      <c r="B255">
        <f t="shared" si="20"/>
        <v>0.75590551181102361</v>
      </c>
      <c r="J255" s="1">
        <f t="shared" si="18"/>
        <v>7.5647851811023612</v>
      </c>
      <c r="N255" s="1">
        <f t="shared" si="19"/>
        <v>0.99577446819963034</v>
      </c>
    </row>
    <row r="256" spans="1:14" x14ac:dyDescent="0.35">
      <c r="A256">
        <f t="shared" si="21"/>
        <v>95</v>
      </c>
      <c r="B256">
        <f t="shared" si="20"/>
        <v>0.74803149606299213</v>
      </c>
      <c r="J256" s="1">
        <f t="shared" ref="J256:J287" si="22">$I$223*B256^2+$J$223*B256+$K$223</f>
        <v>7.5282536062992111</v>
      </c>
      <c r="N256" s="1">
        <f t="shared" ref="N256:N287" si="23">IF(B256 = 0, 0, B256^((1-$D$221)^2.25*12.8))</f>
        <v>0.99561669993221513</v>
      </c>
    </row>
    <row r="257" spans="1:14" x14ac:dyDescent="0.35">
      <c r="A257">
        <f t="shared" si="21"/>
        <v>94</v>
      </c>
      <c r="B257">
        <f t="shared" si="20"/>
        <v>0.74015748031496065</v>
      </c>
      <c r="J257" s="1">
        <f t="shared" si="22"/>
        <v>7.491722031496062</v>
      </c>
      <c r="N257" s="1">
        <f t="shared" si="23"/>
        <v>0.99545728752293994</v>
      </c>
    </row>
    <row r="258" spans="1:14" x14ac:dyDescent="0.35">
      <c r="A258">
        <f t="shared" si="21"/>
        <v>93</v>
      </c>
      <c r="B258">
        <f t="shared" si="20"/>
        <v>0.73228346456692917</v>
      </c>
      <c r="J258" s="1">
        <f t="shared" si="22"/>
        <v>7.4551904566929128</v>
      </c>
      <c r="N258" s="1">
        <f t="shared" si="23"/>
        <v>0.99529619607090669</v>
      </c>
    </row>
    <row r="259" spans="1:14" x14ac:dyDescent="0.35">
      <c r="A259">
        <f t="shared" si="21"/>
        <v>92</v>
      </c>
      <c r="B259">
        <f t="shared" si="20"/>
        <v>0.72440944881889768</v>
      </c>
      <c r="J259" s="1">
        <f t="shared" si="22"/>
        <v>7.4186588818897627</v>
      </c>
      <c r="N259" s="1">
        <f t="shared" si="23"/>
        <v>0.99513338954905384</v>
      </c>
    </row>
    <row r="260" spans="1:14" x14ac:dyDescent="0.35">
      <c r="A260">
        <f t="shared" si="21"/>
        <v>91</v>
      </c>
      <c r="B260">
        <f t="shared" si="20"/>
        <v>0.71653543307086609</v>
      </c>
      <c r="J260" s="1">
        <f t="shared" si="22"/>
        <v>7.3821273070866127</v>
      </c>
      <c r="N260" s="1">
        <f t="shared" si="23"/>
        <v>0.99496883075511322</v>
      </c>
    </row>
    <row r="261" spans="1:14" x14ac:dyDescent="0.35">
      <c r="A261">
        <f t="shared" si="21"/>
        <v>90</v>
      </c>
      <c r="B261">
        <f t="shared" si="20"/>
        <v>0.70866141732283461</v>
      </c>
      <c r="J261" s="1">
        <f t="shared" si="22"/>
        <v>7.3455957322834635</v>
      </c>
      <c r="N261" s="1">
        <f t="shared" si="23"/>
        <v>0.99480248125986581</v>
      </c>
    </row>
    <row r="262" spans="1:14" x14ac:dyDescent="0.35">
      <c r="A262">
        <f t="shared" si="21"/>
        <v>89</v>
      </c>
      <c r="B262">
        <f t="shared" si="20"/>
        <v>0.70078740157480313</v>
      </c>
      <c r="J262" s="1">
        <f t="shared" si="22"/>
        <v>7.3090641574803143</v>
      </c>
      <c r="N262" s="1">
        <f t="shared" si="23"/>
        <v>0.99463430135251474</v>
      </c>
    </row>
    <row r="263" spans="1:14" x14ac:dyDescent="0.35">
      <c r="A263">
        <f t="shared" si="21"/>
        <v>88</v>
      </c>
      <c r="B263">
        <f t="shared" si="20"/>
        <v>0.69291338582677164</v>
      </c>
      <c r="J263" s="1">
        <f t="shared" si="22"/>
        <v>7.2725325826771643</v>
      </c>
      <c r="N263" s="1">
        <f t="shared" si="23"/>
        <v>0.994464249982982</v>
      </c>
    </row>
    <row r="264" spans="1:14" x14ac:dyDescent="0.35">
      <c r="A264">
        <f t="shared" si="21"/>
        <v>87</v>
      </c>
      <c r="B264">
        <f t="shared" si="20"/>
        <v>0.68503937007874016</v>
      </c>
      <c r="J264" s="1">
        <f t="shared" si="22"/>
        <v>7.2360010078740142</v>
      </c>
      <c r="N264" s="1">
        <f t="shared" si="23"/>
        <v>0.99429228470091791</v>
      </c>
    </row>
    <row r="265" spans="1:14" x14ac:dyDescent="0.35">
      <c r="A265">
        <f t="shared" si="21"/>
        <v>86</v>
      </c>
      <c r="B265">
        <f t="shared" si="20"/>
        <v>0.67716535433070868</v>
      </c>
      <c r="J265" s="1">
        <f t="shared" si="22"/>
        <v>7.1994694330708651</v>
      </c>
      <c r="N265" s="1">
        <f t="shared" si="23"/>
        <v>0.99411836159119571</v>
      </c>
    </row>
    <row r="266" spans="1:14" x14ac:dyDescent="0.35">
      <c r="A266">
        <f t="shared" si="21"/>
        <v>85</v>
      </c>
      <c r="B266">
        <f t="shared" si="20"/>
        <v>0.6692913385826772</v>
      </c>
      <c r="J266" s="1">
        <f t="shared" si="22"/>
        <v>7.1629378582677159</v>
      </c>
      <c r="N266" s="1">
        <f t="shared" si="23"/>
        <v>0.99394243520564496</v>
      </c>
    </row>
    <row r="267" spans="1:14" x14ac:dyDescent="0.35">
      <c r="A267">
        <f t="shared" si="21"/>
        <v>84</v>
      </c>
      <c r="B267">
        <f t="shared" si="20"/>
        <v>0.66141732283464572</v>
      </c>
      <c r="J267" s="1">
        <f t="shared" si="22"/>
        <v>7.1264062834645658</v>
      </c>
      <c r="N267" s="1">
        <f t="shared" si="23"/>
        <v>0.99376445849075901</v>
      </c>
    </row>
    <row r="268" spans="1:14" x14ac:dyDescent="0.35">
      <c r="A268">
        <f t="shared" si="21"/>
        <v>83</v>
      </c>
      <c r="B268">
        <f t="shared" si="20"/>
        <v>0.65354330708661412</v>
      </c>
      <c r="J268" s="1">
        <f t="shared" si="22"/>
        <v>7.0898747086614158</v>
      </c>
      <c r="N268" s="1">
        <f t="shared" si="23"/>
        <v>0.9935843827110854</v>
      </c>
    </row>
    <row r="269" spans="1:14" x14ac:dyDescent="0.35">
      <c r="A269">
        <f t="shared" si="21"/>
        <v>82</v>
      </c>
      <c r="B269">
        <f t="shared" si="20"/>
        <v>0.64566929133858264</v>
      </c>
      <c r="J269" s="1">
        <f t="shared" si="22"/>
        <v>7.0533431338582666</v>
      </c>
      <c r="N269" s="1">
        <f t="shared" si="23"/>
        <v>0.99340215736798831</v>
      </c>
    </row>
    <row r="270" spans="1:14" x14ac:dyDescent="0.35">
      <c r="A270">
        <f t="shared" si="21"/>
        <v>81</v>
      </c>
      <c r="B270">
        <f t="shared" si="20"/>
        <v>0.63779527559055116</v>
      </c>
      <c r="J270" s="1">
        <f t="shared" si="22"/>
        <v>7.0168115590551174</v>
      </c>
      <c r="N270" s="1">
        <f t="shared" si="23"/>
        <v>0.99321773011344161</v>
      </c>
    </row>
    <row r="271" spans="1:14" x14ac:dyDescent="0.35">
      <c r="A271">
        <f t="shared" si="21"/>
        <v>80</v>
      </c>
      <c r="B271">
        <f t="shared" si="20"/>
        <v>0.62992125984251968</v>
      </c>
      <c r="J271" s="1">
        <f t="shared" si="22"/>
        <v>6.9802799842519674</v>
      </c>
      <c r="N271" s="1">
        <f t="shared" si="23"/>
        <v>0.99303104665848474</v>
      </c>
    </row>
    <row r="272" spans="1:14" x14ac:dyDescent="0.35">
      <c r="A272">
        <f t="shared" si="21"/>
        <v>79</v>
      </c>
      <c r="B272">
        <f t="shared" si="20"/>
        <v>0.62204724409448819</v>
      </c>
      <c r="J272" s="1">
        <f t="shared" si="22"/>
        <v>6.9437484094488173</v>
      </c>
      <c r="N272" s="1">
        <f t="shared" si="23"/>
        <v>0.99284205067593734</v>
      </c>
    </row>
    <row r="273" spans="1:14" x14ac:dyDescent="0.35">
      <c r="A273">
        <f t="shared" si="21"/>
        <v>78</v>
      </c>
      <c r="B273">
        <f t="shared" si="20"/>
        <v>0.61417322834645671</v>
      </c>
      <c r="J273" s="1">
        <f t="shared" si="22"/>
        <v>6.9072168346456682</v>
      </c>
      <c r="N273" s="1">
        <f t="shared" si="23"/>
        <v>0.99265068369693732</v>
      </c>
    </row>
    <row r="274" spans="1:14" x14ac:dyDescent="0.35">
      <c r="A274">
        <f t="shared" si="21"/>
        <v>77</v>
      </c>
      <c r="B274">
        <f t="shared" si="20"/>
        <v>0.60629921259842523</v>
      </c>
      <c r="J274" s="1">
        <f t="shared" si="22"/>
        <v>6.870685259842519</v>
      </c>
      <c r="N274" s="1">
        <f t="shared" si="23"/>
        <v>0.99245688500082363</v>
      </c>
    </row>
    <row r="275" spans="1:14" x14ac:dyDescent="0.35">
      <c r="A275">
        <f t="shared" si="21"/>
        <v>76</v>
      </c>
      <c r="B275">
        <f t="shared" si="20"/>
        <v>0.59842519685039375</v>
      </c>
      <c r="J275" s="1">
        <f t="shared" si="22"/>
        <v>6.8341536850393698</v>
      </c>
      <c r="N275" s="1">
        <f t="shared" si="23"/>
        <v>0.99226059149784396</v>
      </c>
    </row>
    <row r="276" spans="1:14" x14ac:dyDescent="0.35">
      <c r="A276">
        <f t="shared" si="21"/>
        <v>75</v>
      </c>
      <c r="B276">
        <f t="shared" si="20"/>
        <v>0.59055118110236215</v>
      </c>
      <c r="J276" s="1">
        <f t="shared" si="22"/>
        <v>6.7976221102362189</v>
      </c>
      <c r="N276" s="1">
        <f t="shared" si="23"/>
        <v>0.99206173760411831</v>
      </c>
    </row>
    <row r="277" spans="1:14" x14ac:dyDescent="0.35">
      <c r="A277">
        <f t="shared" si="21"/>
        <v>74</v>
      </c>
      <c r="B277">
        <f t="shared" si="20"/>
        <v>0.58267716535433067</v>
      </c>
      <c r="J277" s="1">
        <f t="shared" si="22"/>
        <v>6.7610905354330697</v>
      </c>
      <c r="N277" s="1">
        <f t="shared" si="23"/>
        <v>0.99186025510823617</v>
      </c>
    </row>
    <row r="278" spans="1:14" x14ac:dyDescent="0.35">
      <c r="A278">
        <f t="shared" si="21"/>
        <v>73</v>
      </c>
      <c r="B278">
        <f t="shared" si="20"/>
        <v>0.57480314960629919</v>
      </c>
      <c r="J278" s="1">
        <f t="shared" si="22"/>
        <v>6.7245589606299205</v>
      </c>
      <c r="N278" s="1">
        <f t="shared" si="23"/>
        <v>0.99165607302880687</v>
      </c>
    </row>
    <row r="279" spans="1:14" x14ac:dyDescent="0.35">
      <c r="A279">
        <f t="shared" si="21"/>
        <v>72</v>
      </c>
      <c r="B279">
        <f t="shared" si="20"/>
        <v>0.56692913385826771</v>
      </c>
      <c r="J279" s="1">
        <f t="shared" si="22"/>
        <v>6.6880273858267705</v>
      </c>
      <c r="N279" s="1">
        <f t="shared" si="23"/>
        <v>0.99144911746221465</v>
      </c>
    </row>
    <row r="280" spans="1:14" x14ac:dyDescent="0.35">
      <c r="A280">
        <f t="shared" si="21"/>
        <v>71</v>
      </c>
      <c r="B280">
        <f t="shared" si="20"/>
        <v>0.55905511811023623</v>
      </c>
      <c r="J280" s="1">
        <f t="shared" si="22"/>
        <v>6.6514958110236204</v>
      </c>
      <c r="N280" s="1">
        <f t="shared" si="23"/>
        <v>0.99123931141976085</v>
      </c>
    </row>
    <row r="281" spans="1:14" x14ac:dyDescent="0.35">
      <c r="A281">
        <f t="shared" si="21"/>
        <v>70</v>
      </c>
      <c r="B281">
        <f t="shared" si="20"/>
        <v>0.55118110236220474</v>
      </c>
      <c r="J281" s="1">
        <f t="shared" si="22"/>
        <v>6.6149642362204712</v>
      </c>
      <c r="N281" s="1">
        <f t="shared" si="23"/>
        <v>0.99102657465328958</v>
      </c>
    </row>
    <row r="282" spans="1:14" x14ac:dyDescent="0.35">
      <c r="A282">
        <f t="shared" si="21"/>
        <v>69</v>
      </c>
      <c r="B282">
        <f t="shared" si="20"/>
        <v>0.54330708661417326</v>
      </c>
      <c r="J282" s="1">
        <f t="shared" si="22"/>
        <v>6.5784326614173221</v>
      </c>
      <c r="N282" s="1">
        <f t="shared" si="23"/>
        <v>0.9908108234683074</v>
      </c>
    </row>
    <row r="283" spans="1:14" x14ac:dyDescent="0.35">
      <c r="A283">
        <f t="shared" si="21"/>
        <v>68</v>
      </c>
      <c r="B283">
        <f t="shared" si="20"/>
        <v>0.53543307086614178</v>
      </c>
      <c r="J283" s="1">
        <f t="shared" si="22"/>
        <v>6.5419010866141729</v>
      </c>
      <c r="N283" s="1">
        <f t="shared" si="23"/>
        <v>0.99059197052350356</v>
      </c>
    </row>
    <row r="284" spans="1:14" x14ac:dyDescent="0.35">
      <c r="A284">
        <f t="shared" si="21"/>
        <v>67</v>
      </c>
      <c r="B284">
        <f t="shared" si="20"/>
        <v>0.52755905511811019</v>
      </c>
      <c r="J284" s="1">
        <f t="shared" si="22"/>
        <v>6.505369511811022</v>
      </c>
      <c r="N284" s="1">
        <f t="shared" si="23"/>
        <v>0.99036992461546425</v>
      </c>
    </row>
    <row r="285" spans="1:14" x14ac:dyDescent="0.35">
      <c r="A285">
        <f t="shared" si="21"/>
        <v>66</v>
      </c>
      <c r="B285">
        <f t="shared" si="20"/>
        <v>0.51968503937007871</v>
      </c>
      <c r="J285" s="1">
        <f t="shared" si="22"/>
        <v>6.4688379370078728</v>
      </c>
      <c r="N285" s="1">
        <f t="shared" si="23"/>
        <v>0.99014459044724956</v>
      </c>
    </row>
    <row r="286" spans="1:14" x14ac:dyDescent="0.35">
      <c r="A286">
        <f t="shared" si="21"/>
        <v>65</v>
      </c>
      <c r="B286">
        <f t="shared" si="20"/>
        <v>0.51181102362204722</v>
      </c>
      <c r="J286" s="1">
        <f t="shared" si="22"/>
        <v>6.4323063622047236</v>
      </c>
      <c r="N286" s="1">
        <f t="shared" si="23"/>
        <v>0.98991586837935763</v>
      </c>
    </row>
    <row r="287" spans="1:14" x14ac:dyDescent="0.35">
      <c r="A287">
        <f t="shared" si="21"/>
        <v>64</v>
      </c>
      <c r="B287">
        <f t="shared" si="20"/>
        <v>0.50393700787401574</v>
      </c>
      <c r="J287" s="1">
        <f t="shared" si="22"/>
        <v>6.3957747874015736</v>
      </c>
      <c r="N287" s="1">
        <f t="shared" si="23"/>
        <v>0.98968365416144255</v>
      </c>
    </row>
    <row r="288" spans="1:14" x14ac:dyDescent="0.35">
      <c r="A288">
        <f t="shared" si="21"/>
        <v>63</v>
      </c>
      <c r="B288">
        <f t="shared" si="20"/>
        <v>0.49606299212598426</v>
      </c>
      <c r="J288" s="1">
        <f t="shared" ref="J288:J319" si="24">$I$223*B288^2+$J$223*B288+$K$223</f>
        <v>6.3592432125984244</v>
      </c>
      <c r="N288" s="1">
        <f t="shared" ref="N288:N319" si="25">IF(B288 = 0, 0, B288^((1-$D$221)^2.25*12.8))</f>
        <v>0.98944783864297159</v>
      </c>
    </row>
    <row r="289" spans="1:14" x14ac:dyDescent="0.35">
      <c r="A289">
        <f t="shared" si="21"/>
        <v>62</v>
      </c>
      <c r="B289">
        <f t="shared" ref="B289:B351" si="26">A289/127</f>
        <v>0.48818897637795278</v>
      </c>
      <c r="J289" s="1">
        <f t="shared" si="24"/>
        <v>6.3227116377952743</v>
      </c>
      <c r="N289" s="1">
        <f t="shared" si="25"/>
        <v>0.98920830746080401</v>
      </c>
    </row>
    <row r="290" spans="1:14" x14ac:dyDescent="0.35">
      <c r="A290">
        <f t="shared" ref="A290:A351" si="27">A289-1</f>
        <v>61</v>
      </c>
      <c r="B290">
        <f t="shared" si="26"/>
        <v>0.48031496062992124</v>
      </c>
      <c r="J290" s="1">
        <f t="shared" si="24"/>
        <v>6.2861800629921252</v>
      </c>
      <c r="N290" s="1">
        <f t="shared" si="25"/>
        <v>0.98896494070144803</v>
      </c>
    </row>
    <row r="291" spans="1:14" x14ac:dyDescent="0.35">
      <c r="A291">
        <f t="shared" si="27"/>
        <v>60</v>
      </c>
      <c r="B291">
        <f t="shared" si="26"/>
        <v>0.47244094488188976</v>
      </c>
      <c r="J291" s="1">
        <f t="shared" si="24"/>
        <v>6.249648488188976</v>
      </c>
      <c r="N291" s="1">
        <f t="shared" si="25"/>
        <v>0.98871761253548818</v>
      </c>
    </row>
    <row r="292" spans="1:14" x14ac:dyDescent="0.35">
      <c r="A292">
        <f t="shared" si="27"/>
        <v>59</v>
      </c>
      <c r="B292">
        <f t="shared" si="26"/>
        <v>0.46456692913385828</v>
      </c>
      <c r="J292" s="1">
        <f t="shared" si="24"/>
        <v>6.2131169133858259</v>
      </c>
      <c r="N292" s="1">
        <f t="shared" si="25"/>
        <v>0.98846619082138565</v>
      </c>
    </row>
    <row r="293" spans="1:14" x14ac:dyDescent="0.35">
      <c r="A293">
        <f t="shared" si="27"/>
        <v>58</v>
      </c>
      <c r="B293">
        <f t="shared" si="26"/>
        <v>0.45669291338582679</v>
      </c>
      <c r="J293" s="1">
        <f t="shared" si="24"/>
        <v>6.1765853385826759</v>
      </c>
      <c r="N293" s="1">
        <f t="shared" si="25"/>
        <v>0.98821053667551662</v>
      </c>
    </row>
    <row r="294" spans="1:14" x14ac:dyDescent="0.35">
      <c r="A294">
        <f t="shared" si="27"/>
        <v>57</v>
      </c>
      <c r="B294">
        <f t="shared" si="26"/>
        <v>0.44881889763779526</v>
      </c>
      <c r="J294" s="1">
        <f t="shared" si="24"/>
        <v>6.1400537637795267</v>
      </c>
      <c r="N294" s="1">
        <f t="shared" si="25"/>
        <v>0.98795050400493656</v>
      </c>
    </row>
    <row r="295" spans="1:14" x14ac:dyDescent="0.35">
      <c r="A295">
        <f t="shared" si="27"/>
        <v>56</v>
      </c>
      <c r="B295">
        <f t="shared" si="26"/>
        <v>0.44094488188976377</v>
      </c>
      <c r="J295" s="1">
        <f t="shared" si="24"/>
        <v>6.1035221889763775</v>
      </c>
      <c r="N295" s="1">
        <f t="shared" si="25"/>
        <v>0.98768593899891954</v>
      </c>
    </row>
    <row r="296" spans="1:14" x14ac:dyDescent="0.35">
      <c r="A296">
        <f t="shared" si="27"/>
        <v>55</v>
      </c>
      <c r="B296">
        <f t="shared" si="26"/>
        <v>0.43307086614173229</v>
      </c>
      <c r="J296" s="1">
        <f t="shared" si="24"/>
        <v>6.0669906141732275</v>
      </c>
      <c r="N296" s="1">
        <f t="shared" si="25"/>
        <v>0.9874166795748277</v>
      </c>
    </row>
    <row r="297" spans="1:14" x14ac:dyDescent="0.35">
      <c r="A297">
        <f t="shared" si="27"/>
        <v>54</v>
      </c>
      <c r="B297">
        <f t="shared" si="26"/>
        <v>0.42519685039370081</v>
      </c>
      <c r="J297" s="1">
        <f t="shared" si="24"/>
        <v>6.0304590393700774</v>
      </c>
      <c r="N297" s="1">
        <f t="shared" si="25"/>
        <v>0.98714255477329704</v>
      </c>
    </row>
    <row r="298" spans="1:14" x14ac:dyDescent="0.35">
      <c r="A298">
        <f t="shared" si="27"/>
        <v>53</v>
      </c>
      <c r="B298">
        <f t="shared" si="26"/>
        <v>0.41732283464566927</v>
      </c>
      <c r="J298" s="1">
        <f t="shared" si="24"/>
        <v>5.9939274645669283</v>
      </c>
      <c r="N298" s="1">
        <f t="shared" si="25"/>
        <v>0.98686338409706675</v>
      </c>
    </row>
    <row r="299" spans="1:14" x14ac:dyDescent="0.35">
      <c r="A299">
        <f t="shared" si="27"/>
        <v>52</v>
      </c>
      <c r="B299">
        <f t="shared" si="26"/>
        <v>0.40944881889763779</v>
      </c>
      <c r="J299" s="1">
        <f t="shared" si="24"/>
        <v>5.9573958897637782</v>
      </c>
      <c r="N299" s="1">
        <f t="shared" si="25"/>
        <v>0.98657897678702899</v>
      </c>
    </row>
    <row r="300" spans="1:14" x14ac:dyDescent="0.35">
      <c r="A300">
        <f t="shared" si="27"/>
        <v>51</v>
      </c>
      <c r="B300">
        <f t="shared" si="26"/>
        <v>0.40157480314960631</v>
      </c>
      <c r="J300" s="1">
        <f t="shared" si="24"/>
        <v>5.920864314960629</v>
      </c>
      <c r="N300" s="1">
        <f t="shared" si="25"/>
        <v>0.98628913102820237</v>
      </c>
    </row>
    <row r="301" spans="1:14" x14ac:dyDescent="0.35">
      <c r="A301">
        <f t="shared" si="27"/>
        <v>50</v>
      </c>
      <c r="B301">
        <f t="shared" si="26"/>
        <v>0.39370078740157483</v>
      </c>
      <c r="J301" s="1">
        <f t="shared" si="24"/>
        <v>5.884332740157479</v>
      </c>
      <c r="N301" s="1">
        <f t="shared" si="25"/>
        <v>0.98599363307732424</v>
      </c>
    </row>
    <row r="302" spans="1:14" x14ac:dyDescent="0.35">
      <c r="A302">
        <f t="shared" si="27"/>
        <v>49</v>
      </c>
      <c r="B302">
        <f t="shared" si="26"/>
        <v>0.38582677165354329</v>
      </c>
      <c r="J302" s="1">
        <f t="shared" si="24"/>
        <v>5.8478011653543298</v>
      </c>
      <c r="N302" s="1">
        <f t="shared" si="25"/>
        <v>0.98569225630258273</v>
      </c>
    </row>
    <row r="303" spans="1:14" x14ac:dyDescent="0.35">
      <c r="A303">
        <f t="shared" si="27"/>
        <v>48</v>
      </c>
      <c r="B303">
        <f t="shared" si="26"/>
        <v>0.37795275590551181</v>
      </c>
      <c r="J303" s="1">
        <f t="shared" si="24"/>
        <v>5.8112695905511806</v>
      </c>
      <c r="N303" s="1">
        <f t="shared" si="25"/>
        <v>0.98538476012464826</v>
      </c>
    </row>
    <row r="304" spans="1:14" x14ac:dyDescent="0.35">
      <c r="A304">
        <f t="shared" si="27"/>
        <v>47</v>
      </c>
      <c r="B304">
        <f t="shared" si="26"/>
        <v>0.37007874015748032</v>
      </c>
      <c r="J304" s="1">
        <f t="shared" si="24"/>
        <v>5.7747380157480306</v>
      </c>
      <c r="N304" s="1">
        <f t="shared" si="25"/>
        <v>0.98507088884656469</v>
      </c>
    </row>
    <row r="305" spans="1:14" x14ac:dyDescent="0.35">
      <c r="A305">
        <f t="shared" si="27"/>
        <v>46</v>
      </c>
      <c r="B305">
        <f t="shared" si="26"/>
        <v>0.36220472440944884</v>
      </c>
      <c r="J305" s="1">
        <f t="shared" si="24"/>
        <v>5.7382064409448805</v>
      </c>
      <c r="N305" s="1">
        <f t="shared" si="25"/>
        <v>0.98475037035819679</v>
      </c>
    </row>
    <row r="306" spans="1:14" x14ac:dyDescent="0.35">
      <c r="A306">
        <f t="shared" si="27"/>
        <v>45</v>
      </c>
      <c r="B306">
        <f t="shared" si="26"/>
        <v>0.3543307086614173</v>
      </c>
      <c r="J306" s="1">
        <f t="shared" si="24"/>
        <v>5.7016748661417314</v>
      </c>
      <c r="N306" s="1">
        <f t="shared" si="25"/>
        <v>0.98442291469872978</v>
      </c>
    </row>
    <row r="307" spans="1:14" x14ac:dyDescent="0.35">
      <c r="A307">
        <f t="shared" si="27"/>
        <v>44</v>
      </c>
      <c r="B307">
        <f t="shared" si="26"/>
        <v>0.34645669291338582</v>
      </c>
      <c r="J307" s="1">
        <f t="shared" si="24"/>
        <v>5.6651432913385822</v>
      </c>
      <c r="N307" s="1">
        <f t="shared" si="25"/>
        <v>0.98408821245812961</v>
      </c>
    </row>
    <row r="308" spans="1:14" x14ac:dyDescent="0.35">
      <c r="A308">
        <f t="shared" si="27"/>
        <v>43</v>
      </c>
      <c r="B308">
        <f t="shared" si="26"/>
        <v>0.33858267716535434</v>
      </c>
      <c r="J308" s="1">
        <f t="shared" si="24"/>
        <v>5.6286117165354321</v>
      </c>
      <c r="N308" s="1">
        <f t="shared" si="25"/>
        <v>0.98374593299540503</v>
      </c>
    </row>
    <row r="309" spans="1:14" x14ac:dyDescent="0.35">
      <c r="A309">
        <f t="shared" si="27"/>
        <v>42</v>
      </c>
      <c r="B309">
        <f t="shared" si="26"/>
        <v>0.33070866141732286</v>
      </c>
      <c r="J309" s="1">
        <f t="shared" si="24"/>
        <v>5.5920801417322821</v>
      </c>
      <c r="N309" s="1">
        <f t="shared" si="25"/>
        <v>0.98339572244786844</v>
      </c>
    </row>
    <row r="310" spans="1:14" x14ac:dyDescent="0.35">
      <c r="A310">
        <f t="shared" si="27"/>
        <v>41</v>
      </c>
      <c r="B310">
        <f t="shared" si="26"/>
        <v>0.32283464566929132</v>
      </c>
      <c r="J310" s="1">
        <f t="shared" si="24"/>
        <v>5.5555485669291329</v>
      </c>
      <c r="N310" s="1">
        <f t="shared" si="25"/>
        <v>0.98303720150125307</v>
      </c>
    </row>
    <row r="311" spans="1:14" x14ac:dyDescent="0.35">
      <c r="A311">
        <f t="shared" si="27"/>
        <v>40</v>
      </c>
      <c r="B311">
        <f t="shared" si="26"/>
        <v>0.31496062992125984</v>
      </c>
      <c r="J311" s="1">
        <f t="shared" si="24"/>
        <v>5.5190169921259837</v>
      </c>
      <c r="N311" s="1">
        <f t="shared" si="25"/>
        <v>0.98266996288533937</v>
      </c>
    </row>
    <row r="312" spans="1:14" x14ac:dyDescent="0.35">
      <c r="A312">
        <f t="shared" si="27"/>
        <v>39</v>
      </c>
      <c r="B312">
        <f t="shared" si="26"/>
        <v>0.30708661417322836</v>
      </c>
      <c r="J312" s="1">
        <f t="shared" si="24"/>
        <v>5.4824854173228337</v>
      </c>
      <c r="N312" s="1">
        <f t="shared" si="25"/>
        <v>0.98229356855349603</v>
      </c>
    </row>
    <row r="313" spans="1:14" x14ac:dyDescent="0.35">
      <c r="A313">
        <f t="shared" si="27"/>
        <v>38</v>
      </c>
      <c r="B313">
        <f t="shared" si="26"/>
        <v>0.29921259842519687</v>
      </c>
      <c r="J313" s="1">
        <f t="shared" si="24"/>
        <v>5.4459538425196845</v>
      </c>
      <c r="N313" s="1">
        <f t="shared" si="25"/>
        <v>0.98190754649699052</v>
      </c>
    </row>
    <row r="314" spans="1:14" x14ac:dyDescent="0.35">
      <c r="A314">
        <f t="shared" si="27"/>
        <v>37</v>
      </c>
      <c r="B314">
        <f t="shared" si="26"/>
        <v>0.29133858267716534</v>
      </c>
      <c r="J314" s="1">
        <f t="shared" si="24"/>
        <v>5.4094222677165344</v>
      </c>
      <c r="N314" s="1">
        <f t="shared" si="25"/>
        <v>0.9815113871357688</v>
      </c>
    </row>
    <row r="315" spans="1:14" x14ac:dyDescent="0.35">
      <c r="A315">
        <f t="shared" si="27"/>
        <v>36</v>
      </c>
      <c r="B315">
        <f t="shared" si="26"/>
        <v>0.28346456692913385</v>
      </c>
      <c r="J315" s="1">
        <f t="shared" si="24"/>
        <v>5.3728906929133853</v>
      </c>
      <c r="N315" s="1">
        <f t="shared" si="25"/>
        <v>0.98110453921624385</v>
      </c>
    </row>
    <row r="316" spans="1:14" x14ac:dyDescent="0.35">
      <c r="A316">
        <f t="shared" si="27"/>
        <v>35</v>
      </c>
      <c r="B316">
        <f t="shared" si="26"/>
        <v>0.27559055118110237</v>
      </c>
      <c r="J316" s="1">
        <f t="shared" si="24"/>
        <v>5.3363591181102352</v>
      </c>
      <c r="N316" s="1">
        <f t="shared" si="25"/>
        <v>0.98068640513296301</v>
      </c>
    </row>
    <row r="317" spans="1:14" x14ac:dyDescent="0.35">
      <c r="A317">
        <f t="shared" si="27"/>
        <v>34</v>
      </c>
      <c r="B317">
        <f t="shared" si="26"/>
        <v>0.26771653543307089</v>
      </c>
      <c r="J317" s="1">
        <f t="shared" si="24"/>
        <v>5.2998275433070861</v>
      </c>
      <c r="N317" s="1">
        <f t="shared" si="25"/>
        <v>0.98025633557418779</v>
      </c>
    </row>
    <row r="318" spans="1:14" x14ac:dyDescent="0.35">
      <c r="A318">
        <f t="shared" si="27"/>
        <v>33</v>
      </c>
      <c r="B318">
        <f t="shared" si="26"/>
        <v>0.25984251968503935</v>
      </c>
      <c r="J318" s="1">
        <f t="shared" si="24"/>
        <v>5.263295968503936</v>
      </c>
      <c r="N318" s="1">
        <f t="shared" si="25"/>
        <v>0.97981362337056876</v>
      </c>
    </row>
    <row r="319" spans="1:14" x14ac:dyDescent="0.35">
      <c r="A319">
        <f t="shared" si="27"/>
        <v>32</v>
      </c>
      <c r="B319">
        <f t="shared" si="26"/>
        <v>0.25196850393700787</v>
      </c>
      <c r="J319" s="1">
        <f t="shared" si="24"/>
        <v>5.2267643937007868</v>
      </c>
      <c r="N319" s="1">
        <f t="shared" si="25"/>
        <v>0.97935749640012759</v>
      </c>
    </row>
    <row r="320" spans="1:14" x14ac:dyDescent="0.35">
      <c r="A320">
        <f t="shared" si="27"/>
        <v>31</v>
      </c>
      <c r="B320">
        <f t="shared" si="26"/>
        <v>0.24409448818897639</v>
      </c>
      <c r="J320" s="1">
        <f t="shared" ref="J320:J351" si="28">$I$223*B320^2+$J$223*B320+$K$223</f>
        <v>5.1902328188976368</v>
      </c>
      <c r="N320" s="1">
        <f t="shared" ref="N320:N351" si="29">IF(B320 = 0, 0, B320^((1-$D$221)^2.25*12.8))</f>
        <v>0.9788871093701893</v>
      </c>
    </row>
    <row r="321" spans="1:14" x14ac:dyDescent="0.35">
      <c r="A321">
        <f t="shared" si="27"/>
        <v>30</v>
      </c>
      <c r="B321">
        <f t="shared" si="26"/>
        <v>0.23622047244094488</v>
      </c>
      <c r="J321" s="1">
        <f t="shared" si="28"/>
        <v>5.1537012440944876</v>
      </c>
      <c r="N321" s="1">
        <f t="shared" si="29"/>
        <v>0.97840153425582543</v>
      </c>
    </row>
    <row r="322" spans="1:14" x14ac:dyDescent="0.35">
      <c r="A322">
        <f t="shared" si="27"/>
        <v>29</v>
      </c>
      <c r="B322">
        <f t="shared" si="26"/>
        <v>0.2283464566929134</v>
      </c>
      <c r="J322" s="1">
        <f t="shared" si="28"/>
        <v>5.1171696692913375</v>
      </c>
      <c r="N322" s="1">
        <f t="shared" si="29"/>
        <v>0.97789974912214295</v>
      </c>
    </row>
    <row r="323" spans="1:14" x14ac:dyDescent="0.35">
      <c r="A323">
        <f t="shared" si="27"/>
        <v>28</v>
      </c>
      <c r="B323">
        <f t="shared" si="26"/>
        <v>0.22047244094488189</v>
      </c>
      <c r="J323" s="1">
        <f t="shared" si="28"/>
        <v>5.0806380944881884</v>
      </c>
      <c r="N323" s="1">
        <f t="shared" si="29"/>
        <v>0.9773806249909025</v>
      </c>
    </row>
    <row r="324" spans="1:14" x14ac:dyDescent="0.35">
      <c r="A324">
        <f t="shared" si="27"/>
        <v>27</v>
      </c>
      <c r="B324">
        <f t="shared" si="26"/>
        <v>0.2125984251968504</v>
      </c>
      <c r="J324" s="1">
        <f t="shared" si="28"/>
        <v>5.0441065196850383</v>
      </c>
      <c r="N324" s="1">
        <f t="shared" si="29"/>
        <v>0.9768429103256645</v>
      </c>
    </row>
    <row r="325" spans="1:14" x14ac:dyDescent="0.35">
      <c r="A325">
        <f t="shared" si="27"/>
        <v>26</v>
      </c>
      <c r="B325">
        <f t="shared" si="26"/>
        <v>0.20472440944881889</v>
      </c>
      <c r="J325" s="1">
        <f t="shared" si="28"/>
        <v>5.0075749448818891</v>
      </c>
      <c r="N325" s="1">
        <f t="shared" si="29"/>
        <v>0.97628521259736822</v>
      </c>
    </row>
    <row r="326" spans="1:14" x14ac:dyDescent="0.35">
      <c r="A326">
        <f t="shared" si="27"/>
        <v>25</v>
      </c>
      <c r="B326">
        <f t="shared" si="26"/>
        <v>0.19685039370078741</v>
      </c>
      <c r="J326" s="1">
        <f t="shared" si="28"/>
        <v>4.9710433700787391</v>
      </c>
      <c r="N326" s="1">
        <f t="shared" si="29"/>
        <v>0.97570597624476252</v>
      </c>
    </row>
    <row r="327" spans="1:14" x14ac:dyDescent="0.35">
      <c r="A327">
        <f t="shared" si="27"/>
        <v>24</v>
      </c>
      <c r="B327">
        <f t="shared" si="26"/>
        <v>0.1889763779527559</v>
      </c>
      <c r="J327" s="1">
        <f t="shared" si="28"/>
        <v>4.9345117952755899</v>
      </c>
      <c r="N327" s="1">
        <f t="shared" si="29"/>
        <v>0.97510345614851646</v>
      </c>
    </row>
    <row r="328" spans="1:14" x14ac:dyDescent="0.35">
      <c r="A328">
        <f t="shared" si="27"/>
        <v>23</v>
      </c>
      <c r="B328">
        <f t="shared" si="26"/>
        <v>0.18110236220472442</v>
      </c>
      <c r="J328" s="1">
        <f t="shared" si="28"/>
        <v>4.8979802204724399</v>
      </c>
      <c r="N328" s="1">
        <f t="shared" si="29"/>
        <v>0.97447568547573504</v>
      </c>
    </row>
    <row r="329" spans="1:14" x14ac:dyDescent="0.35">
      <c r="A329">
        <f t="shared" si="27"/>
        <v>22</v>
      </c>
      <c r="B329">
        <f t="shared" si="26"/>
        <v>0.17322834645669291</v>
      </c>
      <c r="J329" s="1">
        <f t="shared" si="28"/>
        <v>4.8614486456692907</v>
      </c>
      <c r="N329" s="1">
        <f t="shared" si="29"/>
        <v>0.97382043639639071</v>
      </c>
    </row>
    <row r="330" spans="1:14" x14ac:dyDescent="0.35">
      <c r="A330">
        <f t="shared" si="27"/>
        <v>21</v>
      </c>
      <c r="B330">
        <f t="shared" si="26"/>
        <v>0.16535433070866143</v>
      </c>
      <c r="J330" s="1">
        <f t="shared" si="28"/>
        <v>4.8249170708661406</v>
      </c>
      <c r="N330" s="1">
        <f t="shared" si="29"/>
        <v>0.97313517168591501</v>
      </c>
    </row>
    <row r="331" spans="1:14" x14ac:dyDescent="0.35">
      <c r="A331">
        <f t="shared" si="27"/>
        <v>20</v>
      </c>
      <c r="B331">
        <f t="shared" si="26"/>
        <v>0.15748031496062992</v>
      </c>
      <c r="J331" s="1">
        <f t="shared" si="28"/>
        <v>4.7883854960629915</v>
      </c>
      <c r="N331" s="1">
        <f t="shared" si="29"/>
        <v>0.97241698455090653</v>
      </c>
    </row>
    <row r="332" spans="1:14" x14ac:dyDescent="0.35">
      <c r="A332">
        <f t="shared" si="27"/>
        <v>19</v>
      </c>
      <c r="B332">
        <f t="shared" si="26"/>
        <v>0.14960629921259844</v>
      </c>
      <c r="J332" s="1">
        <f t="shared" si="28"/>
        <v>4.7518539212598414</v>
      </c>
      <c r="N332" s="1">
        <f t="shared" si="29"/>
        <v>0.97166252305993606</v>
      </c>
    </row>
    <row r="333" spans="1:14" x14ac:dyDescent="0.35">
      <c r="A333">
        <f t="shared" si="27"/>
        <v>18</v>
      </c>
      <c r="B333">
        <f t="shared" si="26"/>
        <v>0.14173228346456693</v>
      </c>
      <c r="J333" s="1">
        <f t="shared" si="28"/>
        <v>4.7153223464566922</v>
      </c>
      <c r="N333" s="1">
        <f t="shared" si="29"/>
        <v>0.97086789419367525</v>
      </c>
    </row>
    <row r="334" spans="1:14" x14ac:dyDescent="0.35">
      <c r="A334">
        <f t="shared" si="27"/>
        <v>17</v>
      </c>
      <c r="B334">
        <f t="shared" si="26"/>
        <v>0.13385826771653545</v>
      </c>
      <c r="J334" s="1">
        <f t="shared" si="28"/>
        <v>4.6787907716535422</v>
      </c>
      <c r="N334" s="1">
        <f t="shared" si="29"/>
        <v>0.97002854053573762</v>
      </c>
    </row>
    <row r="335" spans="1:14" x14ac:dyDescent="0.35">
      <c r="A335">
        <f t="shared" si="27"/>
        <v>16</v>
      </c>
      <c r="B335">
        <f t="shared" si="26"/>
        <v>0.12598425196850394</v>
      </c>
      <c r="J335" s="1">
        <f t="shared" si="28"/>
        <v>4.642259196850393</v>
      </c>
      <c r="N335" s="1">
        <f t="shared" si="29"/>
        <v>0.96913907966662804</v>
      </c>
    </row>
    <row r="336" spans="1:14" x14ac:dyDescent="0.35">
      <c r="A336">
        <f t="shared" si="27"/>
        <v>15</v>
      </c>
      <c r="B336">
        <f t="shared" si="26"/>
        <v>0.11811023622047244</v>
      </c>
      <c r="J336" s="1">
        <f t="shared" si="28"/>
        <v>4.605727622047243</v>
      </c>
      <c r="N336" s="1">
        <f t="shared" si="29"/>
        <v>0.96819309183671853</v>
      </c>
    </row>
    <row r="337" spans="1:14" x14ac:dyDescent="0.35">
      <c r="A337">
        <f t="shared" si="27"/>
        <v>14</v>
      </c>
      <c r="B337">
        <f t="shared" si="26"/>
        <v>0.11023622047244094</v>
      </c>
      <c r="J337" s="1">
        <f t="shared" si="28"/>
        <v>4.5691960472440938</v>
      </c>
      <c r="N337" s="1">
        <f t="shared" si="29"/>
        <v>0.96718283453122245</v>
      </c>
    </row>
    <row r="338" spans="1:14" x14ac:dyDescent="0.35">
      <c r="A338">
        <f t="shared" si="27"/>
        <v>13</v>
      </c>
      <c r="B338">
        <f t="shared" si="26"/>
        <v>0.10236220472440945</v>
      </c>
      <c r="J338" s="1">
        <f t="shared" si="28"/>
        <v>4.5326644724409437</v>
      </c>
      <c r="N338" s="1">
        <f t="shared" si="29"/>
        <v>0.96609885144759133</v>
      </c>
    </row>
    <row r="339" spans="1:14" x14ac:dyDescent="0.35">
      <c r="A339">
        <f t="shared" si="27"/>
        <v>12</v>
      </c>
      <c r="B339">
        <f t="shared" si="26"/>
        <v>9.4488188976377951E-2</v>
      </c>
      <c r="J339" s="1">
        <f t="shared" si="28"/>
        <v>4.4961328976377946</v>
      </c>
      <c r="N339" s="1">
        <f t="shared" si="29"/>
        <v>0.96492942520493719</v>
      </c>
    </row>
    <row r="340" spans="1:14" x14ac:dyDescent="0.35">
      <c r="A340">
        <f t="shared" si="27"/>
        <v>11</v>
      </c>
      <c r="B340">
        <f t="shared" si="26"/>
        <v>8.6614173228346455E-2</v>
      </c>
      <c r="J340" s="1">
        <f t="shared" si="28"/>
        <v>4.4596013228346445</v>
      </c>
      <c r="N340" s="1">
        <f t="shared" si="29"/>
        <v>0.96365979221969966</v>
      </c>
    </row>
    <row r="341" spans="1:14" x14ac:dyDescent="0.35">
      <c r="A341">
        <f t="shared" si="27"/>
        <v>10</v>
      </c>
      <c r="B341">
        <f t="shared" si="26"/>
        <v>7.874015748031496E-2</v>
      </c>
      <c r="J341" s="1">
        <f t="shared" si="28"/>
        <v>4.4230697480314953</v>
      </c>
      <c r="N341" s="1">
        <f t="shared" si="29"/>
        <v>0.96227098370504738</v>
      </c>
    </row>
    <row r="342" spans="1:14" x14ac:dyDescent="0.35">
      <c r="A342">
        <f t="shared" si="27"/>
        <v>9</v>
      </c>
      <c r="B342">
        <f t="shared" si="26"/>
        <v>7.0866141732283464E-2</v>
      </c>
      <c r="J342" s="1">
        <f t="shared" si="28"/>
        <v>4.3865381732283453</v>
      </c>
      <c r="N342" s="1">
        <f t="shared" si="29"/>
        <v>0.96073805624122965</v>
      </c>
    </row>
    <row r="343" spans="1:14" x14ac:dyDescent="0.35">
      <c r="A343">
        <f t="shared" si="27"/>
        <v>8</v>
      </c>
      <c r="B343">
        <f t="shared" si="26"/>
        <v>6.2992125984251968E-2</v>
      </c>
      <c r="J343" s="1">
        <f t="shared" si="28"/>
        <v>4.3500065984251961</v>
      </c>
      <c r="N343" s="1">
        <f t="shared" si="29"/>
        <v>0.9590272798129944</v>
      </c>
    </row>
    <row r="344" spans="1:14" x14ac:dyDescent="0.35">
      <c r="A344">
        <f t="shared" si="27"/>
        <v>7</v>
      </c>
      <c r="B344">
        <f t="shared" si="26"/>
        <v>5.5118110236220472E-2</v>
      </c>
      <c r="J344" s="1">
        <f t="shared" si="28"/>
        <v>4.313475023622046</v>
      </c>
      <c r="N344" s="1">
        <f t="shared" si="29"/>
        <v>0.95709144574106664</v>
      </c>
    </row>
    <row r="345" spans="1:14" x14ac:dyDescent="0.35">
      <c r="A345">
        <f t="shared" si="27"/>
        <v>6</v>
      </c>
      <c r="B345">
        <f t="shared" si="26"/>
        <v>4.7244094488188976E-2</v>
      </c>
      <c r="J345" s="1">
        <f t="shared" si="28"/>
        <v>4.2769434488188969</v>
      </c>
      <c r="N345" s="1">
        <f t="shared" si="29"/>
        <v>0.95486154802892809</v>
      </c>
    </row>
    <row r="346" spans="1:14" x14ac:dyDescent="0.35">
      <c r="A346">
        <f t="shared" si="27"/>
        <v>5</v>
      </c>
      <c r="B346">
        <f t="shared" si="26"/>
        <v>3.937007874015748E-2</v>
      </c>
      <c r="J346" s="1">
        <f t="shared" si="28"/>
        <v>4.2404118740157468</v>
      </c>
      <c r="N346" s="1">
        <f t="shared" si="29"/>
        <v>0.95223084416642545</v>
      </c>
    </row>
    <row r="347" spans="1:14" x14ac:dyDescent="0.35">
      <c r="A347">
        <f t="shared" si="27"/>
        <v>4</v>
      </c>
      <c r="B347">
        <f t="shared" si="26"/>
        <v>3.1496062992125984E-2</v>
      </c>
      <c r="J347" s="1">
        <f t="shared" si="28"/>
        <v>4.2038802992125976</v>
      </c>
      <c r="N347" s="1">
        <f t="shared" si="29"/>
        <v>0.94902098442040794</v>
      </c>
    </row>
    <row r="348" spans="1:14" x14ac:dyDescent="0.35">
      <c r="A348">
        <f t="shared" si="27"/>
        <v>3</v>
      </c>
      <c r="B348">
        <f t="shared" si="26"/>
        <v>2.3622047244094488E-2</v>
      </c>
      <c r="J348" s="1">
        <f t="shared" si="28"/>
        <v>4.1673487244094476</v>
      </c>
      <c r="N348" s="1">
        <f t="shared" si="29"/>
        <v>0.94489871703368999</v>
      </c>
    </row>
    <row r="349" spans="1:14" x14ac:dyDescent="0.35">
      <c r="A349">
        <f t="shared" si="27"/>
        <v>2</v>
      </c>
      <c r="B349">
        <f t="shared" si="26"/>
        <v>1.5748031496062992E-2</v>
      </c>
      <c r="J349" s="1">
        <f t="shared" si="28"/>
        <v>4.1308171496062984</v>
      </c>
      <c r="N349" s="1">
        <f t="shared" si="29"/>
        <v>0.93911909267680127</v>
      </c>
    </row>
    <row r="350" spans="1:14" x14ac:dyDescent="0.35">
      <c r="A350">
        <f t="shared" si="27"/>
        <v>1</v>
      </c>
      <c r="B350">
        <f t="shared" si="26"/>
        <v>7.874015748031496E-3</v>
      </c>
      <c r="J350" s="1">
        <f t="shared" si="28"/>
        <v>4.0942855748031484</v>
      </c>
      <c r="N350" s="1">
        <f t="shared" si="29"/>
        <v>0.92932051525575621</v>
      </c>
    </row>
    <row r="351" spans="1:14" x14ac:dyDescent="0.35">
      <c r="A351">
        <f t="shared" si="27"/>
        <v>0</v>
      </c>
      <c r="B351">
        <f t="shared" si="26"/>
        <v>0</v>
      </c>
      <c r="J351" s="1">
        <f t="shared" si="28"/>
        <v>4.0577539999999992</v>
      </c>
      <c r="N351" s="1">
        <f t="shared" si="29"/>
        <v>0</v>
      </c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83"/>
  <sheetViews>
    <sheetView zoomScale="115" zoomScaleNormal="115" workbookViewId="0">
      <pane xSplit="2" ySplit="3" topLeftCell="C32" activePane="bottomRight" state="frozen"/>
      <selection pane="topRight" activeCell="C1" sqref="C1"/>
      <selection pane="bottomLeft" activeCell="A4" sqref="A4"/>
      <selection pane="bottomRight" activeCell="W47" sqref="W47"/>
    </sheetView>
  </sheetViews>
  <sheetFormatPr defaultRowHeight="14.5" x14ac:dyDescent="0.35"/>
  <cols>
    <col min="3" max="32" width="8.81640625" style="1"/>
  </cols>
  <sheetData>
    <row r="1" spans="1:32" x14ac:dyDescent="0.35">
      <c r="F1" s="1">
        <f>F27-$B27</f>
        <v>0.89832849841138285</v>
      </c>
      <c r="G1" s="1">
        <f>G27-$B27</f>
        <v>0.88078463876225999</v>
      </c>
      <c r="H1" s="1">
        <f>H25-$B25</f>
        <v>0.85626467744163559</v>
      </c>
      <c r="I1" s="1">
        <f>I23-$B23</f>
        <v>0.79227103191048487</v>
      </c>
      <c r="J1" s="1">
        <f>J22-$B22</f>
        <v>0.67125984251968507</v>
      </c>
      <c r="K1" s="1">
        <f>K22-$B22</f>
        <v>0.51860497526304794</v>
      </c>
      <c r="L1" s="1">
        <f>L20-$B20</f>
        <v>0.40199105067813662</v>
      </c>
      <c r="M1" s="1">
        <f>M18-$B18</f>
        <v>0.23487910250156785</v>
      </c>
      <c r="N1" s="1">
        <v>0</v>
      </c>
      <c r="R1" s="1">
        <f>R17-$B17</f>
        <v>-0.24843039994450034</v>
      </c>
      <c r="S1" s="1">
        <f>S15-$B15</f>
        <v>-0.26475506933314752</v>
      </c>
      <c r="T1" s="1">
        <f>T15-$B15</f>
        <v>-0.32227719322695281</v>
      </c>
      <c r="V1" s="1">
        <f>V15-$B15</f>
        <v>-0.44397890630643644</v>
      </c>
    </row>
    <row r="2" spans="1:32" x14ac:dyDescent="0.35">
      <c r="C2" s="3">
        <f>ROUND((C3+0.5)*127,0)</f>
        <v>127</v>
      </c>
      <c r="D2">
        <f t="shared" ref="D2:AF2" si="0">ROUND((D3+0.5)*127,0)</f>
        <v>126</v>
      </c>
      <c r="E2">
        <f t="shared" si="0"/>
        <v>124</v>
      </c>
      <c r="F2">
        <f t="shared" si="0"/>
        <v>123</v>
      </c>
      <c r="G2">
        <f t="shared" si="0"/>
        <v>122</v>
      </c>
      <c r="H2">
        <f t="shared" si="0"/>
        <v>121</v>
      </c>
      <c r="I2">
        <f t="shared" si="0"/>
        <v>118</v>
      </c>
      <c r="J2">
        <f t="shared" si="0"/>
        <v>114</v>
      </c>
      <c r="K2" s="4">
        <f t="shared" si="0"/>
        <v>108</v>
      </c>
      <c r="L2">
        <f t="shared" si="0"/>
        <v>102</v>
      </c>
      <c r="M2">
        <f t="shared" si="0"/>
        <v>89</v>
      </c>
      <c r="N2" s="4">
        <f t="shared" si="0"/>
        <v>76</v>
      </c>
      <c r="O2" s="3">
        <f t="shared" si="0"/>
        <v>64</v>
      </c>
      <c r="P2" s="3"/>
      <c r="R2">
        <f t="shared" si="0"/>
        <v>62</v>
      </c>
      <c r="S2" s="4">
        <f t="shared" si="0"/>
        <v>57</v>
      </c>
      <c r="T2">
        <f t="shared" si="0"/>
        <v>51</v>
      </c>
      <c r="V2">
        <f t="shared" si="0"/>
        <v>38</v>
      </c>
      <c r="X2">
        <f t="shared" si="0"/>
        <v>25</v>
      </c>
      <c r="Y2">
        <f t="shared" si="0"/>
        <v>19</v>
      </c>
      <c r="Z2">
        <f t="shared" si="0"/>
        <v>13</v>
      </c>
      <c r="AA2">
        <f t="shared" si="0"/>
        <v>6</v>
      </c>
      <c r="AB2">
        <f t="shared" si="0"/>
        <v>5</v>
      </c>
      <c r="AC2">
        <f t="shared" si="0"/>
        <v>4</v>
      </c>
      <c r="AD2">
        <f t="shared" si="0"/>
        <v>3</v>
      </c>
      <c r="AE2">
        <f t="shared" si="0"/>
        <v>1</v>
      </c>
      <c r="AF2" s="4">
        <f t="shared" si="0"/>
        <v>0</v>
      </c>
    </row>
    <row r="3" spans="1:32" x14ac:dyDescent="0.35">
      <c r="A3" t="s">
        <v>4</v>
      </c>
      <c r="B3" t="s">
        <v>5</v>
      </c>
      <c r="C3" s="1">
        <v>0.5</v>
      </c>
      <c r="D3" s="1">
        <v>0.49</v>
      </c>
      <c r="E3" s="1">
        <v>0.48</v>
      </c>
      <c r="F3" s="1">
        <v>0.47</v>
      </c>
      <c r="G3" s="1">
        <v>0.45999999999999996</v>
      </c>
      <c r="H3" s="1">
        <v>0.44999999999999996</v>
      </c>
      <c r="I3" s="1">
        <v>0.43</v>
      </c>
      <c r="J3" s="1">
        <v>0.4</v>
      </c>
      <c r="K3" s="1">
        <v>0.35</v>
      </c>
      <c r="L3" s="1">
        <v>0.30000000000000004</v>
      </c>
      <c r="M3" s="1">
        <v>0.19999999999999996</v>
      </c>
      <c r="N3" s="1">
        <v>9.9999999999999978E-2</v>
      </c>
      <c r="O3" s="1">
        <v>0</v>
      </c>
      <c r="R3" s="1">
        <v>-0.01</v>
      </c>
      <c r="S3" s="1">
        <v>-0.05</v>
      </c>
      <c r="T3" s="1">
        <v>-9.9999999999999978E-2</v>
      </c>
      <c r="U3" s="1" t="s">
        <v>7</v>
      </c>
      <c r="V3" s="1">
        <v>-0.2</v>
      </c>
      <c r="W3" s="1" t="s">
        <v>6</v>
      </c>
      <c r="X3" s="1">
        <v>-0.3</v>
      </c>
      <c r="Y3" s="1">
        <v>-0.35</v>
      </c>
      <c r="Z3" s="1">
        <v>-0.4</v>
      </c>
      <c r="AA3" s="1">
        <v>-0.45</v>
      </c>
      <c r="AB3" s="1">
        <v>-0.46</v>
      </c>
      <c r="AC3" s="1">
        <v>-0.47</v>
      </c>
      <c r="AD3" s="1">
        <v>-0.48</v>
      </c>
      <c r="AE3" s="1">
        <v>-0.49</v>
      </c>
      <c r="AF3" s="1">
        <v>-0.5</v>
      </c>
    </row>
    <row r="4" spans="1:32" x14ac:dyDescent="0.35">
      <c r="O4" s="1">
        <v>290</v>
      </c>
      <c r="P4" s="1">
        <v>59</v>
      </c>
    </row>
    <row r="5" spans="1:32" x14ac:dyDescent="0.35">
      <c r="A5">
        <v>127</v>
      </c>
      <c r="B5">
        <f>A5/127</f>
        <v>1</v>
      </c>
      <c r="C5" s="1">
        <v>456</v>
      </c>
      <c r="E5" s="1">
        <v>1</v>
      </c>
      <c r="F5" s="1">
        <v>1</v>
      </c>
      <c r="G5" s="1">
        <v>1</v>
      </c>
      <c r="H5" s="1">
        <v>1</v>
      </c>
      <c r="I5" s="1">
        <v>1</v>
      </c>
      <c r="J5" s="1">
        <v>1</v>
      </c>
      <c r="K5" s="1">
        <v>1</v>
      </c>
      <c r="L5" s="1">
        <v>1</v>
      </c>
      <c r="M5" s="1">
        <v>1</v>
      </c>
      <c r="N5" s="1">
        <v>1</v>
      </c>
      <c r="O5" s="1">
        <f t="shared" ref="O5:O31" si="1">A5/127</f>
        <v>1</v>
      </c>
      <c r="P5" s="1">
        <v>59</v>
      </c>
      <c r="Q5" s="1">
        <f>(P5-P$31)/(P$4-P$31)</f>
        <v>1</v>
      </c>
      <c r="R5" s="1">
        <f>454/454</f>
        <v>1</v>
      </c>
      <c r="S5" s="1">
        <f>452/452</f>
        <v>1</v>
      </c>
      <c r="T5" s="1">
        <f>452/452</f>
        <v>1</v>
      </c>
      <c r="U5" s="1">
        <f>0.023*EXP(3.77*B5)</f>
        <v>0.99774149122458722</v>
      </c>
      <c r="V5" s="1">
        <v>1</v>
      </c>
      <c r="W5" s="1">
        <f>0.0112*EXP(4.47*B5)</f>
        <v>0.97839529775053902</v>
      </c>
    </row>
    <row r="6" spans="1:32" x14ac:dyDescent="0.35">
      <c r="A6">
        <v>126</v>
      </c>
      <c r="B6">
        <f t="shared" ref="B6:B31" si="2">A6/127</f>
        <v>0.99212598425196852</v>
      </c>
      <c r="C6" s="1">
        <v>456</v>
      </c>
      <c r="F6" s="1">
        <v>1</v>
      </c>
      <c r="G6" s="1">
        <v>1</v>
      </c>
      <c r="O6" s="1">
        <f t="shared" si="1"/>
        <v>0.99212598425196852</v>
      </c>
    </row>
    <row r="7" spans="1:32" x14ac:dyDescent="0.35">
      <c r="A7">
        <v>125</v>
      </c>
      <c r="B7">
        <f t="shared" si="2"/>
        <v>0.98425196850393704</v>
      </c>
      <c r="C7" s="1">
        <v>456</v>
      </c>
      <c r="F7" s="1">
        <v>1</v>
      </c>
      <c r="G7" s="1">
        <v>1</v>
      </c>
      <c r="O7" s="1">
        <f t="shared" si="1"/>
        <v>0.98425196850393704</v>
      </c>
    </row>
    <row r="8" spans="1:32" x14ac:dyDescent="0.35">
      <c r="A8">
        <v>124</v>
      </c>
      <c r="B8">
        <f t="shared" si="2"/>
        <v>0.97637795275590555</v>
      </c>
      <c r="C8" s="1">
        <v>456</v>
      </c>
      <c r="F8" s="1">
        <v>1</v>
      </c>
      <c r="G8" s="1">
        <v>1</v>
      </c>
      <c r="L8" s="1">
        <v>0.99118942731277537</v>
      </c>
      <c r="M8" s="1">
        <v>0.98230088495575218</v>
      </c>
      <c r="O8" s="1">
        <f t="shared" si="1"/>
        <v>0.97637795275590555</v>
      </c>
    </row>
    <row r="9" spans="1:32" x14ac:dyDescent="0.35">
      <c r="A9">
        <v>123</v>
      </c>
      <c r="B9">
        <f t="shared" si="2"/>
        <v>0.96850393700787396</v>
      </c>
      <c r="C9" s="1">
        <v>456</v>
      </c>
      <c r="F9" s="1">
        <v>1</v>
      </c>
      <c r="G9" s="1">
        <v>1</v>
      </c>
      <c r="K9" s="1">
        <v>0.99115044247787609</v>
      </c>
      <c r="O9" s="1">
        <f t="shared" si="1"/>
        <v>0.96850393700787396</v>
      </c>
    </row>
    <row r="10" spans="1:32" x14ac:dyDescent="0.35">
      <c r="A10">
        <v>122</v>
      </c>
      <c r="B10">
        <f t="shared" si="2"/>
        <v>0.96062992125984248</v>
      </c>
      <c r="C10" s="1">
        <v>456</v>
      </c>
      <c r="F10" s="1">
        <v>1</v>
      </c>
      <c r="G10" s="1">
        <v>0.99122807017543857</v>
      </c>
      <c r="I10" s="1">
        <v>0.99122807017543857</v>
      </c>
      <c r="J10" s="1">
        <v>0.99122807017543857</v>
      </c>
      <c r="O10" s="1">
        <f t="shared" si="1"/>
        <v>0.96062992125984248</v>
      </c>
    </row>
    <row r="11" spans="1:32" x14ac:dyDescent="0.35">
      <c r="A11">
        <v>121</v>
      </c>
      <c r="B11">
        <f t="shared" si="2"/>
        <v>0.952755905511811</v>
      </c>
      <c r="C11" s="1">
        <v>456</v>
      </c>
      <c r="F11" s="1">
        <v>1</v>
      </c>
      <c r="G11" s="1">
        <v>0.99122807017543857</v>
      </c>
      <c r="O11" s="1">
        <f t="shared" si="1"/>
        <v>0.952755905511811</v>
      </c>
    </row>
    <row r="12" spans="1:32" x14ac:dyDescent="0.35">
      <c r="A12">
        <v>120</v>
      </c>
      <c r="B12">
        <f t="shared" si="2"/>
        <v>0.94488188976377951</v>
      </c>
      <c r="C12" s="1">
        <v>456</v>
      </c>
      <c r="F12" s="1">
        <v>0.99122807017543857</v>
      </c>
      <c r="G12" s="1">
        <v>0.98684210526315785</v>
      </c>
      <c r="K12" s="1">
        <v>0.98230088495575218</v>
      </c>
      <c r="L12" s="1">
        <v>0.97797356828193838</v>
      </c>
      <c r="M12" s="1">
        <v>0.97345132743362828</v>
      </c>
      <c r="N12" s="1">
        <v>0.94736842105263153</v>
      </c>
      <c r="O12" s="1">
        <f t="shared" si="1"/>
        <v>0.94488188976377951</v>
      </c>
      <c r="S12" s="1">
        <v>0.84070796460176989</v>
      </c>
      <c r="T12" s="1">
        <v>0.79646017699115046</v>
      </c>
      <c r="U12" s="1">
        <f>0.023*EXP(3.77*B12)</f>
        <v>0.81053858003968571</v>
      </c>
      <c r="V12" s="1">
        <v>0.6834862385321101</v>
      </c>
      <c r="W12" s="1">
        <f>0.0112*EXP(4.47*B12)</f>
        <v>0.76473993787887762</v>
      </c>
    </row>
    <row r="13" spans="1:32" x14ac:dyDescent="0.35">
      <c r="A13">
        <v>110</v>
      </c>
      <c r="B13">
        <f t="shared" si="2"/>
        <v>0.86614173228346458</v>
      </c>
      <c r="C13" s="1">
        <v>456</v>
      </c>
      <c r="F13" s="1">
        <v>0.98684210526315785</v>
      </c>
      <c r="G13" s="1">
        <v>0.98245614035087714</v>
      </c>
      <c r="L13" s="1">
        <v>0.96035242290748901</v>
      </c>
      <c r="M13" s="1">
        <v>0.92920353982300885</v>
      </c>
      <c r="N13" s="1">
        <v>0.8728070175438597</v>
      </c>
      <c r="O13" s="1">
        <f t="shared" si="1"/>
        <v>0.86614173228346458</v>
      </c>
      <c r="R13" s="1">
        <v>0.7312775330396476</v>
      </c>
      <c r="S13" s="1">
        <v>0.66371681415929207</v>
      </c>
      <c r="T13" s="1">
        <v>0.59292035398230092</v>
      </c>
      <c r="U13" s="1">
        <f t="shared" ref="U13:U19" si="3">0.023*EXP(3.77*B13)</f>
        <v>0.60235594819041227</v>
      </c>
      <c r="V13" s="1">
        <v>0.44954128440366975</v>
      </c>
      <c r="W13" s="1">
        <f t="shared" ref="W13:W19" si="4">0.0112*EXP(4.47*B13)</f>
        <v>0.53784333647247384</v>
      </c>
    </row>
    <row r="14" spans="1:32" x14ac:dyDescent="0.35">
      <c r="A14">
        <v>100</v>
      </c>
      <c r="B14">
        <f t="shared" si="2"/>
        <v>0.78740157480314965</v>
      </c>
      <c r="C14" s="1">
        <v>456</v>
      </c>
      <c r="F14" s="1">
        <v>0.98245614035087714</v>
      </c>
      <c r="G14" s="1">
        <v>0.98245614035087714</v>
      </c>
      <c r="J14" s="1">
        <v>0.96491228070175439</v>
      </c>
      <c r="K14" s="1">
        <v>0.95575221238938057</v>
      </c>
      <c r="L14" s="1">
        <v>0.93392070484581502</v>
      </c>
      <c r="M14" s="1">
        <v>0.89380530973451322</v>
      </c>
      <c r="O14" s="1">
        <f t="shared" si="1"/>
        <v>0.78740157480314965</v>
      </c>
      <c r="T14" s="1">
        <v>0.47345132743362833</v>
      </c>
      <c r="U14" s="1">
        <f t="shared" si="3"/>
        <v>0.44764394595826079</v>
      </c>
      <c r="V14" s="1">
        <v>0.34862385321100919</v>
      </c>
      <c r="W14" s="1">
        <f t="shared" si="4"/>
        <v>0.37826644099455836</v>
      </c>
    </row>
    <row r="15" spans="1:32" x14ac:dyDescent="0.35">
      <c r="A15">
        <v>96</v>
      </c>
      <c r="B15">
        <f t="shared" si="2"/>
        <v>0.75590551181102361</v>
      </c>
      <c r="C15" s="1">
        <v>456</v>
      </c>
      <c r="F15" s="1">
        <v>0.98245614035087714</v>
      </c>
      <c r="G15" s="1">
        <v>0.98245614035087714</v>
      </c>
      <c r="L15" s="1">
        <v>0.93392070484581502</v>
      </c>
      <c r="M15" s="1">
        <v>0.87610619469026552</v>
      </c>
      <c r="N15" s="1">
        <v>0.7807017543859649</v>
      </c>
      <c r="O15" s="1">
        <f t="shared" si="1"/>
        <v>0.75590551181102361</v>
      </c>
      <c r="R15" s="1">
        <v>0.55506607929515417</v>
      </c>
      <c r="S15" s="1">
        <v>0.49115044247787609</v>
      </c>
      <c r="T15" s="1">
        <v>0.4336283185840708</v>
      </c>
      <c r="U15" s="1">
        <f t="shared" si="3"/>
        <v>0.39752506768191587</v>
      </c>
      <c r="V15" s="1">
        <v>0.31192660550458717</v>
      </c>
      <c r="W15" s="1">
        <f t="shared" si="4"/>
        <v>0.32859021131385208</v>
      </c>
    </row>
    <row r="16" spans="1:32" x14ac:dyDescent="0.35">
      <c r="A16">
        <v>76</v>
      </c>
      <c r="B16">
        <f t="shared" si="2"/>
        <v>0.59842519685039375</v>
      </c>
      <c r="L16" s="1">
        <v>0.88105726872246692</v>
      </c>
      <c r="M16" s="1">
        <v>0.79646017699115046</v>
      </c>
      <c r="O16" s="1">
        <f t="shared" si="1"/>
        <v>0.59842519685039375</v>
      </c>
      <c r="U16" s="1">
        <f t="shared" si="3"/>
        <v>0.21954499674246808</v>
      </c>
      <c r="V16" s="1">
        <v>0.17201834862385321</v>
      </c>
      <c r="W16" s="1">
        <f t="shared" si="4"/>
        <v>0.16253191918299811</v>
      </c>
    </row>
    <row r="17" spans="1:23" x14ac:dyDescent="0.35">
      <c r="A17">
        <v>64</v>
      </c>
      <c r="B17">
        <f t="shared" si="2"/>
        <v>0.50393700787401574</v>
      </c>
      <c r="C17" s="1">
        <v>456</v>
      </c>
      <c r="D17" s="1">
        <v>1</v>
      </c>
      <c r="E17" s="1">
        <v>0.98245614035087714</v>
      </c>
      <c r="F17" s="1">
        <v>0.98245614035087714</v>
      </c>
      <c r="G17" s="1">
        <v>0.97368421052631582</v>
      </c>
      <c r="H17" s="1">
        <v>0.98245614035087714</v>
      </c>
      <c r="I17" s="1">
        <v>0.95614035087719296</v>
      </c>
      <c r="J17" s="1">
        <v>0.93859649122807021</v>
      </c>
      <c r="K17" s="1">
        <v>0.90265486725663713</v>
      </c>
      <c r="L17" s="1">
        <v>0.85462555066079293</v>
      </c>
      <c r="M17" s="1">
        <v>0.76106194690265483</v>
      </c>
      <c r="N17" s="1">
        <v>0.49122807017543857</v>
      </c>
      <c r="O17" s="1">
        <f t="shared" si="1"/>
        <v>0.50393700787401574</v>
      </c>
      <c r="P17" s="1">
        <v>16.7</v>
      </c>
      <c r="Q17" s="1">
        <f>(P17-P$31)/(P$4-P$31)</f>
        <v>0.20488721804511276</v>
      </c>
      <c r="R17" s="1">
        <v>0.25550660792951541</v>
      </c>
      <c r="S17" s="1">
        <v>0.2168141592920354</v>
      </c>
      <c r="T17" s="1">
        <v>0.17699115044247787</v>
      </c>
      <c r="U17" s="1">
        <f t="shared" si="3"/>
        <v>0.15375135745360502</v>
      </c>
      <c r="V17" s="1">
        <v>0.10321100917431193</v>
      </c>
      <c r="W17" s="1">
        <f t="shared" si="4"/>
        <v>0.10653911593571173</v>
      </c>
    </row>
    <row r="18" spans="1:23" x14ac:dyDescent="0.35">
      <c r="A18">
        <v>48</v>
      </c>
      <c r="B18">
        <f t="shared" si="2"/>
        <v>0.37795275590551181</v>
      </c>
      <c r="L18" s="1">
        <v>0.82378854625550657</v>
      </c>
      <c r="M18" s="1">
        <v>0.61283185840707965</v>
      </c>
      <c r="O18" s="1">
        <f t="shared" si="1"/>
        <v>0.37795275590551181</v>
      </c>
      <c r="U18" s="1">
        <f t="shared" si="3"/>
        <v>9.5619436082232084E-2</v>
      </c>
      <c r="V18" s="1">
        <v>5.0458715596330278E-2</v>
      </c>
      <c r="W18" s="1">
        <f t="shared" si="4"/>
        <v>6.0664737423936348E-2</v>
      </c>
    </row>
    <row r="19" spans="1:23" x14ac:dyDescent="0.35">
      <c r="A19">
        <v>32</v>
      </c>
      <c r="B19">
        <f t="shared" si="2"/>
        <v>0.25196850393700787</v>
      </c>
      <c r="C19" s="1">
        <v>456</v>
      </c>
      <c r="F19" s="1">
        <v>0.98245614035087714</v>
      </c>
      <c r="G19" s="1">
        <v>0.96491228070175439</v>
      </c>
      <c r="H19" s="1">
        <v>0.96491228070175439</v>
      </c>
      <c r="I19" s="1">
        <v>0.93859649122807021</v>
      </c>
      <c r="J19" s="1">
        <v>0.91228070175438591</v>
      </c>
      <c r="K19" s="1">
        <v>0.86725663716814161</v>
      </c>
      <c r="L19" s="1">
        <v>0.70044052863436124</v>
      </c>
      <c r="M19" s="1">
        <v>0.4336283185840708</v>
      </c>
      <c r="N19" s="1">
        <v>0.20833333333333334</v>
      </c>
      <c r="O19" s="1">
        <f t="shared" si="1"/>
        <v>0.25196850393700787</v>
      </c>
      <c r="R19" s="1">
        <v>7.0484581497797363E-2</v>
      </c>
      <c r="S19" s="1">
        <v>5.7522123893805309E-2</v>
      </c>
      <c r="T19" s="1">
        <v>8.4070796460176997E-2</v>
      </c>
      <c r="U19" s="1">
        <f t="shared" si="3"/>
        <v>5.9466639567348309E-2</v>
      </c>
      <c r="V19" s="1">
        <v>3.2110091743119268E-2</v>
      </c>
      <c r="W19" s="1">
        <f t="shared" si="4"/>
        <v>3.4543278629568026E-2</v>
      </c>
    </row>
    <row r="20" spans="1:23" x14ac:dyDescent="0.35">
      <c r="A20">
        <v>20</v>
      </c>
      <c r="B20">
        <f t="shared" si="2"/>
        <v>0.15748031496062992</v>
      </c>
      <c r="C20" s="1">
        <v>456</v>
      </c>
      <c r="F20" s="1">
        <v>0.98245614035087714</v>
      </c>
      <c r="G20" s="1">
        <v>0.96491228070175439</v>
      </c>
      <c r="H20" s="1">
        <v>0.96052631578947367</v>
      </c>
      <c r="I20" s="1">
        <v>0.92982456140350878</v>
      </c>
      <c r="J20" s="1">
        <v>0.89912280701754388</v>
      </c>
      <c r="K20" s="1">
        <v>0.74336283185840712</v>
      </c>
      <c r="L20" s="1">
        <v>0.55947136563876654</v>
      </c>
      <c r="M20" s="1">
        <v>0.32743362831858408</v>
      </c>
      <c r="N20" s="1">
        <v>0.13596491228070176</v>
      </c>
      <c r="O20" s="1">
        <f t="shared" si="1"/>
        <v>0.15748031496062992</v>
      </c>
      <c r="T20" s="1">
        <v>0.03</v>
      </c>
      <c r="U20" s="1">
        <f>0.023*EXP(3.77*B20)</f>
        <v>4.1645570121596212E-2</v>
      </c>
      <c r="V20" s="1">
        <v>2.5229357798165139E-2</v>
      </c>
      <c r="W20" s="1">
        <f>0.0112*EXP(4.47*B20)</f>
        <v>2.2643000742343527E-2</v>
      </c>
    </row>
    <row r="21" spans="1:23" x14ac:dyDescent="0.35">
      <c r="A21">
        <v>13</v>
      </c>
      <c r="B21">
        <f t="shared" si="2"/>
        <v>0.10236220472440945</v>
      </c>
      <c r="I21" s="1">
        <v>0.92105263157894735</v>
      </c>
      <c r="M21" s="1">
        <v>0.26548672566371684</v>
      </c>
      <c r="O21" s="1">
        <f t="shared" si="1"/>
        <v>0.10236220472440945</v>
      </c>
    </row>
    <row r="22" spans="1:23" x14ac:dyDescent="0.35">
      <c r="A22">
        <v>10</v>
      </c>
      <c r="B22">
        <f t="shared" si="2"/>
        <v>7.874015748031496E-2</v>
      </c>
      <c r="C22" s="1">
        <v>456</v>
      </c>
      <c r="F22" s="1">
        <v>0.97368421052631582</v>
      </c>
      <c r="G22" s="1">
        <v>0.96052631578947367</v>
      </c>
      <c r="H22" s="1">
        <v>0.95614035087719296</v>
      </c>
      <c r="I22" s="1">
        <v>0.8771929824561403</v>
      </c>
      <c r="J22" s="1">
        <v>0.75</v>
      </c>
      <c r="K22" s="1">
        <v>0.59734513274336287</v>
      </c>
      <c r="L22" s="1">
        <v>0.45374449339207046</v>
      </c>
      <c r="M22" s="1">
        <v>0.23893805309734514</v>
      </c>
      <c r="N22" s="1">
        <v>6.3596491228070179E-2</v>
      </c>
      <c r="O22" s="1">
        <f t="shared" si="1"/>
        <v>7.874015748031496E-2</v>
      </c>
    </row>
    <row r="23" spans="1:23" x14ac:dyDescent="0.35">
      <c r="A23">
        <v>8</v>
      </c>
      <c r="B23">
        <f t="shared" si="2"/>
        <v>6.2992125984251968E-2</v>
      </c>
      <c r="C23" s="1">
        <v>456</v>
      </c>
      <c r="F23" s="1">
        <v>0.9692982456140351</v>
      </c>
      <c r="G23" s="1">
        <v>0.95614035087719296</v>
      </c>
      <c r="H23" s="1">
        <v>0.93859649122807021</v>
      </c>
      <c r="I23" s="1">
        <v>0.85526315789473684</v>
      </c>
      <c r="K23" s="1">
        <v>0.5752212389380531</v>
      </c>
      <c r="L23" s="1">
        <v>0.42290748898678415</v>
      </c>
      <c r="M23" s="1">
        <v>0.16592920353982302</v>
      </c>
      <c r="O23" s="1">
        <f t="shared" si="1"/>
        <v>6.2992125984251968E-2</v>
      </c>
    </row>
    <row r="24" spans="1:23" x14ac:dyDescent="0.35">
      <c r="A24">
        <v>7</v>
      </c>
      <c r="B24">
        <f t="shared" si="2"/>
        <v>5.5118110236220472E-2</v>
      </c>
      <c r="C24" s="1">
        <v>456</v>
      </c>
      <c r="F24" s="1">
        <v>0.96491228070175439</v>
      </c>
      <c r="G24" s="1">
        <v>0.94736842105263153</v>
      </c>
      <c r="H24" s="1">
        <v>0.92105263157894735</v>
      </c>
      <c r="I24" s="1">
        <v>0.84210526315789469</v>
      </c>
      <c r="J24" s="1">
        <v>0.71491228070175439</v>
      </c>
      <c r="K24" s="1">
        <v>0.56194690265486724</v>
      </c>
      <c r="L24" s="1">
        <v>0.39207048458149779</v>
      </c>
      <c r="M24" s="1">
        <v>0.13053097345132744</v>
      </c>
      <c r="O24" s="1">
        <f t="shared" si="1"/>
        <v>5.5118110236220472E-2</v>
      </c>
    </row>
    <row r="25" spans="1:23" x14ac:dyDescent="0.35">
      <c r="A25">
        <v>6</v>
      </c>
      <c r="B25">
        <f t="shared" si="2"/>
        <v>4.7244094488188976E-2</v>
      </c>
      <c r="C25" s="1">
        <v>456</v>
      </c>
      <c r="F25" s="1">
        <v>0.96491228070175439</v>
      </c>
      <c r="G25" s="1">
        <v>0.93859649122807021</v>
      </c>
      <c r="H25" s="1">
        <v>0.90350877192982459</v>
      </c>
      <c r="K25" s="1">
        <v>0.55309734513274333</v>
      </c>
      <c r="L25" s="1">
        <v>0.34140969162995594</v>
      </c>
      <c r="M25" s="1">
        <v>9.9557522123893807E-2</v>
      </c>
      <c r="O25" s="1">
        <f t="shared" si="1"/>
        <v>4.7244094488188976E-2</v>
      </c>
    </row>
    <row r="26" spans="1:23" x14ac:dyDescent="0.35">
      <c r="A26">
        <v>5</v>
      </c>
      <c r="B26">
        <f t="shared" si="2"/>
        <v>3.937007874015748E-2</v>
      </c>
      <c r="C26" s="1">
        <v>456</v>
      </c>
      <c r="F26" s="1">
        <v>0.95614035087719296</v>
      </c>
      <c r="G26" s="1">
        <v>0.92982456140350878</v>
      </c>
      <c r="H26" s="1">
        <v>0.89473684210526316</v>
      </c>
      <c r="I26" s="1">
        <v>0.80701754385964908</v>
      </c>
      <c r="J26" s="1">
        <v>0.68421052631578949</v>
      </c>
      <c r="K26" s="1">
        <v>0.53982300884955747</v>
      </c>
      <c r="M26" s="1">
        <v>7.3008849557522126E-2</v>
      </c>
      <c r="N26" s="1">
        <v>2.850877192982456E-2</v>
      </c>
      <c r="O26" s="1">
        <f t="shared" si="1"/>
        <v>3.937007874015748E-2</v>
      </c>
    </row>
    <row r="27" spans="1:23" x14ac:dyDescent="0.35">
      <c r="A27">
        <v>4</v>
      </c>
      <c r="B27">
        <f t="shared" si="2"/>
        <v>3.1496062992125984E-2</v>
      </c>
      <c r="C27" s="1">
        <v>456</v>
      </c>
      <c r="F27" s="1">
        <v>0.92982456140350878</v>
      </c>
      <c r="G27" s="1">
        <v>0.91228070175438591</v>
      </c>
      <c r="H27" s="1">
        <v>0.8771929824561403</v>
      </c>
      <c r="I27" s="1">
        <v>0.79824561403508776</v>
      </c>
      <c r="J27" s="1">
        <v>0.67105263157894735</v>
      </c>
      <c r="K27" s="1">
        <v>0.36283185840707965</v>
      </c>
      <c r="M27" s="1">
        <v>5.3097345132743362E-2</v>
      </c>
      <c r="O27" s="1">
        <f t="shared" si="1"/>
        <v>3.1496062992125984E-2</v>
      </c>
    </row>
    <row r="28" spans="1:23" x14ac:dyDescent="0.35">
      <c r="A28">
        <v>3</v>
      </c>
      <c r="B28">
        <f t="shared" si="2"/>
        <v>2.3622047244094488E-2</v>
      </c>
      <c r="C28" s="1">
        <v>456</v>
      </c>
      <c r="F28" s="1">
        <v>0.91228070175438591</v>
      </c>
      <c r="G28" s="1">
        <v>0.89912280701754388</v>
      </c>
      <c r="H28" s="1">
        <v>0.86842105263157898</v>
      </c>
      <c r="I28" s="1">
        <v>0.7807017543859649</v>
      </c>
      <c r="J28" s="1">
        <v>0.55263157894736847</v>
      </c>
      <c r="K28" s="1">
        <v>0.20575221238938052</v>
      </c>
      <c r="L28" s="1">
        <v>9.9118942731277526E-2</v>
      </c>
      <c r="M28" s="1">
        <v>3.5398230088495575E-2</v>
      </c>
      <c r="O28" s="1">
        <f t="shared" si="1"/>
        <v>2.3622047244094488E-2</v>
      </c>
    </row>
    <row r="29" spans="1:23" x14ac:dyDescent="0.35">
      <c r="A29">
        <v>2</v>
      </c>
      <c r="B29">
        <f t="shared" si="2"/>
        <v>1.5748031496062992E-2</v>
      </c>
      <c r="C29" s="1">
        <v>456</v>
      </c>
      <c r="E29" s="1">
        <v>0.95614035087719296</v>
      </c>
      <c r="F29" s="1">
        <v>0.90350877192982459</v>
      </c>
      <c r="G29" s="1">
        <v>0.88596491228070173</v>
      </c>
      <c r="H29" s="1">
        <v>0.85964912280701755</v>
      </c>
      <c r="I29" s="1">
        <v>0.59649122807017541</v>
      </c>
      <c r="J29" s="1">
        <v>0.24561403508771928</v>
      </c>
      <c r="K29" s="1">
        <v>8.8495575221238937E-2</v>
      </c>
      <c r="L29" s="1">
        <v>5.2863436123348019E-2</v>
      </c>
      <c r="M29" s="1">
        <v>2.6548672566371681E-2</v>
      </c>
      <c r="O29" s="1">
        <f t="shared" si="1"/>
        <v>1.5748031496062992E-2</v>
      </c>
    </row>
    <row r="30" spans="1:23" x14ac:dyDescent="0.35">
      <c r="A30">
        <v>1</v>
      </c>
      <c r="B30">
        <f t="shared" si="2"/>
        <v>7.874015748031496E-3</v>
      </c>
      <c r="C30" s="1">
        <v>456</v>
      </c>
      <c r="D30" s="1">
        <v>0.98245614035087714</v>
      </c>
      <c r="E30" s="1">
        <v>0.94736842105263153</v>
      </c>
      <c r="F30" s="1">
        <v>0.8771929824561403</v>
      </c>
      <c r="G30" s="1">
        <v>0.56140350877192979</v>
      </c>
      <c r="H30" s="1">
        <v>0.39473684210526316</v>
      </c>
      <c r="I30" s="1">
        <v>0.16447368421052633</v>
      </c>
      <c r="J30" s="1">
        <v>6.1403508771929821E-2</v>
      </c>
      <c r="K30" s="1">
        <v>2.2123893805309734E-2</v>
      </c>
      <c r="L30" s="1">
        <v>2.643171806167401E-2</v>
      </c>
      <c r="O30" s="1">
        <f t="shared" si="1"/>
        <v>7.874015748031496E-3</v>
      </c>
    </row>
    <row r="31" spans="1:23" x14ac:dyDescent="0.35">
      <c r="A31">
        <v>0</v>
      </c>
      <c r="B31">
        <f t="shared" si="2"/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O31" s="1">
        <f t="shared" si="1"/>
        <v>0</v>
      </c>
      <c r="P31" s="1">
        <v>5.8</v>
      </c>
      <c r="Q31" s="1">
        <f>(P31-P$31)/(P$4-P$31)</f>
        <v>0</v>
      </c>
      <c r="T31" s="1">
        <v>0</v>
      </c>
      <c r="U31" s="1">
        <v>0</v>
      </c>
      <c r="V31" s="1">
        <v>1E-3</v>
      </c>
    </row>
    <row r="33" spans="18:23" x14ac:dyDescent="0.35">
      <c r="R33" s="1" t="s">
        <v>155</v>
      </c>
      <c r="S33" s="1" t="s">
        <v>156</v>
      </c>
      <c r="T33" s="1" t="s">
        <v>155</v>
      </c>
      <c r="U33" s="1" t="s">
        <v>157</v>
      </c>
    </row>
    <row r="34" spans="18:23" x14ac:dyDescent="0.35">
      <c r="R34" s="1">
        <f>$N$3+0.5</f>
        <v>0.6</v>
      </c>
      <c r="S34" s="1">
        <f>N$1</f>
        <v>0</v>
      </c>
      <c r="T34" s="1">
        <f>$N$3+0.5</f>
        <v>0.6</v>
      </c>
      <c r="U34" s="1">
        <f>P$1</f>
        <v>0</v>
      </c>
    </row>
    <row r="35" spans="18:23" x14ac:dyDescent="0.35">
      <c r="R35" s="1">
        <f>M$3+0.5</f>
        <v>0.7</v>
      </c>
      <c r="S35" s="1">
        <f>M$1</f>
        <v>0.23487910250156785</v>
      </c>
    </row>
    <row r="36" spans="18:23" x14ac:dyDescent="0.35">
      <c r="R36" s="1">
        <f>L$3+0.5</f>
        <v>0.8</v>
      </c>
      <c r="S36" s="1">
        <f>L$1</f>
        <v>0.40199105067813662</v>
      </c>
      <c r="T36" s="1">
        <f>S$3+0.5</f>
        <v>0.45</v>
      </c>
    </row>
    <row r="37" spans="18:23" x14ac:dyDescent="0.35">
      <c r="R37" s="1">
        <f>K$3+0.5</f>
        <v>0.85</v>
      </c>
      <c r="S37" s="1">
        <f>K$1</f>
        <v>0.51860497526304794</v>
      </c>
      <c r="T37" s="1">
        <f>T$3+0.5</f>
        <v>0.4</v>
      </c>
      <c r="U37" s="1">
        <f>T$1</f>
        <v>-0.32227719322695281</v>
      </c>
    </row>
    <row r="38" spans="18:23" x14ac:dyDescent="0.35">
      <c r="R38" s="1">
        <f>J$3+0.5</f>
        <v>0.9</v>
      </c>
      <c r="S38" s="1">
        <f>J$1</f>
        <v>0.67125984251968507</v>
      </c>
      <c r="T38" s="1">
        <f>V$3+0.5</f>
        <v>0.3</v>
      </c>
      <c r="U38" s="1">
        <f>V$1</f>
        <v>-0.44397890630643644</v>
      </c>
    </row>
    <row r="39" spans="18:23" x14ac:dyDescent="0.35">
      <c r="R39" s="1">
        <f>I$3+0.5</f>
        <v>0.92999999999999994</v>
      </c>
      <c r="S39" s="1">
        <f>I$1</f>
        <v>0.79227103191048487</v>
      </c>
    </row>
    <row r="40" spans="18:23" x14ac:dyDescent="0.35">
      <c r="R40" s="1">
        <f>H$3+0.5</f>
        <v>0.95</v>
      </c>
      <c r="S40" s="1">
        <f>H$1</f>
        <v>0.85626467744163559</v>
      </c>
    </row>
    <row r="41" spans="18:23" x14ac:dyDescent="0.35">
      <c r="R41" s="1">
        <f>G$3+0.5</f>
        <v>0.96</v>
      </c>
      <c r="S41" s="1">
        <f>G$1</f>
        <v>0.88078463876225999</v>
      </c>
    </row>
    <row r="42" spans="18:23" x14ac:dyDescent="0.35">
      <c r="R42" s="1">
        <f>F$3+0.5</f>
        <v>0.97</v>
      </c>
      <c r="S42" s="1">
        <f>F$1</f>
        <v>0.89832849841138285</v>
      </c>
    </row>
    <row r="43" spans="18:23" x14ac:dyDescent="0.35">
      <c r="U43" s="1" t="s">
        <v>155</v>
      </c>
      <c r="V43" s="1" t="s">
        <v>149</v>
      </c>
      <c r="W43" s="1" t="s">
        <v>152</v>
      </c>
    </row>
    <row r="44" spans="18:23" x14ac:dyDescent="0.35">
      <c r="U44" s="1">
        <f>123/127</f>
        <v>0.96850393700787396</v>
      </c>
      <c r="V44" s="1">
        <f>0.877*127/1</f>
        <v>111.379</v>
      </c>
    </row>
    <row r="45" spans="18:23" x14ac:dyDescent="0.35">
      <c r="U45" s="1">
        <f>121/127</f>
        <v>0.952755905511811</v>
      </c>
      <c r="V45" s="1">
        <f>0.86*126/2</f>
        <v>54.18</v>
      </c>
    </row>
    <row r="46" spans="18:23" x14ac:dyDescent="0.35">
      <c r="U46" s="1">
        <f>118/127</f>
        <v>0.92913385826771655</v>
      </c>
      <c r="V46" s="1">
        <f>0.781*127/3</f>
        <v>33.062333333333335</v>
      </c>
    </row>
    <row r="47" spans="18:23" x14ac:dyDescent="0.35">
      <c r="U47" s="1">
        <f>114/127</f>
        <v>0.89763779527559051</v>
      </c>
      <c r="V47" s="1">
        <f>0.671*127/4</f>
        <v>21.30425</v>
      </c>
    </row>
    <row r="48" spans="18:23" x14ac:dyDescent="0.35">
      <c r="U48" s="1">
        <f>108/127</f>
        <v>0.85039370078740162</v>
      </c>
      <c r="V48" s="1">
        <f>0.54*127/5</f>
        <v>13.715999999999999</v>
      </c>
    </row>
    <row r="49" spans="2:22" x14ac:dyDescent="0.35">
      <c r="U49" s="1">
        <f>102/127</f>
        <v>0.80314960629921262</v>
      </c>
      <c r="V49" s="1">
        <f>0.341*127/6</f>
        <v>7.217833333333334</v>
      </c>
    </row>
    <row r="50" spans="2:22" x14ac:dyDescent="0.35">
      <c r="U50" s="1">
        <f>89/127</f>
        <v>0.70078740157480313</v>
      </c>
      <c r="V50" s="1">
        <f>0.239*127/10</f>
        <v>3.0352999999999999</v>
      </c>
    </row>
    <row r="51" spans="2:22" x14ac:dyDescent="0.35">
      <c r="U51" s="14">
        <v>0.6</v>
      </c>
      <c r="V51" s="14">
        <v>1</v>
      </c>
    </row>
    <row r="52" spans="2:22" x14ac:dyDescent="0.35">
      <c r="U52" s="1">
        <f>51/127</f>
        <v>0.40157480314960631</v>
      </c>
      <c r="V52" s="1">
        <f>0.057*127/26</f>
        <v>0.27842307692307694</v>
      </c>
    </row>
    <row r="53" spans="2:22" x14ac:dyDescent="0.35">
      <c r="U53" s="1">
        <f>25/127</f>
        <v>0.19685039370078741</v>
      </c>
      <c r="V53" s="1">
        <f>0.065*127/72</f>
        <v>0.11465277777777778</v>
      </c>
    </row>
    <row r="54" spans="2:22" x14ac:dyDescent="0.35">
      <c r="U54" s="1">
        <v>0</v>
      </c>
      <c r="V54" s="1">
        <f>0.058*127/96</f>
        <v>7.6729166666666668E-2</v>
      </c>
    </row>
    <row r="56" spans="2:22" x14ac:dyDescent="0.35">
      <c r="B56" t="s">
        <v>9</v>
      </c>
      <c r="C56" s="1" t="s">
        <v>8</v>
      </c>
      <c r="D56" s="1" t="s">
        <v>7</v>
      </c>
      <c r="E56" s="1" t="s">
        <v>11</v>
      </c>
      <c r="F56" s="1" t="s">
        <v>12</v>
      </c>
      <c r="G56" s="1" t="s">
        <v>10</v>
      </c>
    </row>
    <row r="57" spans="2:22" x14ac:dyDescent="0.35">
      <c r="B57">
        <v>1</v>
      </c>
      <c r="C57" s="1">
        <f>0.0112*EXP(4.47*B57)</f>
        <v>0.97839529775053902</v>
      </c>
      <c r="D57" s="1">
        <f>0.023*EXP(3.77*B57)</f>
        <v>0.99774149122458722</v>
      </c>
      <c r="E57" s="1">
        <f>0.05*EXP(3*B57)</f>
        <v>1.0042768461593834</v>
      </c>
      <c r="F57" s="1">
        <f>0.045*EXP(3.2*B57)</f>
        <v>1.1039638588699208</v>
      </c>
      <c r="G57" s="1">
        <f>(E57+B57)/2</f>
        <v>1.0021384230796917</v>
      </c>
    </row>
    <row r="58" spans="2:22" x14ac:dyDescent="0.35">
      <c r="B58">
        <v>0.99212598425196852</v>
      </c>
      <c r="C58" s="1">
        <f t="shared" ref="C58:C83" si="5">0.0112*EXP(4.47*B58)</f>
        <v>0.94455784386337194</v>
      </c>
      <c r="D58" s="1">
        <f t="shared" ref="D58:D83" si="6">0.023*EXP(3.77*B58)</f>
        <v>0.96855878364397274</v>
      </c>
      <c r="E58" s="1">
        <f t="shared" ref="E58:E83" si="7">0.05*EXP(3*B58)</f>
        <v>0.98083177157104984</v>
      </c>
      <c r="F58" s="1">
        <f t="shared" ref="F58:F83" si="8">0.045*EXP(3.2*B58)</f>
        <v>1.0764949647607509</v>
      </c>
      <c r="G58" s="1">
        <f t="shared" ref="G58:G83" si="9">(E58+B58)/2</f>
        <v>0.98647887791150923</v>
      </c>
    </row>
    <row r="59" spans="2:22" x14ac:dyDescent="0.35">
      <c r="B59">
        <v>0.98425196850393704</v>
      </c>
      <c r="C59" s="1">
        <f t="shared" si="5"/>
        <v>0.91189064630122785</v>
      </c>
      <c r="D59" s="1">
        <f t="shared" si="6"/>
        <v>0.94022963425375672</v>
      </c>
      <c r="E59" s="1">
        <f t="shared" si="7"/>
        <v>0.95793402765608038</v>
      </c>
      <c r="F59" s="1">
        <f t="shared" si="8"/>
        <v>1.0497095533014142</v>
      </c>
      <c r="G59" s="1">
        <f t="shared" si="9"/>
        <v>0.97109299808000871</v>
      </c>
    </row>
    <row r="60" spans="2:22" x14ac:dyDescent="0.35">
      <c r="B60">
        <v>0.97637795275590555</v>
      </c>
      <c r="C60" s="1">
        <f t="shared" si="5"/>
        <v>0.88035323216473427</v>
      </c>
      <c r="D60" s="1">
        <f t="shared" si="6"/>
        <v>0.91272907753001209</v>
      </c>
      <c r="E60" s="1">
        <f t="shared" si="7"/>
        <v>0.93557083685367548</v>
      </c>
      <c r="F60" s="1">
        <f t="shared" si="8"/>
        <v>1.0235906180361449</v>
      </c>
      <c r="G60" s="1">
        <f t="shared" si="9"/>
        <v>0.95597439480479052</v>
      </c>
    </row>
    <row r="61" spans="2:22" x14ac:dyDescent="0.35">
      <c r="B61">
        <v>0.96850393700787396</v>
      </c>
      <c r="C61" s="1">
        <f t="shared" si="5"/>
        <v>0.8499065282953655</v>
      </c>
      <c r="D61" s="1">
        <f t="shared" si="6"/>
        <v>0.88603287815958065</v>
      </c>
      <c r="E61" s="1">
        <f t="shared" si="7"/>
        <v>0.913729719898139</v>
      </c>
      <c r="F61" s="1">
        <f t="shared" si="8"/>
        <v>0.99812157566481474</v>
      </c>
      <c r="G61" s="1">
        <f t="shared" si="9"/>
        <v>0.94111682845300648</v>
      </c>
    </row>
    <row r="62" spans="2:22" x14ac:dyDescent="0.35">
      <c r="B62">
        <v>0.96062992125984248</v>
      </c>
      <c r="C62" s="1">
        <f t="shared" si="5"/>
        <v>0.82051281286590938</v>
      </c>
      <c r="D62" s="1">
        <f t="shared" si="6"/>
        <v>0.86011750968231537</v>
      </c>
      <c r="E62" s="1">
        <f t="shared" si="7"/>
        <v>0.89239848885511108</v>
      </c>
      <c r="F62" s="1">
        <f t="shared" si="8"/>
        <v>0.9732862555139532</v>
      </c>
      <c r="G62" s="1">
        <f t="shared" si="9"/>
        <v>0.92651420505747684</v>
      </c>
    </row>
    <row r="63" spans="2:22" x14ac:dyDescent="0.35">
      <c r="B63">
        <v>0.952755905511811</v>
      </c>
      <c r="C63" s="1">
        <f t="shared" si="5"/>
        <v>0.79213566864514995</v>
      </c>
      <c r="D63" s="1">
        <f t="shared" si="6"/>
        <v>0.83496013375799816</v>
      </c>
      <c r="E63" s="1">
        <f t="shared" si="7"/>
        <v>0.87156524032037019</v>
      </c>
      <c r="F63" s="1">
        <f t="shared" si="8"/>
        <v>0.9490688892697442</v>
      </c>
      <c r="G63" s="1">
        <f t="shared" si="9"/>
        <v>0.91216057291609065</v>
      </c>
    </row>
    <row r="64" spans="2:22" x14ac:dyDescent="0.35">
      <c r="B64">
        <v>0.94488188976377951</v>
      </c>
      <c r="C64" s="1">
        <f t="shared" si="5"/>
        <v>0.76473993787887762</v>
      </c>
      <c r="D64" s="1">
        <f t="shared" si="6"/>
        <v>0.81053858003968571</v>
      </c>
      <c r="E64" s="1">
        <f t="shared" si="7"/>
        <v>0.85121834877741098</v>
      </c>
      <c r="F64" s="1">
        <f t="shared" si="8"/>
        <v>0.92545410096648839</v>
      </c>
      <c r="G64" s="1">
        <f t="shared" si="9"/>
        <v>0.89805011927059519</v>
      </c>
    </row>
    <row r="65" spans="2:7" x14ac:dyDescent="0.35">
      <c r="B65">
        <v>0.86614173228346458</v>
      </c>
      <c r="C65" s="1">
        <f t="shared" si="5"/>
        <v>0.53784333647247384</v>
      </c>
      <c r="D65" s="1">
        <f t="shared" si="6"/>
        <v>0.60235594819041227</v>
      </c>
      <c r="E65" s="1">
        <f t="shared" si="7"/>
        <v>0.67212759921234411</v>
      </c>
      <c r="F65" s="1">
        <f t="shared" si="8"/>
        <v>0.71932698591180777</v>
      </c>
      <c r="G65" s="1">
        <f t="shared" si="9"/>
        <v>0.76913466574790434</v>
      </c>
    </row>
    <row r="66" spans="2:7" x14ac:dyDescent="0.35">
      <c r="B66">
        <v>0.78740157480314965</v>
      </c>
      <c r="C66" s="1">
        <f t="shared" si="5"/>
        <v>0.37826644099455836</v>
      </c>
      <c r="D66" s="1">
        <f t="shared" si="6"/>
        <v>0.44764394595826079</v>
      </c>
      <c r="E66" s="1">
        <f t="shared" si="7"/>
        <v>0.53071636704236647</v>
      </c>
      <c r="F66" s="1">
        <f t="shared" si="8"/>
        <v>0.55911072426022179</v>
      </c>
      <c r="G66" s="1">
        <f t="shared" si="9"/>
        <v>0.65905897092275811</v>
      </c>
    </row>
    <row r="67" spans="2:7" x14ac:dyDescent="0.35">
      <c r="B67">
        <v>0.75590551181102361</v>
      </c>
      <c r="C67" s="1">
        <f t="shared" si="5"/>
        <v>0.32859021131385208</v>
      </c>
      <c r="D67" s="1">
        <f t="shared" si="6"/>
        <v>0.39752506768191587</v>
      </c>
      <c r="E67" s="1">
        <f t="shared" si="7"/>
        <v>0.48286617306520929</v>
      </c>
      <c r="F67" s="1">
        <f t="shared" si="8"/>
        <v>0.50550611107955112</v>
      </c>
      <c r="G67" s="1">
        <f t="shared" si="9"/>
        <v>0.61938584243811645</v>
      </c>
    </row>
    <row r="68" spans="2:7" x14ac:dyDescent="0.35">
      <c r="B68">
        <v>0.59842519685039375</v>
      </c>
      <c r="C68" s="1">
        <f t="shared" si="5"/>
        <v>0.16253191918299811</v>
      </c>
      <c r="D68" s="1">
        <f t="shared" si="6"/>
        <v>0.21954499674246808</v>
      </c>
      <c r="E68" s="1">
        <f t="shared" si="7"/>
        <v>0.30105669303873328</v>
      </c>
      <c r="F68" s="1">
        <f t="shared" si="8"/>
        <v>0.30540022199749306</v>
      </c>
      <c r="G68" s="1">
        <f t="shared" si="9"/>
        <v>0.44974094494456351</v>
      </c>
    </row>
    <row r="69" spans="2:7" x14ac:dyDescent="0.35">
      <c r="B69">
        <v>0.50393700787401574</v>
      </c>
      <c r="C69" s="1">
        <f t="shared" si="5"/>
        <v>0.10653911593571173</v>
      </c>
      <c r="D69" s="1">
        <f t="shared" si="6"/>
        <v>0.15375135745360502</v>
      </c>
      <c r="E69" s="1">
        <f t="shared" si="7"/>
        <v>0.22674681192987142</v>
      </c>
      <c r="F69" s="1">
        <f t="shared" si="8"/>
        <v>0.22571224030102838</v>
      </c>
      <c r="G69" s="1">
        <f t="shared" si="9"/>
        <v>0.3653419099019436</v>
      </c>
    </row>
    <row r="70" spans="2:7" x14ac:dyDescent="0.35">
      <c r="B70">
        <v>0.37795275590551181</v>
      </c>
      <c r="C70" s="1">
        <f t="shared" si="5"/>
        <v>6.0664737423936348E-2</v>
      </c>
      <c r="D70" s="1">
        <f t="shared" si="6"/>
        <v>9.5619436082232084E-2</v>
      </c>
      <c r="E70" s="1">
        <f t="shared" si="7"/>
        <v>0.15538117213247063</v>
      </c>
      <c r="F70" s="1">
        <f t="shared" si="8"/>
        <v>0.15082365530174568</v>
      </c>
      <c r="G70" s="1">
        <f t="shared" si="9"/>
        <v>0.2666669640189912</v>
      </c>
    </row>
    <row r="71" spans="2:7" x14ac:dyDescent="0.35">
      <c r="B71">
        <v>0.25196850393700787</v>
      </c>
      <c r="C71" s="1">
        <f t="shared" si="5"/>
        <v>3.4543278629568026E-2</v>
      </c>
      <c r="D71" s="1">
        <f t="shared" si="6"/>
        <v>5.9466639567348309E-2</v>
      </c>
      <c r="E71" s="1">
        <f t="shared" si="7"/>
        <v>0.1064769486625794</v>
      </c>
      <c r="F71" s="1">
        <f t="shared" si="8"/>
        <v>0.10078219492324166</v>
      </c>
      <c r="G71" s="1">
        <f t="shared" si="9"/>
        <v>0.17922272629979363</v>
      </c>
    </row>
    <row r="72" spans="2:7" x14ac:dyDescent="0.35">
      <c r="B72">
        <v>0.15748031496062992</v>
      </c>
      <c r="C72" s="1">
        <f t="shared" si="5"/>
        <v>2.2643000742343527E-2</v>
      </c>
      <c r="D72" s="1">
        <f t="shared" si="6"/>
        <v>4.1645570121596212E-2</v>
      </c>
      <c r="E72" s="1">
        <f t="shared" si="7"/>
        <v>8.0195223064362331E-2</v>
      </c>
      <c r="F72" s="1">
        <f t="shared" si="8"/>
        <v>7.4485129217641943E-2</v>
      </c>
      <c r="G72" s="1">
        <f t="shared" si="9"/>
        <v>0.11883776901249613</v>
      </c>
    </row>
    <row r="73" spans="2:7" x14ac:dyDescent="0.35">
      <c r="B73">
        <v>0.10236220472440945</v>
      </c>
      <c r="C73" s="1">
        <f t="shared" si="5"/>
        <v>1.7698375105545748E-2</v>
      </c>
      <c r="D73" s="1">
        <f t="shared" si="6"/>
        <v>3.3831750576867194E-2</v>
      </c>
      <c r="E73" s="1">
        <f t="shared" si="7"/>
        <v>6.7972935568255552E-2</v>
      </c>
      <c r="F73" s="1">
        <f t="shared" si="8"/>
        <v>6.2440964658072043E-2</v>
      </c>
      <c r="G73" s="1">
        <f t="shared" si="9"/>
        <v>8.51675701463325E-2</v>
      </c>
    </row>
    <row r="74" spans="2:7" x14ac:dyDescent="0.35">
      <c r="B74">
        <v>7.874015748031496E-2</v>
      </c>
      <c r="C74" s="1">
        <f t="shared" si="5"/>
        <v>1.5924873886918146E-2</v>
      </c>
      <c r="D74" s="1">
        <f t="shared" si="6"/>
        <v>3.0949121357426494E-2</v>
      </c>
      <c r="E74" s="1">
        <f t="shared" si="7"/>
        <v>6.3322674874156382E-2</v>
      </c>
      <c r="F74" s="1">
        <f t="shared" si="8"/>
        <v>5.7894998184591796E-2</v>
      </c>
      <c r="G74" s="1">
        <f t="shared" si="9"/>
        <v>7.1031416177235671E-2</v>
      </c>
    </row>
    <row r="75" spans="2:7" x14ac:dyDescent="0.35">
      <c r="B75">
        <v>6.2992125984251968E-2</v>
      </c>
      <c r="C75" s="1">
        <f t="shared" si="5"/>
        <v>1.4842409376245733E-2</v>
      </c>
      <c r="D75" s="1">
        <f t="shared" si="6"/>
        <v>2.9165150803393949E-2</v>
      </c>
      <c r="E75" s="1">
        <f t="shared" si="7"/>
        <v>6.0400620820974554E-2</v>
      </c>
      <c r="F75" s="1">
        <f t="shared" si="8"/>
        <v>5.5049748408380519E-2</v>
      </c>
      <c r="G75" s="1">
        <f t="shared" si="9"/>
        <v>6.1696373402613261E-2</v>
      </c>
    </row>
    <row r="76" spans="2:7" x14ac:dyDescent="0.35">
      <c r="B76">
        <v>5.5118110236220472E-2</v>
      </c>
      <c r="C76" s="1">
        <f t="shared" si="5"/>
        <v>1.4329089919378075E-2</v>
      </c>
      <c r="D76" s="1">
        <f t="shared" si="6"/>
        <v>2.8312106127066666E-2</v>
      </c>
      <c r="E76" s="1">
        <f t="shared" si="7"/>
        <v>5.8990554397811513E-2</v>
      </c>
      <c r="F76" s="1">
        <f t="shared" si="8"/>
        <v>5.3679997308635104E-2</v>
      </c>
      <c r="G76" s="1">
        <f t="shared" si="9"/>
        <v>5.7054332317015996E-2</v>
      </c>
    </row>
    <row r="77" spans="2:7" x14ac:dyDescent="0.35">
      <c r="B77">
        <v>4.7244094488188976E-2</v>
      </c>
      <c r="C77" s="1">
        <f t="shared" si="5"/>
        <v>1.383352343361635E-2</v>
      </c>
      <c r="D77" s="1">
        <f t="shared" si="6"/>
        <v>2.7484011955014705E-2</v>
      </c>
      <c r="E77" s="1">
        <f t="shared" si="7"/>
        <v>5.7613406300498576E-2</v>
      </c>
      <c r="F77" s="1">
        <f t="shared" si="8"/>
        <v>5.2344328436865303E-2</v>
      </c>
      <c r="G77" s="1">
        <f t="shared" si="9"/>
        <v>5.2428750394343776E-2</v>
      </c>
    </row>
    <row r="78" spans="2:7" x14ac:dyDescent="0.35">
      <c r="B78">
        <v>3.937007874015748E-2</v>
      </c>
      <c r="C78" s="1">
        <f t="shared" si="5"/>
        <v>1.3355095938759979E-2</v>
      </c>
      <c r="D78" s="1">
        <f t="shared" si="6"/>
        <v>2.6680138515772542E-2</v>
      </c>
      <c r="E78" s="1">
        <f t="shared" si="7"/>
        <v>5.6268408043126827E-2</v>
      </c>
      <c r="F78" s="1">
        <f t="shared" si="8"/>
        <v>5.1041893757056381E-2</v>
      </c>
      <c r="G78" s="1">
        <f t="shared" si="9"/>
        <v>4.7819243391642154E-2</v>
      </c>
    </row>
    <row r="79" spans="2:7" x14ac:dyDescent="0.35">
      <c r="B79">
        <v>3.1496062992125984E-2</v>
      </c>
      <c r="C79" s="1">
        <f t="shared" si="5"/>
        <v>1.2893214688895557E-2</v>
      </c>
      <c r="D79" s="1">
        <f t="shared" si="6"/>
        <v>2.5899777382789622E-2</v>
      </c>
      <c r="E79" s="1">
        <f t="shared" si="7"/>
        <v>5.4954809080268202E-2</v>
      </c>
      <c r="F79" s="1">
        <f t="shared" si="8"/>
        <v>4.9771866334075959E-2</v>
      </c>
      <c r="G79" s="1">
        <f t="shared" si="9"/>
        <v>4.3225436036197093E-2</v>
      </c>
    </row>
    <row r="80" spans="2:7" x14ac:dyDescent="0.35">
      <c r="B80">
        <v>2.3622047244094488E-2</v>
      </c>
      <c r="C80" s="1">
        <f t="shared" si="5"/>
        <v>1.2447307438016589E-2</v>
      </c>
      <c r="D80" s="1">
        <f t="shared" si="6"/>
        <v>2.5142240850117917E-2</v>
      </c>
      <c r="E80" s="1">
        <f t="shared" si="7"/>
        <v>5.3671876388150699E-2</v>
      </c>
      <c r="F80" s="1">
        <f t="shared" si="8"/>
        <v>4.8533439808640576E-2</v>
      </c>
      <c r="G80" s="1">
        <f t="shared" si="9"/>
        <v>3.8646961816122594E-2</v>
      </c>
    </row>
    <row r="81" spans="2:7" x14ac:dyDescent="0.35">
      <c r="B81">
        <v>1.5748031496062992E-2</v>
      </c>
      <c r="C81" s="1">
        <f t="shared" si="5"/>
        <v>1.201682173104146E-2</v>
      </c>
      <c r="D81" s="1">
        <f t="shared" si="6"/>
        <v>2.4406861326359872E-2</v>
      </c>
      <c r="E81" s="1">
        <f t="shared" si="7"/>
        <v>5.2418894055611377E-2</v>
      </c>
      <c r="F81" s="1">
        <f t="shared" si="8"/>
        <v>4.7325827885346262E-2</v>
      </c>
      <c r="G81" s="1">
        <f t="shared" si="9"/>
        <v>3.4083462775837181E-2</v>
      </c>
    </row>
    <row r="82" spans="2:7" x14ac:dyDescent="0.35">
      <c r="B82">
        <v>7.874015748031496E-3</v>
      </c>
      <c r="C82" s="1">
        <f t="shared" si="5"/>
        <v>1.160122421935135E-2</v>
      </c>
      <c r="D82" s="1">
        <f t="shared" si="6"/>
        <v>2.369299074634262E-2</v>
      </c>
      <c r="E82" s="1">
        <f t="shared" si="7"/>
        <v>5.1195162884598466E-2</v>
      </c>
      <c r="F82" s="1">
        <f t="shared" si="8"/>
        <v>4.6148263833437779E-2</v>
      </c>
      <c r="G82" s="1">
        <f t="shared" si="9"/>
        <v>2.9534589316314981E-2</v>
      </c>
    </row>
    <row r="83" spans="2:7" x14ac:dyDescent="0.35">
      <c r="B83">
        <v>0</v>
      </c>
      <c r="C83" s="1">
        <f t="shared" si="5"/>
        <v>1.12E-2</v>
      </c>
      <c r="D83" s="1">
        <f t="shared" si="6"/>
        <v>2.3E-2</v>
      </c>
      <c r="E83" s="1">
        <f t="shared" si="7"/>
        <v>0.05</v>
      </c>
      <c r="F83" s="1">
        <f t="shared" si="8"/>
        <v>4.4999999999999998E-2</v>
      </c>
      <c r="G83" s="1">
        <f t="shared" si="9"/>
        <v>2.5000000000000001E-2</v>
      </c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82"/>
  <sheetViews>
    <sheetView topLeftCell="B1" zoomScale="115" zoomScaleNormal="115" workbookViewId="0">
      <selection activeCell="G6" sqref="G6"/>
    </sheetView>
  </sheetViews>
  <sheetFormatPr defaultRowHeight="14.5" x14ac:dyDescent="0.35"/>
  <cols>
    <col min="3" max="31" width="8.81640625" style="1"/>
  </cols>
  <sheetData>
    <row r="1" spans="1:31" x14ac:dyDescent="0.35">
      <c r="C1" s="3">
        <f>ROUND((C2+0.5)*127,0)</f>
        <v>127</v>
      </c>
      <c r="D1">
        <f t="shared" ref="D1:AE1" si="0">ROUND((D2+0.5)*127,0)</f>
        <v>126</v>
      </c>
      <c r="E1">
        <f t="shared" si="0"/>
        <v>124</v>
      </c>
      <c r="F1">
        <f t="shared" si="0"/>
        <v>123</v>
      </c>
      <c r="G1">
        <f t="shared" si="0"/>
        <v>122</v>
      </c>
      <c r="H1">
        <f t="shared" si="0"/>
        <v>121</v>
      </c>
      <c r="I1">
        <f t="shared" si="0"/>
        <v>118</v>
      </c>
      <c r="J1">
        <f t="shared" si="0"/>
        <v>114</v>
      </c>
      <c r="K1" s="4">
        <f t="shared" si="0"/>
        <v>108</v>
      </c>
      <c r="L1">
        <f t="shared" si="0"/>
        <v>102</v>
      </c>
      <c r="M1">
        <f t="shared" si="0"/>
        <v>89</v>
      </c>
      <c r="N1" s="4">
        <f t="shared" si="0"/>
        <v>76</v>
      </c>
      <c r="O1" s="3">
        <f t="shared" si="0"/>
        <v>64</v>
      </c>
      <c r="Q1">
        <f t="shared" si="0"/>
        <v>62</v>
      </c>
      <c r="R1" s="4">
        <f t="shared" si="0"/>
        <v>57</v>
      </c>
      <c r="S1">
        <f t="shared" si="0"/>
        <v>51</v>
      </c>
      <c r="U1">
        <f t="shared" si="0"/>
        <v>38</v>
      </c>
      <c r="W1">
        <f t="shared" si="0"/>
        <v>25</v>
      </c>
      <c r="X1">
        <f t="shared" si="0"/>
        <v>19</v>
      </c>
      <c r="Y1">
        <f t="shared" si="0"/>
        <v>13</v>
      </c>
      <c r="Z1">
        <f t="shared" si="0"/>
        <v>6</v>
      </c>
      <c r="AA1">
        <f t="shared" si="0"/>
        <v>5</v>
      </c>
      <c r="AB1">
        <f t="shared" si="0"/>
        <v>4</v>
      </c>
      <c r="AC1">
        <f t="shared" si="0"/>
        <v>3</v>
      </c>
      <c r="AD1">
        <f t="shared" si="0"/>
        <v>1</v>
      </c>
      <c r="AE1" s="4">
        <f t="shared" si="0"/>
        <v>0</v>
      </c>
    </row>
    <row r="2" spans="1:31" x14ac:dyDescent="0.35">
      <c r="A2" t="s">
        <v>4</v>
      </c>
      <c r="B2" t="s">
        <v>5</v>
      </c>
      <c r="C2" s="1">
        <v>0.5</v>
      </c>
      <c r="D2" s="1">
        <v>0.49</v>
      </c>
      <c r="E2" s="1">
        <v>0.48</v>
      </c>
      <c r="F2" s="1">
        <v>0.47</v>
      </c>
      <c r="G2" s="1">
        <v>0.45999999999999996</v>
      </c>
      <c r="H2" s="1">
        <v>0.44999999999999996</v>
      </c>
      <c r="I2" s="1">
        <v>0.43</v>
      </c>
      <c r="J2" s="1">
        <v>0.4</v>
      </c>
      <c r="K2" s="1">
        <v>0.35</v>
      </c>
      <c r="L2" s="1">
        <v>0.30000000000000004</v>
      </c>
      <c r="M2" s="1">
        <v>0.19999999999999996</v>
      </c>
      <c r="N2" s="1">
        <v>9.9999999999999978E-2</v>
      </c>
      <c r="O2" s="1">
        <v>0</v>
      </c>
      <c r="Q2" s="1">
        <v>-0.01</v>
      </c>
      <c r="R2" s="1">
        <v>-0.05</v>
      </c>
      <c r="S2" s="1">
        <v>-9.9999999999999978E-2</v>
      </c>
      <c r="T2" s="1" t="s">
        <v>7</v>
      </c>
      <c r="U2" s="1">
        <v>-0.2</v>
      </c>
      <c r="V2" s="1" t="s">
        <v>6</v>
      </c>
      <c r="W2" s="1">
        <v>-0.3</v>
      </c>
      <c r="X2" s="1">
        <v>-0.35</v>
      </c>
      <c r="Y2" s="1">
        <v>-0.4</v>
      </c>
      <c r="Z2" s="1">
        <v>-0.45</v>
      </c>
      <c r="AA2" s="1">
        <v>-0.46</v>
      </c>
      <c r="AB2" s="1">
        <v>-0.47</v>
      </c>
      <c r="AC2" s="1">
        <v>-0.48</v>
      </c>
      <c r="AD2" s="1">
        <v>-0.49</v>
      </c>
      <c r="AE2" s="1">
        <v>-0.5</v>
      </c>
    </row>
    <row r="3" spans="1:31" x14ac:dyDescent="0.35">
      <c r="O3" s="1">
        <v>290</v>
      </c>
    </row>
    <row r="4" spans="1:31" x14ac:dyDescent="0.35">
      <c r="A4">
        <v>127</v>
      </c>
      <c r="B4">
        <f>A4/127</f>
        <v>1</v>
      </c>
      <c r="C4" s="1">
        <v>456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290</v>
      </c>
      <c r="Q4" s="1">
        <f>454/454</f>
        <v>1</v>
      </c>
      <c r="R4" s="1">
        <f>452/452</f>
        <v>1</v>
      </c>
      <c r="S4" s="1">
        <f>452/452</f>
        <v>1</v>
      </c>
      <c r="T4" s="1">
        <f>0.023*EXP(3.77*B4)</f>
        <v>0.99774149122458722</v>
      </c>
      <c r="U4" s="1">
        <v>1</v>
      </c>
      <c r="V4" s="1">
        <f>0.0112*EXP(4.47*B4)</f>
        <v>0.97839529775053902</v>
      </c>
    </row>
    <row r="5" spans="1:31" x14ac:dyDescent="0.35">
      <c r="A5">
        <v>126</v>
      </c>
      <c r="B5">
        <f t="shared" ref="B5:B30" si="1">A5/127</f>
        <v>0.99212598425196852</v>
      </c>
      <c r="C5" s="1">
        <v>456</v>
      </c>
      <c r="F5" s="1">
        <v>1</v>
      </c>
      <c r="G5" s="1">
        <v>1</v>
      </c>
      <c r="O5" s="1">
        <f t="shared" ref="O5:O30" si="2">A5/127</f>
        <v>0.99212598425196852</v>
      </c>
    </row>
    <row r="6" spans="1:31" x14ac:dyDescent="0.35">
      <c r="A6">
        <v>125</v>
      </c>
      <c r="B6">
        <f t="shared" si="1"/>
        <v>0.98425196850393704</v>
      </c>
      <c r="C6" s="1">
        <v>456</v>
      </c>
      <c r="F6" s="1">
        <v>1</v>
      </c>
      <c r="G6" s="1">
        <v>1</v>
      </c>
      <c r="O6" s="1">
        <f t="shared" si="2"/>
        <v>0.98425196850393704</v>
      </c>
    </row>
    <row r="7" spans="1:31" x14ac:dyDescent="0.35">
      <c r="A7">
        <v>124</v>
      </c>
      <c r="B7">
        <f t="shared" si="1"/>
        <v>0.97637795275590555</v>
      </c>
      <c r="C7" s="1">
        <v>456</v>
      </c>
      <c r="F7" s="1">
        <v>1</v>
      </c>
      <c r="G7" s="1">
        <v>1</v>
      </c>
      <c r="L7" s="1">
        <v>0.99118942731277537</v>
      </c>
      <c r="M7" s="1">
        <v>0.98230088495575218</v>
      </c>
      <c r="O7" s="1">
        <f t="shared" si="2"/>
        <v>0.97637795275590555</v>
      </c>
    </row>
    <row r="8" spans="1:31" x14ac:dyDescent="0.35">
      <c r="A8">
        <v>123</v>
      </c>
      <c r="B8">
        <f t="shared" si="1"/>
        <v>0.96850393700787396</v>
      </c>
      <c r="C8" s="1">
        <v>456</v>
      </c>
      <c r="F8" s="1">
        <v>1</v>
      </c>
      <c r="G8" s="1">
        <v>1</v>
      </c>
      <c r="K8" s="1">
        <v>0.99115044247787609</v>
      </c>
      <c r="O8" s="1">
        <f t="shared" si="2"/>
        <v>0.96850393700787396</v>
      </c>
    </row>
    <row r="9" spans="1:31" x14ac:dyDescent="0.35">
      <c r="A9">
        <v>122</v>
      </c>
      <c r="B9">
        <f t="shared" si="1"/>
        <v>0.96062992125984248</v>
      </c>
      <c r="C9" s="1">
        <v>456</v>
      </c>
      <c r="F9" s="1">
        <v>1</v>
      </c>
      <c r="G9" s="1">
        <v>0.99122807017543857</v>
      </c>
      <c r="I9" s="1">
        <v>0.99122807017543857</v>
      </c>
      <c r="J9" s="1">
        <v>0.99122807017543857</v>
      </c>
      <c r="O9" s="1">
        <f t="shared" si="2"/>
        <v>0.96062992125984248</v>
      </c>
    </row>
    <row r="10" spans="1:31" x14ac:dyDescent="0.35">
      <c r="A10">
        <v>121</v>
      </c>
      <c r="B10">
        <f t="shared" si="1"/>
        <v>0.952755905511811</v>
      </c>
      <c r="C10" s="1">
        <v>456</v>
      </c>
      <c r="F10" s="1">
        <v>1</v>
      </c>
      <c r="G10" s="1">
        <v>0.99122807017543857</v>
      </c>
      <c r="O10" s="1">
        <f t="shared" si="2"/>
        <v>0.952755905511811</v>
      </c>
    </row>
    <row r="11" spans="1:31" x14ac:dyDescent="0.35">
      <c r="A11">
        <v>120</v>
      </c>
      <c r="B11">
        <f t="shared" si="1"/>
        <v>0.94488188976377951</v>
      </c>
      <c r="C11" s="1">
        <v>456</v>
      </c>
      <c r="F11" s="1">
        <v>0.99122807017543857</v>
      </c>
      <c r="G11" s="1">
        <v>0.98684210526315785</v>
      </c>
      <c r="K11" s="1">
        <v>0.98230088495575218</v>
      </c>
      <c r="L11" s="1">
        <v>0.97797356828193838</v>
      </c>
      <c r="M11" s="1">
        <v>0.97345132743362828</v>
      </c>
      <c r="N11" s="1">
        <v>0.94736842105263153</v>
      </c>
      <c r="O11" s="1">
        <f t="shared" si="2"/>
        <v>0.94488188976377951</v>
      </c>
      <c r="R11" s="1">
        <v>0.84070796460176989</v>
      </c>
      <c r="S11" s="1">
        <v>0.79646017699115046</v>
      </c>
      <c r="T11" s="1">
        <f>0.023*EXP(3.77*B11)</f>
        <v>0.81053858003968571</v>
      </c>
      <c r="U11" s="1">
        <v>0.6834862385321101</v>
      </c>
      <c r="V11" s="1">
        <f>0.0112*EXP(4.47*B11)</f>
        <v>0.76473993787887762</v>
      </c>
    </row>
    <row r="12" spans="1:31" x14ac:dyDescent="0.35">
      <c r="A12">
        <v>110</v>
      </c>
      <c r="B12">
        <f t="shared" si="1"/>
        <v>0.86614173228346458</v>
      </c>
      <c r="C12" s="1">
        <v>456</v>
      </c>
      <c r="F12" s="1">
        <v>0.98684210526315785</v>
      </c>
      <c r="G12" s="1">
        <v>0.98245614035087714</v>
      </c>
      <c r="L12" s="1">
        <v>0.96035242290748901</v>
      </c>
      <c r="M12" s="1">
        <v>0.92920353982300885</v>
      </c>
      <c r="N12" s="1">
        <v>0.8728070175438597</v>
      </c>
      <c r="O12" s="1">
        <f t="shared" si="2"/>
        <v>0.86614173228346458</v>
      </c>
      <c r="Q12" s="1">
        <v>0.7312775330396476</v>
      </c>
      <c r="R12" s="1">
        <v>0.66371681415929207</v>
      </c>
      <c r="S12" s="1">
        <v>0.59292035398230092</v>
      </c>
      <c r="T12" s="1">
        <f t="shared" ref="T12:T19" si="3">0.023*EXP(3.77*B12)</f>
        <v>0.60235594819041227</v>
      </c>
      <c r="U12" s="1">
        <v>0.44954128440366975</v>
      </c>
      <c r="V12" s="1">
        <f t="shared" ref="V12:V19" si="4">0.0112*EXP(4.47*B12)</f>
        <v>0.53784333647247384</v>
      </c>
    </row>
    <row r="13" spans="1:31" x14ac:dyDescent="0.35">
      <c r="A13">
        <v>100</v>
      </c>
      <c r="B13">
        <f t="shared" si="1"/>
        <v>0.78740157480314965</v>
      </c>
      <c r="C13" s="1">
        <v>456</v>
      </c>
      <c r="F13" s="1">
        <v>0.98245614035087714</v>
      </c>
      <c r="G13" s="1">
        <v>0.98245614035087714</v>
      </c>
      <c r="J13" s="1">
        <v>0.96491228070175439</v>
      </c>
      <c r="K13" s="1">
        <v>0.95575221238938057</v>
      </c>
      <c r="L13" s="1">
        <v>0.93392070484581502</v>
      </c>
      <c r="M13" s="1">
        <v>0.89380530973451322</v>
      </c>
      <c r="O13" s="1">
        <f t="shared" si="2"/>
        <v>0.78740157480314965</v>
      </c>
      <c r="S13" s="1">
        <v>0.47345132743362833</v>
      </c>
      <c r="T13" s="1">
        <f t="shared" si="3"/>
        <v>0.44764394595826079</v>
      </c>
      <c r="U13" s="1">
        <v>0.34862385321100919</v>
      </c>
      <c r="V13" s="1">
        <f t="shared" si="4"/>
        <v>0.37826644099455836</v>
      </c>
    </row>
    <row r="14" spans="1:31" x14ac:dyDescent="0.35">
      <c r="A14">
        <v>96</v>
      </c>
      <c r="B14">
        <f t="shared" si="1"/>
        <v>0.75590551181102361</v>
      </c>
      <c r="C14" s="1">
        <v>456</v>
      </c>
      <c r="F14" s="1">
        <v>0.98245614035087714</v>
      </c>
      <c r="G14" s="1">
        <v>0.98245614035087714</v>
      </c>
      <c r="L14" s="1">
        <v>0.93392070484581502</v>
      </c>
      <c r="M14" s="1">
        <v>0.87610619469026552</v>
      </c>
      <c r="N14" s="1">
        <v>0.7807017543859649</v>
      </c>
      <c r="O14" s="1">
        <f t="shared" si="2"/>
        <v>0.75590551181102361</v>
      </c>
      <c r="Q14" s="1">
        <v>0.55506607929515417</v>
      </c>
      <c r="R14" s="1">
        <v>0.49115044247787609</v>
      </c>
      <c r="S14" s="1">
        <v>0.4336283185840708</v>
      </c>
      <c r="T14" s="1">
        <f t="shared" si="3"/>
        <v>0.39752506768191587</v>
      </c>
      <c r="U14" s="1">
        <v>0.31192660550458717</v>
      </c>
      <c r="V14" s="1">
        <f t="shared" si="4"/>
        <v>0.32859021131385208</v>
      </c>
    </row>
    <row r="15" spans="1:31" x14ac:dyDescent="0.35">
      <c r="A15">
        <v>76</v>
      </c>
      <c r="B15">
        <f t="shared" si="1"/>
        <v>0.59842519685039375</v>
      </c>
      <c r="L15" s="1">
        <v>0.88105726872246692</v>
      </c>
      <c r="M15" s="1">
        <v>0.79646017699115046</v>
      </c>
      <c r="O15" s="1">
        <f t="shared" si="2"/>
        <v>0.59842519685039375</v>
      </c>
      <c r="T15" s="1">
        <f t="shared" si="3"/>
        <v>0.21954499674246808</v>
      </c>
      <c r="U15" s="1">
        <v>0.17201834862385321</v>
      </c>
      <c r="V15" s="1">
        <f t="shared" si="4"/>
        <v>0.16253191918299811</v>
      </c>
    </row>
    <row r="16" spans="1:31" x14ac:dyDescent="0.35">
      <c r="A16">
        <v>64</v>
      </c>
      <c r="B16">
        <f t="shared" si="1"/>
        <v>0.50393700787401574</v>
      </c>
      <c r="C16" s="1">
        <v>456</v>
      </c>
      <c r="D16" s="1">
        <v>1</v>
      </c>
      <c r="E16" s="1">
        <v>0.98245614035087714</v>
      </c>
      <c r="F16" s="1">
        <v>0.98245614035087714</v>
      </c>
      <c r="G16" s="1">
        <v>0.97368421052631582</v>
      </c>
      <c r="H16" s="1">
        <v>0.98245614035087714</v>
      </c>
      <c r="I16" s="1">
        <v>0.95614035087719296</v>
      </c>
      <c r="J16" s="1">
        <v>0.93859649122807021</v>
      </c>
      <c r="K16" s="1">
        <v>0.90265486725663713</v>
      </c>
      <c r="L16" s="1">
        <v>0.85462555066079293</v>
      </c>
      <c r="M16" s="1">
        <v>0.76106194690265483</v>
      </c>
      <c r="N16" s="1">
        <v>0.49122807017543857</v>
      </c>
      <c r="O16" s="1">
        <f t="shared" si="2"/>
        <v>0.50393700787401574</v>
      </c>
      <c r="Q16" s="1">
        <v>0.25550660792951541</v>
      </c>
      <c r="R16" s="1">
        <v>0.2168141592920354</v>
      </c>
      <c r="S16" s="1">
        <v>0.17699115044247787</v>
      </c>
      <c r="T16" s="1">
        <f t="shared" si="3"/>
        <v>0.15375135745360502</v>
      </c>
      <c r="U16" s="1">
        <v>0.10321100917431193</v>
      </c>
      <c r="V16" s="1">
        <f t="shared" si="4"/>
        <v>0.10653911593571173</v>
      </c>
    </row>
    <row r="17" spans="1:22" x14ac:dyDescent="0.35">
      <c r="A17">
        <v>48</v>
      </c>
      <c r="B17">
        <f t="shared" si="1"/>
        <v>0.37795275590551181</v>
      </c>
      <c r="L17" s="1">
        <v>0.82378854625550657</v>
      </c>
      <c r="M17" s="1">
        <v>0.61283185840707965</v>
      </c>
      <c r="O17" s="1">
        <f t="shared" si="2"/>
        <v>0.37795275590551181</v>
      </c>
      <c r="T17" s="1">
        <f t="shared" si="3"/>
        <v>9.5619436082232084E-2</v>
      </c>
      <c r="U17" s="1">
        <v>5.0458715596330278E-2</v>
      </c>
      <c r="V17" s="1">
        <f t="shared" si="4"/>
        <v>6.0664737423936348E-2</v>
      </c>
    </row>
    <row r="18" spans="1:22" x14ac:dyDescent="0.35">
      <c r="A18">
        <v>32</v>
      </c>
      <c r="B18">
        <f t="shared" si="1"/>
        <v>0.25196850393700787</v>
      </c>
      <c r="C18" s="1">
        <v>456</v>
      </c>
      <c r="F18" s="1">
        <v>0.98245614035087714</v>
      </c>
      <c r="G18" s="1">
        <v>0.96491228070175439</v>
      </c>
      <c r="H18" s="1">
        <v>0.96491228070175439</v>
      </c>
      <c r="I18" s="1">
        <v>0.93859649122807021</v>
      </c>
      <c r="J18" s="1">
        <v>0.91228070175438591</v>
      </c>
      <c r="K18" s="1">
        <v>0.86725663716814161</v>
      </c>
      <c r="L18" s="1">
        <v>0.70044052863436124</v>
      </c>
      <c r="M18" s="1">
        <v>0.4336283185840708</v>
      </c>
      <c r="N18" s="1">
        <v>0.20833333333333334</v>
      </c>
      <c r="O18" s="1">
        <f t="shared" si="2"/>
        <v>0.25196850393700787</v>
      </c>
      <c r="Q18" s="1">
        <v>7.0484581497797363E-2</v>
      </c>
      <c r="R18" s="1">
        <v>5.7522123893805309E-2</v>
      </c>
      <c r="S18" s="1">
        <v>8.4070796460176997E-2</v>
      </c>
      <c r="T18" s="1">
        <f t="shared" si="3"/>
        <v>5.9466639567348309E-2</v>
      </c>
      <c r="U18" s="1">
        <v>3.2110091743119268E-2</v>
      </c>
      <c r="V18" s="1">
        <f t="shared" si="4"/>
        <v>3.4543278629568026E-2</v>
      </c>
    </row>
    <row r="19" spans="1:22" x14ac:dyDescent="0.35">
      <c r="A19">
        <v>20</v>
      </c>
      <c r="B19">
        <f t="shared" si="1"/>
        <v>0.15748031496062992</v>
      </c>
      <c r="C19" s="1">
        <v>456</v>
      </c>
      <c r="F19" s="1">
        <v>0.98245614035087714</v>
      </c>
      <c r="G19" s="1">
        <v>0.96491228070175439</v>
      </c>
      <c r="H19" s="1">
        <v>0.96052631578947367</v>
      </c>
      <c r="I19" s="1">
        <v>0.92982456140350878</v>
      </c>
      <c r="J19" s="1">
        <v>0.89912280701754388</v>
      </c>
      <c r="K19" s="1">
        <v>0.74336283185840712</v>
      </c>
      <c r="L19" s="1">
        <v>0.55947136563876654</v>
      </c>
      <c r="M19" s="1">
        <v>0.32743362831858408</v>
      </c>
      <c r="N19" s="1">
        <v>0.13596491228070176</v>
      </c>
      <c r="O19" s="1">
        <f t="shared" si="2"/>
        <v>0.15748031496062992</v>
      </c>
      <c r="S19" s="1">
        <v>0.03</v>
      </c>
      <c r="T19" s="1">
        <f t="shared" si="3"/>
        <v>4.1645570121596212E-2</v>
      </c>
      <c r="U19" s="1">
        <v>2.5229357798165139E-2</v>
      </c>
      <c r="V19" s="1">
        <f t="shared" si="4"/>
        <v>2.2643000742343527E-2</v>
      </c>
    </row>
    <row r="20" spans="1:22" x14ac:dyDescent="0.35">
      <c r="A20">
        <v>13</v>
      </c>
      <c r="B20">
        <f t="shared" si="1"/>
        <v>0.10236220472440945</v>
      </c>
      <c r="I20" s="1">
        <v>0.92105263157894735</v>
      </c>
      <c r="M20" s="1">
        <v>0.26548672566371684</v>
      </c>
      <c r="O20" s="1">
        <f t="shared" si="2"/>
        <v>0.10236220472440945</v>
      </c>
    </row>
    <row r="21" spans="1:22" x14ac:dyDescent="0.35">
      <c r="A21">
        <v>10</v>
      </c>
      <c r="B21">
        <f t="shared" si="1"/>
        <v>7.874015748031496E-2</v>
      </c>
      <c r="C21" s="1">
        <v>456</v>
      </c>
      <c r="F21" s="1">
        <v>0.97368421052631582</v>
      </c>
      <c r="G21" s="1">
        <v>0.96052631578947367</v>
      </c>
      <c r="H21" s="1">
        <v>0.95614035087719296</v>
      </c>
      <c r="I21" s="1">
        <v>0.8771929824561403</v>
      </c>
      <c r="J21" s="1">
        <v>0.75</v>
      </c>
      <c r="K21" s="1">
        <v>0.59734513274336287</v>
      </c>
      <c r="L21" s="1">
        <v>0.45374449339207046</v>
      </c>
      <c r="M21" s="1">
        <v>0.23893805309734514</v>
      </c>
      <c r="N21" s="1">
        <v>6.3596491228070179E-2</v>
      </c>
      <c r="O21" s="1">
        <f t="shared" si="2"/>
        <v>7.874015748031496E-2</v>
      </c>
    </row>
    <row r="22" spans="1:22" x14ac:dyDescent="0.35">
      <c r="A22">
        <v>8</v>
      </c>
      <c r="B22">
        <f t="shared" si="1"/>
        <v>6.2992125984251968E-2</v>
      </c>
      <c r="C22" s="1">
        <v>456</v>
      </c>
      <c r="F22" s="1">
        <v>0.9692982456140351</v>
      </c>
      <c r="G22" s="1">
        <v>0.95614035087719296</v>
      </c>
      <c r="H22" s="1">
        <v>0.93859649122807021</v>
      </c>
      <c r="I22" s="1">
        <v>0.85526315789473684</v>
      </c>
      <c r="K22" s="1">
        <v>0.5752212389380531</v>
      </c>
      <c r="L22" s="1">
        <v>0.42290748898678415</v>
      </c>
      <c r="M22" s="1">
        <v>0.16592920353982302</v>
      </c>
      <c r="O22" s="1">
        <f t="shared" si="2"/>
        <v>6.2992125984251968E-2</v>
      </c>
    </row>
    <row r="23" spans="1:22" x14ac:dyDescent="0.35">
      <c r="A23">
        <v>7</v>
      </c>
      <c r="B23">
        <f t="shared" si="1"/>
        <v>5.5118110236220472E-2</v>
      </c>
      <c r="C23" s="1">
        <v>456</v>
      </c>
      <c r="F23" s="1">
        <v>0.96491228070175439</v>
      </c>
      <c r="G23" s="1">
        <v>0.94736842105263153</v>
      </c>
      <c r="H23" s="1">
        <v>0.92105263157894735</v>
      </c>
      <c r="I23" s="1">
        <v>0.84210526315789469</v>
      </c>
      <c r="J23" s="1">
        <v>0.71491228070175439</v>
      </c>
      <c r="K23" s="1">
        <v>0.56194690265486724</v>
      </c>
      <c r="L23" s="1">
        <v>0.39207048458149779</v>
      </c>
      <c r="M23" s="1">
        <v>0.13053097345132744</v>
      </c>
      <c r="O23" s="1">
        <f t="shared" si="2"/>
        <v>5.5118110236220472E-2</v>
      </c>
    </row>
    <row r="24" spans="1:22" x14ac:dyDescent="0.35">
      <c r="A24">
        <v>6</v>
      </c>
      <c r="B24">
        <f t="shared" si="1"/>
        <v>4.7244094488188976E-2</v>
      </c>
      <c r="C24" s="1">
        <v>456</v>
      </c>
      <c r="F24" s="1">
        <v>0.96491228070175439</v>
      </c>
      <c r="G24" s="1">
        <v>0.93859649122807021</v>
      </c>
      <c r="H24" s="1">
        <v>0.90350877192982459</v>
      </c>
      <c r="K24" s="1">
        <v>0.55309734513274333</v>
      </c>
      <c r="L24" s="1">
        <v>0.34140969162995594</v>
      </c>
      <c r="M24" s="1">
        <v>9.9557522123893807E-2</v>
      </c>
      <c r="O24" s="1">
        <f t="shared" si="2"/>
        <v>4.7244094488188976E-2</v>
      </c>
    </row>
    <row r="25" spans="1:22" x14ac:dyDescent="0.35">
      <c r="A25">
        <v>5</v>
      </c>
      <c r="B25">
        <f t="shared" si="1"/>
        <v>3.937007874015748E-2</v>
      </c>
      <c r="C25" s="1">
        <v>456</v>
      </c>
      <c r="F25" s="1">
        <v>0.95614035087719296</v>
      </c>
      <c r="G25" s="1">
        <v>0.92982456140350878</v>
      </c>
      <c r="H25" s="1">
        <v>0.89473684210526316</v>
      </c>
      <c r="I25" s="1">
        <v>0.80701754385964908</v>
      </c>
      <c r="J25" s="1">
        <v>0.68421052631578949</v>
      </c>
      <c r="K25" s="1">
        <v>0.53982300884955747</v>
      </c>
      <c r="M25" s="1">
        <v>7.3008849557522126E-2</v>
      </c>
      <c r="N25" s="1">
        <v>2.850877192982456E-2</v>
      </c>
      <c r="O25" s="1">
        <f t="shared" si="2"/>
        <v>3.937007874015748E-2</v>
      </c>
    </row>
    <row r="26" spans="1:22" x14ac:dyDescent="0.35">
      <c r="A26">
        <v>4</v>
      </c>
      <c r="B26">
        <f t="shared" si="1"/>
        <v>3.1496062992125984E-2</v>
      </c>
      <c r="C26" s="1">
        <v>456</v>
      </c>
      <c r="F26" s="1">
        <v>0.92982456140350878</v>
      </c>
      <c r="G26" s="1">
        <v>0.91228070175438591</v>
      </c>
      <c r="H26" s="1">
        <v>0.8771929824561403</v>
      </c>
      <c r="I26" s="1">
        <v>0.79824561403508776</v>
      </c>
      <c r="J26" s="1">
        <v>0.67105263157894735</v>
      </c>
      <c r="K26" s="1">
        <v>0.36283185840707965</v>
      </c>
      <c r="M26" s="1">
        <v>5.3097345132743362E-2</v>
      </c>
      <c r="O26" s="1">
        <f t="shared" si="2"/>
        <v>3.1496062992125984E-2</v>
      </c>
    </row>
    <row r="27" spans="1:22" x14ac:dyDescent="0.35">
      <c r="A27">
        <v>3</v>
      </c>
      <c r="B27">
        <f t="shared" si="1"/>
        <v>2.3622047244094488E-2</v>
      </c>
      <c r="C27" s="1">
        <v>456</v>
      </c>
      <c r="F27" s="1">
        <v>0.91228070175438591</v>
      </c>
      <c r="G27" s="1">
        <v>0.89912280701754388</v>
      </c>
      <c r="H27" s="1">
        <v>0.86842105263157898</v>
      </c>
      <c r="I27" s="1">
        <v>0.7807017543859649</v>
      </c>
      <c r="J27" s="1">
        <v>0.55263157894736847</v>
      </c>
      <c r="K27" s="1">
        <v>0.20575221238938052</v>
      </c>
      <c r="L27" s="1">
        <v>9.9118942731277526E-2</v>
      </c>
      <c r="M27" s="1">
        <v>3.5398230088495575E-2</v>
      </c>
      <c r="O27" s="1">
        <f t="shared" si="2"/>
        <v>2.3622047244094488E-2</v>
      </c>
    </row>
    <row r="28" spans="1:22" x14ac:dyDescent="0.35">
      <c r="A28">
        <v>2</v>
      </c>
      <c r="B28">
        <f t="shared" si="1"/>
        <v>1.5748031496062992E-2</v>
      </c>
      <c r="C28" s="1">
        <v>456</v>
      </c>
      <c r="E28" s="1">
        <v>0.95614035087719296</v>
      </c>
      <c r="F28" s="1">
        <v>0.90350877192982459</v>
      </c>
      <c r="G28" s="1">
        <v>0.88596491228070173</v>
      </c>
      <c r="H28" s="1">
        <v>0.85964912280701755</v>
      </c>
      <c r="I28" s="1">
        <v>0.59649122807017541</v>
      </c>
      <c r="J28" s="1">
        <v>0.24561403508771928</v>
      </c>
      <c r="K28" s="1">
        <v>8.8495575221238937E-2</v>
      </c>
      <c r="L28" s="1">
        <v>5.2863436123348019E-2</v>
      </c>
      <c r="M28" s="1">
        <v>2.6548672566371681E-2</v>
      </c>
      <c r="O28" s="1">
        <f t="shared" si="2"/>
        <v>1.5748031496062992E-2</v>
      </c>
    </row>
    <row r="29" spans="1:22" x14ac:dyDescent="0.35">
      <c r="A29">
        <v>1</v>
      </c>
      <c r="B29">
        <f t="shared" si="1"/>
        <v>7.874015748031496E-3</v>
      </c>
      <c r="C29" s="1">
        <v>456</v>
      </c>
      <c r="D29" s="1">
        <v>0.98245614035087714</v>
      </c>
      <c r="E29" s="1">
        <v>0.94736842105263153</v>
      </c>
      <c r="F29" s="1">
        <v>0.8771929824561403</v>
      </c>
      <c r="G29" s="1">
        <v>0.56140350877192979</v>
      </c>
      <c r="H29" s="1">
        <v>0.39473684210526316</v>
      </c>
      <c r="I29" s="1">
        <v>0.16447368421052633</v>
      </c>
      <c r="J29" s="1">
        <v>6.1403508771929821E-2</v>
      </c>
      <c r="K29" s="1">
        <v>2.2123893805309734E-2</v>
      </c>
      <c r="L29" s="1">
        <v>2.643171806167401E-2</v>
      </c>
      <c r="O29" s="1">
        <f t="shared" si="2"/>
        <v>7.874015748031496E-3</v>
      </c>
    </row>
    <row r="30" spans="1:22" x14ac:dyDescent="0.35">
      <c r="A30">
        <v>0</v>
      </c>
      <c r="B30">
        <f t="shared" si="1"/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O30" s="1">
        <f t="shared" si="2"/>
        <v>0</v>
      </c>
      <c r="U30" s="1">
        <v>1E-3</v>
      </c>
    </row>
    <row r="55" spans="2:7" x14ac:dyDescent="0.35">
      <c r="B55" t="s">
        <v>9</v>
      </c>
      <c r="C55" s="1" t="s">
        <v>8</v>
      </c>
      <c r="D55" s="1" t="s">
        <v>7</v>
      </c>
      <c r="E55" s="1" t="s">
        <v>11</v>
      </c>
      <c r="F55" s="1" t="s">
        <v>12</v>
      </c>
      <c r="G55" s="1" t="s">
        <v>10</v>
      </c>
    </row>
    <row r="56" spans="2:7" x14ac:dyDescent="0.35">
      <c r="B56">
        <v>1</v>
      </c>
      <c r="C56" s="1">
        <f>0.0112*EXP(4.47*B56)</f>
        <v>0.97839529775053902</v>
      </c>
      <c r="D56" s="1">
        <f>0.023*EXP(3.77*B56)</f>
        <v>0.99774149122458722</v>
      </c>
      <c r="E56" s="1">
        <f>0.05*EXP(3*B56)</f>
        <v>1.0042768461593834</v>
      </c>
      <c r="F56" s="1">
        <f>0.045*EXP(3.2*B56)</f>
        <v>1.1039638588699208</v>
      </c>
      <c r="G56" s="1">
        <f>(E56+B56)/2</f>
        <v>1.0021384230796917</v>
      </c>
    </row>
    <row r="57" spans="2:7" x14ac:dyDescent="0.35">
      <c r="B57">
        <v>0.99212598425196852</v>
      </c>
      <c r="C57" s="1">
        <f t="shared" ref="C57:C82" si="5">0.0112*EXP(4.47*B57)</f>
        <v>0.94455784386337194</v>
      </c>
      <c r="D57" s="1">
        <f t="shared" ref="D57:D82" si="6">0.023*EXP(3.77*B57)</f>
        <v>0.96855878364397274</v>
      </c>
      <c r="E57" s="1">
        <f t="shared" ref="E57:E82" si="7">0.05*EXP(3*B57)</f>
        <v>0.98083177157104984</v>
      </c>
      <c r="F57" s="1">
        <f t="shared" ref="F57:F82" si="8">0.045*EXP(3.2*B57)</f>
        <v>1.0764949647607509</v>
      </c>
      <c r="G57" s="1">
        <f t="shared" ref="G57:G82" si="9">(E57+B57)/2</f>
        <v>0.98647887791150923</v>
      </c>
    </row>
    <row r="58" spans="2:7" x14ac:dyDescent="0.35">
      <c r="B58">
        <v>0.98425196850393704</v>
      </c>
      <c r="C58" s="1">
        <f t="shared" si="5"/>
        <v>0.91189064630122785</v>
      </c>
      <c r="D58" s="1">
        <f t="shared" si="6"/>
        <v>0.94022963425375672</v>
      </c>
      <c r="E58" s="1">
        <f t="shared" si="7"/>
        <v>0.95793402765608038</v>
      </c>
      <c r="F58" s="1">
        <f t="shared" si="8"/>
        <v>1.0497095533014142</v>
      </c>
      <c r="G58" s="1">
        <f t="shared" si="9"/>
        <v>0.97109299808000871</v>
      </c>
    </row>
    <row r="59" spans="2:7" x14ac:dyDescent="0.35">
      <c r="B59">
        <v>0.97637795275590555</v>
      </c>
      <c r="C59" s="1">
        <f t="shared" si="5"/>
        <v>0.88035323216473427</v>
      </c>
      <c r="D59" s="1">
        <f t="shared" si="6"/>
        <v>0.91272907753001209</v>
      </c>
      <c r="E59" s="1">
        <f t="shared" si="7"/>
        <v>0.93557083685367548</v>
      </c>
      <c r="F59" s="1">
        <f t="shared" si="8"/>
        <v>1.0235906180361449</v>
      </c>
      <c r="G59" s="1">
        <f t="shared" si="9"/>
        <v>0.95597439480479052</v>
      </c>
    </row>
    <row r="60" spans="2:7" x14ac:dyDescent="0.35">
      <c r="B60">
        <v>0.96850393700787396</v>
      </c>
      <c r="C60" s="1">
        <f t="shared" si="5"/>
        <v>0.8499065282953655</v>
      </c>
      <c r="D60" s="1">
        <f t="shared" si="6"/>
        <v>0.88603287815958065</v>
      </c>
      <c r="E60" s="1">
        <f t="shared" si="7"/>
        <v>0.913729719898139</v>
      </c>
      <c r="F60" s="1">
        <f t="shared" si="8"/>
        <v>0.99812157566481474</v>
      </c>
      <c r="G60" s="1">
        <f t="shared" si="9"/>
        <v>0.94111682845300648</v>
      </c>
    </row>
    <row r="61" spans="2:7" x14ac:dyDescent="0.35">
      <c r="B61">
        <v>0.96062992125984248</v>
      </c>
      <c r="C61" s="1">
        <f t="shared" si="5"/>
        <v>0.82051281286590938</v>
      </c>
      <c r="D61" s="1">
        <f t="shared" si="6"/>
        <v>0.86011750968231537</v>
      </c>
      <c r="E61" s="1">
        <f t="shared" si="7"/>
        <v>0.89239848885511108</v>
      </c>
      <c r="F61" s="1">
        <f t="shared" si="8"/>
        <v>0.9732862555139532</v>
      </c>
      <c r="G61" s="1">
        <f t="shared" si="9"/>
        <v>0.92651420505747684</v>
      </c>
    </row>
    <row r="62" spans="2:7" x14ac:dyDescent="0.35">
      <c r="B62">
        <v>0.952755905511811</v>
      </c>
      <c r="C62" s="1">
        <f t="shared" si="5"/>
        <v>0.79213566864514995</v>
      </c>
      <c r="D62" s="1">
        <f t="shared" si="6"/>
        <v>0.83496013375799816</v>
      </c>
      <c r="E62" s="1">
        <f t="shared" si="7"/>
        <v>0.87156524032037019</v>
      </c>
      <c r="F62" s="1">
        <f t="shared" si="8"/>
        <v>0.9490688892697442</v>
      </c>
      <c r="G62" s="1">
        <f t="shared" si="9"/>
        <v>0.91216057291609065</v>
      </c>
    </row>
    <row r="63" spans="2:7" x14ac:dyDescent="0.35">
      <c r="B63">
        <v>0.94488188976377951</v>
      </c>
      <c r="C63" s="1">
        <f t="shared" si="5"/>
        <v>0.76473993787887762</v>
      </c>
      <c r="D63" s="1">
        <f t="shared" si="6"/>
        <v>0.81053858003968571</v>
      </c>
      <c r="E63" s="1">
        <f t="shared" si="7"/>
        <v>0.85121834877741098</v>
      </c>
      <c r="F63" s="1">
        <f t="shared" si="8"/>
        <v>0.92545410096648839</v>
      </c>
      <c r="G63" s="1">
        <f t="shared" si="9"/>
        <v>0.89805011927059519</v>
      </c>
    </row>
    <row r="64" spans="2:7" x14ac:dyDescent="0.35">
      <c r="B64">
        <v>0.86614173228346458</v>
      </c>
      <c r="C64" s="1">
        <f t="shared" si="5"/>
        <v>0.53784333647247384</v>
      </c>
      <c r="D64" s="1">
        <f t="shared" si="6"/>
        <v>0.60235594819041227</v>
      </c>
      <c r="E64" s="1">
        <f t="shared" si="7"/>
        <v>0.67212759921234411</v>
      </c>
      <c r="F64" s="1">
        <f t="shared" si="8"/>
        <v>0.71932698591180777</v>
      </c>
      <c r="G64" s="1">
        <f t="shared" si="9"/>
        <v>0.76913466574790434</v>
      </c>
    </row>
    <row r="65" spans="2:7" x14ac:dyDescent="0.35">
      <c r="B65">
        <v>0.78740157480314965</v>
      </c>
      <c r="C65" s="1">
        <f t="shared" si="5"/>
        <v>0.37826644099455836</v>
      </c>
      <c r="D65" s="1">
        <f t="shared" si="6"/>
        <v>0.44764394595826079</v>
      </c>
      <c r="E65" s="1">
        <f t="shared" si="7"/>
        <v>0.53071636704236647</v>
      </c>
      <c r="F65" s="1">
        <f t="shared" si="8"/>
        <v>0.55911072426022179</v>
      </c>
      <c r="G65" s="1">
        <f t="shared" si="9"/>
        <v>0.65905897092275811</v>
      </c>
    </row>
    <row r="66" spans="2:7" x14ac:dyDescent="0.35">
      <c r="B66">
        <v>0.75590551181102361</v>
      </c>
      <c r="C66" s="1">
        <f t="shared" si="5"/>
        <v>0.32859021131385208</v>
      </c>
      <c r="D66" s="1">
        <f t="shared" si="6"/>
        <v>0.39752506768191587</v>
      </c>
      <c r="E66" s="1">
        <f t="shared" si="7"/>
        <v>0.48286617306520929</v>
      </c>
      <c r="F66" s="1">
        <f t="shared" si="8"/>
        <v>0.50550611107955112</v>
      </c>
      <c r="G66" s="1">
        <f t="shared" si="9"/>
        <v>0.61938584243811645</v>
      </c>
    </row>
    <row r="67" spans="2:7" x14ac:dyDescent="0.35">
      <c r="B67">
        <v>0.59842519685039375</v>
      </c>
      <c r="C67" s="1">
        <f t="shared" si="5"/>
        <v>0.16253191918299811</v>
      </c>
      <c r="D67" s="1">
        <f t="shared" si="6"/>
        <v>0.21954499674246808</v>
      </c>
      <c r="E67" s="1">
        <f t="shared" si="7"/>
        <v>0.30105669303873328</v>
      </c>
      <c r="F67" s="1">
        <f t="shared" si="8"/>
        <v>0.30540022199749306</v>
      </c>
      <c r="G67" s="1">
        <f t="shared" si="9"/>
        <v>0.44974094494456351</v>
      </c>
    </row>
    <row r="68" spans="2:7" x14ac:dyDescent="0.35">
      <c r="B68">
        <v>0.50393700787401574</v>
      </c>
      <c r="C68" s="1">
        <f t="shared" si="5"/>
        <v>0.10653911593571173</v>
      </c>
      <c r="D68" s="1">
        <f t="shared" si="6"/>
        <v>0.15375135745360502</v>
      </c>
      <c r="E68" s="1">
        <f t="shared" si="7"/>
        <v>0.22674681192987142</v>
      </c>
      <c r="F68" s="1">
        <f t="shared" si="8"/>
        <v>0.22571224030102838</v>
      </c>
      <c r="G68" s="1">
        <f t="shared" si="9"/>
        <v>0.3653419099019436</v>
      </c>
    </row>
    <row r="69" spans="2:7" x14ac:dyDescent="0.35">
      <c r="B69">
        <v>0.37795275590551181</v>
      </c>
      <c r="C69" s="1">
        <f t="shared" si="5"/>
        <v>6.0664737423936348E-2</v>
      </c>
      <c r="D69" s="1">
        <f t="shared" si="6"/>
        <v>9.5619436082232084E-2</v>
      </c>
      <c r="E69" s="1">
        <f t="shared" si="7"/>
        <v>0.15538117213247063</v>
      </c>
      <c r="F69" s="1">
        <f t="shared" si="8"/>
        <v>0.15082365530174568</v>
      </c>
      <c r="G69" s="1">
        <f t="shared" si="9"/>
        <v>0.2666669640189912</v>
      </c>
    </row>
    <row r="70" spans="2:7" x14ac:dyDescent="0.35">
      <c r="B70">
        <v>0.25196850393700787</v>
      </c>
      <c r="C70" s="1">
        <f t="shared" si="5"/>
        <v>3.4543278629568026E-2</v>
      </c>
      <c r="D70" s="1">
        <f t="shared" si="6"/>
        <v>5.9466639567348309E-2</v>
      </c>
      <c r="E70" s="1">
        <f t="shared" si="7"/>
        <v>0.1064769486625794</v>
      </c>
      <c r="F70" s="1">
        <f t="shared" si="8"/>
        <v>0.10078219492324166</v>
      </c>
      <c r="G70" s="1">
        <f t="shared" si="9"/>
        <v>0.17922272629979363</v>
      </c>
    </row>
    <row r="71" spans="2:7" x14ac:dyDescent="0.35">
      <c r="B71">
        <v>0.15748031496062992</v>
      </c>
      <c r="C71" s="1">
        <f t="shared" si="5"/>
        <v>2.2643000742343527E-2</v>
      </c>
      <c r="D71" s="1">
        <f t="shared" si="6"/>
        <v>4.1645570121596212E-2</v>
      </c>
      <c r="E71" s="1">
        <f t="shared" si="7"/>
        <v>8.0195223064362331E-2</v>
      </c>
      <c r="F71" s="1">
        <f t="shared" si="8"/>
        <v>7.4485129217641943E-2</v>
      </c>
      <c r="G71" s="1">
        <f t="shared" si="9"/>
        <v>0.11883776901249613</v>
      </c>
    </row>
    <row r="72" spans="2:7" x14ac:dyDescent="0.35">
      <c r="B72">
        <v>0.10236220472440945</v>
      </c>
      <c r="C72" s="1">
        <f t="shared" si="5"/>
        <v>1.7698375105545748E-2</v>
      </c>
      <c r="D72" s="1">
        <f t="shared" si="6"/>
        <v>3.3831750576867194E-2</v>
      </c>
      <c r="E72" s="1">
        <f t="shared" si="7"/>
        <v>6.7972935568255552E-2</v>
      </c>
      <c r="F72" s="1">
        <f t="shared" si="8"/>
        <v>6.2440964658072043E-2</v>
      </c>
      <c r="G72" s="1">
        <f t="shared" si="9"/>
        <v>8.51675701463325E-2</v>
      </c>
    </row>
    <row r="73" spans="2:7" x14ac:dyDescent="0.35">
      <c r="B73">
        <v>7.874015748031496E-2</v>
      </c>
      <c r="C73" s="1">
        <f t="shared" si="5"/>
        <v>1.5924873886918146E-2</v>
      </c>
      <c r="D73" s="1">
        <f t="shared" si="6"/>
        <v>3.0949121357426494E-2</v>
      </c>
      <c r="E73" s="1">
        <f t="shared" si="7"/>
        <v>6.3322674874156382E-2</v>
      </c>
      <c r="F73" s="1">
        <f t="shared" si="8"/>
        <v>5.7894998184591796E-2</v>
      </c>
      <c r="G73" s="1">
        <f t="shared" si="9"/>
        <v>7.1031416177235671E-2</v>
      </c>
    </row>
    <row r="74" spans="2:7" x14ac:dyDescent="0.35">
      <c r="B74">
        <v>6.2992125984251968E-2</v>
      </c>
      <c r="C74" s="1">
        <f t="shared" si="5"/>
        <v>1.4842409376245733E-2</v>
      </c>
      <c r="D74" s="1">
        <f t="shared" si="6"/>
        <v>2.9165150803393949E-2</v>
      </c>
      <c r="E74" s="1">
        <f t="shared" si="7"/>
        <v>6.0400620820974554E-2</v>
      </c>
      <c r="F74" s="1">
        <f t="shared" si="8"/>
        <v>5.5049748408380519E-2</v>
      </c>
      <c r="G74" s="1">
        <f t="shared" si="9"/>
        <v>6.1696373402613261E-2</v>
      </c>
    </row>
    <row r="75" spans="2:7" x14ac:dyDescent="0.35">
      <c r="B75">
        <v>5.5118110236220472E-2</v>
      </c>
      <c r="C75" s="1">
        <f t="shared" si="5"/>
        <v>1.4329089919378075E-2</v>
      </c>
      <c r="D75" s="1">
        <f t="shared" si="6"/>
        <v>2.8312106127066666E-2</v>
      </c>
      <c r="E75" s="1">
        <f t="shared" si="7"/>
        <v>5.8990554397811513E-2</v>
      </c>
      <c r="F75" s="1">
        <f t="shared" si="8"/>
        <v>5.3679997308635104E-2</v>
      </c>
      <c r="G75" s="1">
        <f t="shared" si="9"/>
        <v>5.7054332317015996E-2</v>
      </c>
    </row>
    <row r="76" spans="2:7" x14ac:dyDescent="0.35">
      <c r="B76">
        <v>4.7244094488188976E-2</v>
      </c>
      <c r="C76" s="1">
        <f t="shared" si="5"/>
        <v>1.383352343361635E-2</v>
      </c>
      <c r="D76" s="1">
        <f t="shared" si="6"/>
        <v>2.7484011955014705E-2</v>
      </c>
      <c r="E76" s="1">
        <f t="shared" si="7"/>
        <v>5.7613406300498576E-2</v>
      </c>
      <c r="F76" s="1">
        <f t="shared" si="8"/>
        <v>5.2344328436865303E-2</v>
      </c>
      <c r="G76" s="1">
        <f t="shared" si="9"/>
        <v>5.2428750394343776E-2</v>
      </c>
    </row>
    <row r="77" spans="2:7" x14ac:dyDescent="0.35">
      <c r="B77">
        <v>3.937007874015748E-2</v>
      </c>
      <c r="C77" s="1">
        <f t="shared" si="5"/>
        <v>1.3355095938759979E-2</v>
      </c>
      <c r="D77" s="1">
        <f t="shared" si="6"/>
        <v>2.6680138515772542E-2</v>
      </c>
      <c r="E77" s="1">
        <f t="shared" si="7"/>
        <v>5.6268408043126827E-2</v>
      </c>
      <c r="F77" s="1">
        <f t="shared" si="8"/>
        <v>5.1041893757056381E-2</v>
      </c>
      <c r="G77" s="1">
        <f t="shared" si="9"/>
        <v>4.7819243391642154E-2</v>
      </c>
    </row>
    <row r="78" spans="2:7" x14ac:dyDescent="0.35">
      <c r="B78">
        <v>3.1496062992125984E-2</v>
      </c>
      <c r="C78" s="1">
        <f t="shared" si="5"/>
        <v>1.2893214688895557E-2</v>
      </c>
      <c r="D78" s="1">
        <f t="shared" si="6"/>
        <v>2.5899777382789622E-2</v>
      </c>
      <c r="E78" s="1">
        <f t="shared" si="7"/>
        <v>5.4954809080268202E-2</v>
      </c>
      <c r="F78" s="1">
        <f t="shared" si="8"/>
        <v>4.9771866334075959E-2</v>
      </c>
      <c r="G78" s="1">
        <f t="shared" si="9"/>
        <v>4.3225436036197093E-2</v>
      </c>
    </row>
    <row r="79" spans="2:7" x14ac:dyDescent="0.35">
      <c r="B79">
        <v>2.3622047244094488E-2</v>
      </c>
      <c r="C79" s="1">
        <f t="shared" si="5"/>
        <v>1.2447307438016589E-2</v>
      </c>
      <c r="D79" s="1">
        <f t="shared" si="6"/>
        <v>2.5142240850117917E-2</v>
      </c>
      <c r="E79" s="1">
        <f t="shared" si="7"/>
        <v>5.3671876388150699E-2</v>
      </c>
      <c r="F79" s="1">
        <f t="shared" si="8"/>
        <v>4.8533439808640576E-2</v>
      </c>
      <c r="G79" s="1">
        <f t="shared" si="9"/>
        <v>3.8646961816122594E-2</v>
      </c>
    </row>
    <row r="80" spans="2:7" x14ac:dyDescent="0.35">
      <c r="B80">
        <v>1.5748031496062992E-2</v>
      </c>
      <c r="C80" s="1">
        <f t="shared" si="5"/>
        <v>1.201682173104146E-2</v>
      </c>
      <c r="D80" s="1">
        <f t="shared" si="6"/>
        <v>2.4406861326359872E-2</v>
      </c>
      <c r="E80" s="1">
        <f t="shared" si="7"/>
        <v>5.2418894055611377E-2</v>
      </c>
      <c r="F80" s="1">
        <f t="shared" si="8"/>
        <v>4.7325827885346262E-2</v>
      </c>
      <c r="G80" s="1">
        <f t="shared" si="9"/>
        <v>3.4083462775837181E-2</v>
      </c>
    </row>
    <row r="81" spans="2:7" x14ac:dyDescent="0.35">
      <c r="B81">
        <v>7.874015748031496E-3</v>
      </c>
      <c r="C81" s="1">
        <f t="shared" si="5"/>
        <v>1.160122421935135E-2</v>
      </c>
      <c r="D81" s="1">
        <f t="shared" si="6"/>
        <v>2.369299074634262E-2</v>
      </c>
      <c r="E81" s="1">
        <f t="shared" si="7"/>
        <v>5.1195162884598466E-2</v>
      </c>
      <c r="F81" s="1">
        <f t="shared" si="8"/>
        <v>4.6148263833437779E-2</v>
      </c>
      <c r="G81" s="1">
        <f t="shared" si="9"/>
        <v>2.9534589316314981E-2</v>
      </c>
    </row>
    <row r="82" spans="2:7" x14ac:dyDescent="0.35">
      <c r="B82">
        <v>0</v>
      </c>
      <c r="C82" s="1">
        <f t="shared" si="5"/>
        <v>1.12E-2</v>
      </c>
      <c r="D82" s="1">
        <f t="shared" si="6"/>
        <v>2.3E-2</v>
      </c>
      <c r="E82" s="1">
        <f t="shared" si="7"/>
        <v>0.05</v>
      </c>
      <c r="F82" s="1">
        <f t="shared" si="8"/>
        <v>4.4999999999999998E-2</v>
      </c>
      <c r="G82" s="1">
        <f t="shared" si="9"/>
        <v>2.5000000000000001E-2</v>
      </c>
    </row>
  </sheetData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955"/>
  <sheetViews>
    <sheetView zoomScale="115" zoomScaleNormal="115" workbookViewId="0">
      <selection activeCell="C29" sqref="C29"/>
    </sheetView>
  </sheetViews>
  <sheetFormatPr defaultRowHeight="14.5" x14ac:dyDescent="0.35"/>
  <cols>
    <col min="1" max="1" width="27" bestFit="1" customWidth="1"/>
    <col min="2" max="2" width="3.81640625" bestFit="1" customWidth="1"/>
  </cols>
  <sheetData>
    <row r="2" spans="1:14" x14ac:dyDescent="0.35">
      <c r="A2" t="s">
        <v>25</v>
      </c>
      <c r="D2" s="2"/>
      <c r="E2">
        <f>COUNTIF(D$3:D$955,"&gt;0")</f>
        <v>29</v>
      </c>
    </row>
    <row r="3" spans="1:14" x14ac:dyDescent="0.35">
      <c r="A3" t="s">
        <v>26</v>
      </c>
      <c r="B3">
        <v>127</v>
      </c>
      <c r="C3">
        <v>0</v>
      </c>
      <c r="D3">
        <f>COUNTIF(B$3:B$955,C3)</f>
        <v>25</v>
      </c>
      <c r="E3">
        <f>IF(D3&gt;0,C3,0)</f>
        <v>0</v>
      </c>
      <c r="N3">
        <v>0</v>
      </c>
    </row>
    <row r="4" spans="1:14" x14ac:dyDescent="0.35">
      <c r="A4" t="s">
        <v>27</v>
      </c>
      <c r="B4">
        <v>127</v>
      </c>
      <c r="C4">
        <f>C3+1</f>
        <v>1</v>
      </c>
      <c r="D4">
        <f t="shared" ref="D4:D67" si="0">COUNTIF(B$3:B$955,C4)</f>
        <v>0</v>
      </c>
      <c r="E4">
        <f t="shared" ref="E4:E67" si="1">IF(D4&gt;0,C4,0)</f>
        <v>0</v>
      </c>
      <c r="N4">
        <v>16</v>
      </c>
    </row>
    <row r="5" spans="1:14" x14ac:dyDescent="0.35">
      <c r="A5" t="s">
        <v>28</v>
      </c>
      <c r="B5">
        <v>64</v>
      </c>
      <c r="C5">
        <f t="shared" ref="C5:C68" si="2">C4+1</f>
        <v>2</v>
      </c>
      <c r="D5">
        <f t="shared" si="0"/>
        <v>0</v>
      </c>
      <c r="E5">
        <f t="shared" si="1"/>
        <v>0</v>
      </c>
      <c r="N5">
        <v>20</v>
      </c>
    </row>
    <row r="6" spans="1:14" x14ac:dyDescent="0.35">
      <c r="A6" t="s">
        <v>29</v>
      </c>
      <c r="B6">
        <v>76</v>
      </c>
      <c r="C6">
        <f t="shared" si="2"/>
        <v>3</v>
      </c>
      <c r="D6">
        <f t="shared" si="0"/>
        <v>0</v>
      </c>
      <c r="E6">
        <f t="shared" si="1"/>
        <v>0</v>
      </c>
      <c r="N6">
        <v>28</v>
      </c>
    </row>
    <row r="7" spans="1:14" x14ac:dyDescent="0.35">
      <c r="A7" t="s">
        <v>30</v>
      </c>
      <c r="B7">
        <v>64</v>
      </c>
      <c r="C7">
        <f t="shared" si="2"/>
        <v>4</v>
      </c>
      <c r="D7">
        <f t="shared" si="0"/>
        <v>0</v>
      </c>
      <c r="E7">
        <f t="shared" si="1"/>
        <v>0</v>
      </c>
      <c r="N7">
        <v>32</v>
      </c>
    </row>
    <row r="8" spans="1:14" x14ac:dyDescent="0.35">
      <c r="A8" t="s">
        <v>31</v>
      </c>
      <c r="B8">
        <v>64</v>
      </c>
      <c r="C8">
        <f t="shared" si="2"/>
        <v>5</v>
      </c>
      <c r="D8">
        <f t="shared" si="0"/>
        <v>0</v>
      </c>
      <c r="E8">
        <f t="shared" si="1"/>
        <v>0</v>
      </c>
      <c r="N8">
        <v>36</v>
      </c>
    </row>
    <row r="9" spans="1:14" x14ac:dyDescent="0.35">
      <c r="A9" t="s">
        <v>32</v>
      </c>
      <c r="B9">
        <v>127</v>
      </c>
      <c r="C9">
        <f t="shared" si="2"/>
        <v>6</v>
      </c>
      <c r="D9">
        <f t="shared" si="0"/>
        <v>0</v>
      </c>
      <c r="E9">
        <f t="shared" si="1"/>
        <v>0</v>
      </c>
      <c r="N9">
        <v>40</v>
      </c>
    </row>
    <row r="10" spans="1:14" x14ac:dyDescent="0.35">
      <c r="C10">
        <f t="shared" si="2"/>
        <v>7</v>
      </c>
      <c r="D10">
        <f t="shared" si="0"/>
        <v>0</v>
      </c>
      <c r="E10">
        <f t="shared" si="1"/>
        <v>0</v>
      </c>
      <c r="N10">
        <v>48</v>
      </c>
    </row>
    <row r="11" spans="1:14" x14ac:dyDescent="0.35">
      <c r="A11" t="s">
        <v>33</v>
      </c>
      <c r="C11">
        <f t="shared" si="2"/>
        <v>8</v>
      </c>
      <c r="D11">
        <f t="shared" si="0"/>
        <v>0</v>
      </c>
      <c r="E11">
        <f t="shared" si="1"/>
        <v>0</v>
      </c>
      <c r="N11">
        <v>52</v>
      </c>
    </row>
    <row r="12" spans="1:14" x14ac:dyDescent="0.35">
      <c r="A12" t="s">
        <v>26</v>
      </c>
      <c r="B12">
        <v>127</v>
      </c>
      <c r="C12">
        <f t="shared" si="2"/>
        <v>9</v>
      </c>
      <c r="D12">
        <f t="shared" si="0"/>
        <v>0</v>
      </c>
      <c r="E12">
        <f t="shared" si="1"/>
        <v>0</v>
      </c>
      <c r="N12">
        <v>56</v>
      </c>
    </row>
    <row r="13" spans="1:14" x14ac:dyDescent="0.35">
      <c r="A13" t="s">
        <v>27</v>
      </c>
      <c r="B13">
        <v>64</v>
      </c>
      <c r="C13">
        <f t="shared" si="2"/>
        <v>10</v>
      </c>
      <c r="D13">
        <f t="shared" si="0"/>
        <v>0</v>
      </c>
      <c r="E13">
        <f t="shared" si="1"/>
        <v>0</v>
      </c>
      <c r="N13">
        <v>57</v>
      </c>
    </row>
    <row r="14" spans="1:14" x14ac:dyDescent="0.35">
      <c r="A14" t="s">
        <v>28</v>
      </c>
      <c r="B14">
        <v>80</v>
      </c>
      <c r="C14">
        <f t="shared" si="2"/>
        <v>11</v>
      </c>
      <c r="D14">
        <f t="shared" si="0"/>
        <v>0</v>
      </c>
      <c r="E14">
        <f t="shared" si="1"/>
        <v>0</v>
      </c>
      <c r="N14">
        <v>58</v>
      </c>
    </row>
    <row r="15" spans="1:14" x14ac:dyDescent="0.35">
      <c r="A15" t="s">
        <v>29</v>
      </c>
      <c r="B15">
        <v>64</v>
      </c>
      <c r="C15">
        <f t="shared" si="2"/>
        <v>12</v>
      </c>
      <c r="D15">
        <f t="shared" si="0"/>
        <v>0</v>
      </c>
      <c r="E15">
        <f t="shared" si="1"/>
        <v>0</v>
      </c>
      <c r="N15">
        <v>60</v>
      </c>
    </row>
    <row r="16" spans="1:14" x14ac:dyDescent="0.35">
      <c r="A16" t="s">
        <v>30</v>
      </c>
      <c r="B16">
        <v>64</v>
      </c>
      <c r="C16">
        <f t="shared" si="2"/>
        <v>13</v>
      </c>
      <c r="D16">
        <f t="shared" si="0"/>
        <v>0</v>
      </c>
      <c r="E16">
        <f t="shared" si="1"/>
        <v>0</v>
      </c>
      <c r="N16">
        <v>64</v>
      </c>
    </row>
    <row r="17" spans="1:14" x14ac:dyDescent="0.35">
      <c r="A17" t="s">
        <v>31</v>
      </c>
      <c r="B17">
        <v>64</v>
      </c>
      <c r="C17">
        <f t="shared" si="2"/>
        <v>14</v>
      </c>
      <c r="D17">
        <f t="shared" si="0"/>
        <v>0</v>
      </c>
      <c r="E17">
        <f t="shared" si="1"/>
        <v>0</v>
      </c>
      <c r="N17">
        <v>66</v>
      </c>
    </row>
    <row r="18" spans="1:14" x14ac:dyDescent="0.35">
      <c r="A18" t="s">
        <v>32</v>
      </c>
      <c r="B18">
        <v>127</v>
      </c>
      <c r="C18">
        <f t="shared" si="2"/>
        <v>15</v>
      </c>
      <c r="D18">
        <f t="shared" si="0"/>
        <v>0</v>
      </c>
      <c r="E18">
        <f t="shared" si="1"/>
        <v>0</v>
      </c>
      <c r="N18">
        <v>68</v>
      </c>
    </row>
    <row r="19" spans="1:14" x14ac:dyDescent="0.35">
      <c r="C19">
        <f t="shared" si="2"/>
        <v>16</v>
      </c>
      <c r="D19">
        <f t="shared" si="0"/>
        <v>1</v>
      </c>
      <c r="E19">
        <f t="shared" si="1"/>
        <v>16</v>
      </c>
      <c r="N19">
        <v>72</v>
      </c>
    </row>
    <row r="20" spans="1:14" x14ac:dyDescent="0.35">
      <c r="A20" t="s">
        <v>34</v>
      </c>
      <c r="C20">
        <f t="shared" si="2"/>
        <v>17</v>
      </c>
      <c r="D20">
        <f t="shared" si="0"/>
        <v>0</v>
      </c>
      <c r="E20">
        <f t="shared" si="1"/>
        <v>0</v>
      </c>
      <c r="N20">
        <v>76</v>
      </c>
    </row>
    <row r="21" spans="1:14" x14ac:dyDescent="0.35">
      <c r="A21" t="s">
        <v>26</v>
      </c>
      <c r="B21">
        <v>127</v>
      </c>
      <c r="C21">
        <f t="shared" si="2"/>
        <v>18</v>
      </c>
      <c r="D21">
        <f t="shared" si="0"/>
        <v>0</v>
      </c>
      <c r="E21">
        <f t="shared" si="1"/>
        <v>0</v>
      </c>
      <c r="N21">
        <v>80</v>
      </c>
    </row>
    <row r="22" spans="1:14" x14ac:dyDescent="0.35">
      <c r="A22" t="s">
        <v>27</v>
      </c>
      <c r="B22">
        <v>64</v>
      </c>
      <c r="C22">
        <f t="shared" si="2"/>
        <v>19</v>
      </c>
      <c r="D22">
        <f t="shared" si="0"/>
        <v>0</v>
      </c>
      <c r="E22">
        <f t="shared" si="1"/>
        <v>0</v>
      </c>
      <c r="N22">
        <v>82</v>
      </c>
    </row>
    <row r="23" spans="1:14" x14ac:dyDescent="0.35">
      <c r="A23" t="s">
        <v>28</v>
      </c>
      <c r="B23">
        <v>76</v>
      </c>
      <c r="C23">
        <f t="shared" si="2"/>
        <v>20</v>
      </c>
      <c r="D23">
        <f t="shared" si="0"/>
        <v>3</v>
      </c>
      <c r="E23">
        <f t="shared" si="1"/>
        <v>20</v>
      </c>
      <c r="N23">
        <v>84</v>
      </c>
    </row>
    <row r="24" spans="1:14" x14ac:dyDescent="0.35">
      <c r="A24" t="s">
        <v>29</v>
      </c>
      <c r="B24">
        <v>64</v>
      </c>
      <c r="C24">
        <f t="shared" si="2"/>
        <v>21</v>
      </c>
      <c r="D24">
        <f t="shared" si="0"/>
        <v>0</v>
      </c>
      <c r="E24">
        <f t="shared" si="1"/>
        <v>0</v>
      </c>
      <c r="N24">
        <v>88</v>
      </c>
    </row>
    <row r="25" spans="1:14" x14ac:dyDescent="0.35">
      <c r="A25" t="s">
        <v>30</v>
      </c>
      <c r="B25">
        <v>68</v>
      </c>
      <c r="C25">
        <f t="shared" si="2"/>
        <v>22</v>
      </c>
      <c r="D25">
        <f t="shared" si="0"/>
        <v>0</v>
      </c>
      <c r="E25">
        <f t="shared" si="1"/>
        <v>0</v>
      </c>
      <c r="N25">
        <v>92</v>
      </c>
    </row>
    <row r="26" spans="1:14" x14ac:dyDescent="0.35">
      <c r="A26" t="s">
        <v>31</v>
      </c>
      <c r="B26">
        <v>64</v>
      </c>
      <c r="C26">
        <f t="shared" si="2"/>
        <v>23</v>
      </c>
      <c r="D26">
        <f t="shared" si="0"/>
        <v>0</v>
      </c>
      <c r="E26">
        <f t="shared" si="1"/>
        <v>0</v>
      </c>
      <c r="N26">
        <v>96</v>
      </c>
    </row>
    <row r="27" spans="1:14" x14ac:dyDescent="0.35">
      <c r="A27" t="s">
        <v>32</v>
      </c>
      <c r="B27">
        <v>127</v>
      </c>
      <c r="C27">
        <f t="shared" si="2"/>
        <v>24</v>
      </c>
      <c r="D27">
        <f t="shared" si="0"/>
        <v>0</v>
      </c>
      <c r="E27">
        <f t="shared" si="1"/>
        <v>0</v>
      </c>
      <c r="N27">
        <v>100</v>
      </c>
    </row>
    <row r="28" spans="1:14" x14ac:dyDescent="0.35">
      <c r="C28">
        <f t="shared" si="2"/>
        <v>25</v>
      </c>
      <c r="D28">
        <f t="shared" si="0"/>
        <v>0</v>
      </c>
      <c r="E28">
        <f t="shared" si="1"/>
        <v>0</v>
      </c>
      <c r="N28">
        <v>104</v>
      </c>
    </row>
    <row r="29" spans="1:14" x14ac:dyDescent="0.35">
      <c r="A29" t="s">
        <v>35</v>
      </c>
      <c r="C29">
        <f t="shared" si="2"/>
        <v>26</v>
      </c>
      <c r="D29">
        <f t="shared" si="0"/>
        <v>0</v>
      </c>
      <c r="E29">
        <f t="shared" si="1"/>
        <v>0</v>
      </c>
      <c r="N29">
        <v>108</v>
      </c>
    </row>
    <row r="30" spans="1:14" x14ac:dyDescent="0.35">
      <c r="A30" t="s">
        <v>26</v>
      </c>
      <c r="B30">
        <v>127</v>
      </c>
      <c r="C30">
        <f t="shared" si="2"/>
        <v>27</v>
      </c>
      <c r="D30">
        <f t="shared" si="0"/>
        <v>0</v>
      </c>
      <c r="E30">
        <f t="shared" si="1"/>
        <v>0</v>
      </c>
      <c r="N30">
        <v>116</v>
      </c>
    </row>
    <row r="31" spans="1:14" x14ac:dyDescent="0.35">
      <c r="A31" t="s">
        <v>27</v>
      </c>
      <c r="B31">
        <v>64</v>
      </c>
      <c r="C31">
        <f t="shared" si="2"/>
        <v>28</v>
      </c>
      <c r="D31">
        <f t="shared" si="0"/>
        <v>2</v>
      </c>
      <c r="E31">
        <f t="shared" si="1"/>
        <v>28</v>
      </c>
      <c r="N31">
        <v>127</v>
      </c>
    </row>
    <row r="32" spans="1:14" x14ac:dyDescent="0.35">
      <c r="A32" t="s">
        <v>28</v>
      </c>
      <c r="B32">
        <v>76</v>
      </c>
      <c r="C32">
        <f t="shared" si="2"/>
        <v>29</v>
      </c>
      <c r="D32">
        <f t="shared" si="0"/>
        <v>0</v>
      </c>
      <c r="E32">
        <f t="shared" si="1"/>
        <v>0</v>
      </c>
    </row>
    <row r="33" spans="1:5" x14ac:dyDescent="0.35">
      <c r="A33" t="s">
        <v>29</v>
      </c>
      <c r="B33">
        <v>64</v>
      </c>
      <c r="C33">
        <f t="shared" si="2"/>
        <v>30</v>
      </c>
      <c r="D33">
        <f t="shared" si="0"/>
        <v>0</v>
      </c>
      <c r="E33">
        <f t="shared" si="1"/>
        <v>0</v>
      </c>
    </row>
    <row r="34" spans="1:5" x14ac:dyDescent="0.35">
      <c r="A34" t="s">
        <v>30</v>
      </c>
      <c r="B34">
        <v>68</v>
      </c>
      <c r="C34">
        <f t="shared" si="2"/>
        <v>31</v>
      </c>
      <c r="D34">
        <f t="shared" si="0"/>
        <v>0</v>
      </c>
      <c r="E34">
        <f t="shared" si="1"/>
        <v>0</v>
      </c>
    </row>
    <row r="35" spans="1:5" x14ac:dyDescent="0.35">
      <c r="A35" t="s">
        <v>31</v>
      </c>
      <c r="B35">
        <v>64</v>
      </c>
      <c r="C35">
        <f t="shared" si="2"/>
        <v>32</v>
      </c>
      <c r="D35">
        <f t="shared" si="0"/>
        <v>3</v>
      </c>
      <c r="E35">
        <f t="shared" si="1"/>
        <v>32</v>
      </c>
    </row>
    <row r="36" spans="1:5" x14ac:dyDescent="0.35">
      <c r="A36" t="s">
        <v>32</v>
      </c>
      <c r="B36">
        <v>127</v>
      </c>
      <c r="C36">
        <f t="shared" si="2"/>
        <v>33</v>
      </c>
      <c r="D36">
        <f t="shared" si="0"/>
        <v>0</v>
      </c>
      <c r="E36">
        <f t="shared" si="1"/>
        <v>0</v>
      </c>
    </row>
    <row r="37" spans="1:5" x14ac:dyDescent="0.35">
      <c r="C37">
        <f t="shared" si="2"/>
        <v>34</v>
      </c>
      <c r="D37">
        <f t="shared" si="0"/>
        <v>0</v>
      </c>
      <c r="E37">
        <f t="shared" si="1"/>
        <v>0</v>
      </c>
    </row>
    <row r="38" spans="1:5" x14ac:dyDescent="0.35">
      <c r="A38" t="s">
        <v>36</v>
      </c>
      <c r="C38">
        <f t="shared" si="2"/>
        <v>35</v>
      </c>
      <c r="D38">
        <f t="shared" si="0"/>
        <v>0</v>
      </c>
      <c r="E38">
        <f t="shared" si="1"/>
        <v>0</v>
      </c>
    </row>
    <row r="39" spans="1:5" x14ac:dyDescent="0.35">
      <c r="A39" t="s">
        <v>26</v>
      </c>
      <c r="B39">
        <v>127</v>
      </c>
      <c r="C39">
        <f t="shared" si="2"/>
        <v>36</v>
      </c>
      <c r="D39">
        <f t="shared" si="0"/>
        <v>1</v>
      </c>
      <c r="E39">
        <f t="shared" si="1"/>
        <v>36</v>
      </c>
    </row>
    <row r="40" spans="1:5" x14ac:dyDescent="0.35">
      <c r="A40" t="s">
        <v>27</v>
      </c>
      <c r="B40">
        <v>64</v>
      </c>
      <c r="C40">
        <f t="shared" si="2"/>
        <v>37</v>
      </c>
      <c r="D40">
        <f t="shared" si="0"/>
        <v>0</v>
      </c>
      <c r="E40">
        <f t="shared" si="1"/>
        <v>0</v>
      </c>
    </row>
    <row r="41" spans="1:5" x14ac:dyDescent="0.35">
      <c r="A41" t="s">
        <v>28</v>
      </c>
      <c r="B41">
        <v>76</v>
      </c>
      <c r="C41">
        <f t="shared" si="2"/>
        <v>38</v>
      </c>
      <c r="D41">
        <f t="shared" si="0"/>
        <v>0</v>
      </c>
      <c r="E41">
        <f t="shared" si="1"/>
        <v>0</v>
      </c>
    </row>
    <row r="42" spans="1:5" x14ac:dyDescent="0.35">
      <c r="A42" t="s">
        <v>29</v>
      </c>
      <c r="B42">
        <v>64</v>
      </c>
      <c r="C42">
        <f t="shared" si="2"/>
        <v>39</v>
      </c>
      <c r="D42">
        <f t="shared" si="0"/>
        <v>0</v>
      </c>
      <c r="E42">
        <f t="shared" si="1"/>
        <v>0</v>
      </c>
    </row>
    <row r="43" spans="1:5" x14ac:dyDescent="0.35">
      <c r="A43" t="s">
        <v>30</v>
      </c>
      <c r="B43">
        <v>68</v>
      </c>
      <c r="C43">
        <f t="shared" si="2"/>
        <v>40</v>
      </c>
      <c r="D43">
        <f t="shared" si="0"/>
        <v>1</v>
      </c>
      <c r="E43">
        <f t="shared" si="1"/>
        <v>40</v>
      </c>
    </row>
    <row r="44" spans="1:5" x14ac:dyDescent="0.35">
      <c r="A44" t="s">
        <v>31</v>
      </c>
      <c r="B44">
        <v>64</v>
      </c>
      <c r="C44">
        <f t="shared" si="2"/>
        <v>41</v>
      </c>
      <c r="D44">
        <f t="shared" si="0"/>
        <v>0</v>
      </c>
      <c r="E44">
        <f t="shared" si="1"/>
        <v>0</v>
      </c>
    </row>
    <row r="45" spans="1:5" x14ac:dyDescent="0.35">
      <c r="A45" t="s">
        <v>32</v>
      </c>
      <c r="B45">
        <v>127</v>
      </c>
      <c r="C45">
        <f t="shared" si="2"/>
        <v>42</v>
      </c>
      <c r="D45">
        <f t="shared" si="0"/>
        <v>0</v>
      </c>
      <c r="E45">
        <f t="shared" si="1"/>
        <v>0</v>
      </c>
    </row>
    <row r="46" spans="1:5" x14ac:dyDescent="0.35">
      <c r="C46">
        <f t="shared" si="2"/>
        <v>43</v>
      </c>
      <c r="D46">
        <f t="shared" si="0"/>
        <v>0</v>
      </c>
      <c r="E46">
        <f t="shared" si="1"/>
        <v>0</v>
      </c>
    </row>
    <row r="47" spans="1:5" x14ac:dyDescent="0.35">
      <c r="C47">
        <f t="shared" si="2"/>
        <v>44</v>
      </c>
      <c r="D47">
        <f t="shared" si="0"/>
        <v>0</v>
      </c>
      <c r="E47">
        <f t="shared" si="1"/>
        <v>0</v>
      </c>
    </row>
    <row r="48" spans="1:5" x14ac:dyDescent="0.35">
      <c r="A48" t="s">
        <v>25</v>
      </c>
      <c r="C48">
        <f t="shared" si="2"/>
        <v>45</v>
      </c>
      <c r="D48">
        <f t="shared" si="0"/>
        <v>0</v>
      </c>
      <c r="E48">
        <f t="shared" si="1"/>
        <v>0</v>
      </c>
    </row>
    <row r="49" spans="1:5" x14ac:dyDescent="0.35">
      <c r="A49" t="s">
        <v>26</v>
      </c>
      <c r="B49">
        <v>127</v>
      </c>
      <c r="C49">
        <f t="shared" si="2"/>
        <v>46</v>
      </c>
      <c r="D49">
        <f t="shared" si="0"/>
        <v>0</v>
      </c>
      <c r="E49">
        <f t="shared" si="1"/>
        <v>0</v>
      </c>
    </row>
    <row r="50" spans="1:5" x14ac:dyDescent="0.35">
      <c r="A50" t="s">
        <v>27</v>
      </c>
      <c r="B50">
        <v>127</v>
      </c>
      <c r="C50">
        <f t="shared" si="2"/>
        <v>47</v>
      </c>
      <c r="D50">
        <f t="shared" si="0"/>
        <v>0</v>
      </c>
      <c r="E50">
        <f t="shared" si="1"/>
        <v>0</v>
      </c>
    </row>
    <row r="51" spans="1:5" x14ac:dyDescent="0.35">
      <c r="A51" t="s">
        <v>28</v>
      </c>
      <c r="B51">
        <v>64</v>
      </c>
      <c r="C51">
        <f t="shared" si="2"/>
        <v>48</v>
      </c>
      <c r="D51">
        <f t="shared" si="0"/>
        <v>1</v>
      </c>
      <c r="E51">
        <f t="shared" si="1"/>
        <v>48</v>
      </c>
    </row>
    <row r="52" spans="1:5" x14ac:dyDescent="0.35">
      <c r="A52" t="s">
        <v>29</v>
      </c>
      <c r="B52">
        <v>76</v>
      </c>
      <c r="C52">
        <f t="shared" si="2"/>
        <v>49</v>
      </c>
      <c r="D52">
        <f t="shared" si="0"/>
        <v>0</v>
      </c>
      <c r="E52">
        <f t="shared" si="1"/>
        <v>0</v>
      </c>
    </row>
    <row r="53" spans="1:5" x14ac:dyDescent="0.35">
      <c r="A53" t="s">
        <v>30</v>
      </c>
      <c r="B53">
        <v>64</v>
      </c>
      <c r="C53">
        <f t="shared" si="2"/>
        <v>50</v>
      </c>
      <c r="D53">
        <f t="shared" si="0"/>
        <v>0</v>
      </c>
      <c r="E53">
        <f t="shared" si="1"/>
        <v>0</v>
      </c>
    </row>
    <row r="54" spans="1:5" x14ac:dyDescent="0.35">
      <c r="A54" t="s">
        <v>31</v>
      </c>
      <c r="B54">
        <v>64</v>
      </c>
      <c r="C54">
        <f t="shared" si="2"/>
        <v>51</v>
      </c>
      <c r="D54">
        <f t="shared" si="0"/>
        <v>0</v>
      </c>
      <c r="E54">
        <f t="shared" si="1"/>
        <v>0</v>
      </c>
    </row>
    <row r="55" spans="1:5" x14ac:dyDescent="0.35">
      <c r="A55" t="s">
        <v>32</v>
      </c>
      <c r="B55">
        <v>127</v>
      </c>
      <c r="C55">
        <f t="shared" si="2"/>
        <v>52</v>
      </c>
      <c r="D55">
        <f t="shared" si="0"/>
        <v>2</v>
      </c>
      <c r="E55">
        <f t="shared" si="1"/>
        <v>52</v>
      </c>
    </row>
    <row r="56" spans="1:5" x14ac:dyDescent="0.35">
      <c r="C56">
        <f t="shared" si="2"/>
        <v>53</v>
      </c>
      <c r="D56">
        <f t="shared" si="0"/>
        <v>0</v>
      </c>
      <c r="E56">
        <f t="shared" si="1"/>
        <v>0</v>
      </c>
    </row>
    <row r="57" spans="1:5" x14ac:dyDescent="0.35">
      <c r="A57" t="s">
        <v>33</v>
      </c>
      <c r="C57">
        <f t="shared" si="2"/>
        <v>54</v>
      </c>
      <c r="D57">
        <f t="shared" si="0"/>
        <v>0</v>
      </c>
      <c r="E57">
        <f t="shared" si="1"/>
        <v>0</v>
      </c>
    </row>
    <row r="58" spans="1:5" x14ac:dyDescent="0.35">
      <c r="A58" t="s">
        <v>26</v>
      </c>
      <c r="B58">
        <v>127</v>
      </c>
      <c r="C58">
        <f t="shared" si="2"/>
        <v>55</v>
      </c>
      <c r="D58">
        <f t="shared" si="0"/>
        <v>0</v>
      </c>
      <c r="E58">
        <f t="shared" si="1"/>
        <v>0</v>
      </c>
    </row>
    <row r="59" spans="1:5" x14ac:dyDescent="0.35">
      <c r="A59" t="s">
        <v>27</v>
      </c>
      <c r="B59">
        <v>64</v>
      </c>
      <c r="C59">
        <f t="shared" si="2"/>
        <v>56</v>
      </c>
      <c r="D59">
        <f t="shared" si="0"/>
        <v>2</v>
      </c>
      <c r="E59">
        <f t="shared" si="1"/>
        <v>56</v>
      </c>
    </row>
    <row r="60" spans="1:5" x14ac:dyDescent="0.35">
      <c r="A60" t="s">
        <v>28</v>
      </c>
      <c r="B60">
        <v>80</v>
      </c>
      <c r="C60">
        <f t="shared" si="2"/>
        <v>57</v>
      </c>
      <c r="D60">
        <f t="shared" si="0"/>
        <v>2</v>
      </c>
      <c r="E60">
        <f t="shared" si="1"/>
        <v>57</v>
      </c>
    </row>
    <row r="61" spans="1:5" x14ac:dyDescent="0.35">
      <c r="A61" t="s">
        <v>29</v>
      </c>
      <c r="B61">
        <v>64</v>
      </c>
      <c r="C61">
        <f t="shared" si="2"/>
        <v>58</v>
      </c>
      <c r="D61">
        <f t="shared" si="0"/>
        <v>3</v>
      </c>
      <c r="E61">
        <f t="shared" si="1"/>
        <v>58</v>
      </c>
    </row>
    <row r="62" spans="1:5" x14ac:dyDescent="0.35">
      <c r="A62" t="s">
        <v>30</v>
      </c>
      <c r="B62">
        <v>64</v>
      </c>
      <c r="C62">
        <f t="shared" si="2"/>
        <v>59</v>
      </c>
      <c r="D62">
        <f t="shared" si="0"/>
        <v>0</v>
      </c>
      <c r="E62">
        <f t="shared" si="1"/>
        <v>0</v>
      </c>
    </row>
    <row r="63" spans="1:5" x14ac:dyDescent="0.35">
      <c r="A63" t="s">
        <v>31</v>
      </c>
      <c r="B63">
        <v>64</v>
      </c>
      <c r="C63">
        <f t="shared" si="2"/>
        <v>60</v>
      </c>
      <c r="D63">
        <f t="shared" si="0"/>
        <v>13</v>
      </c>
      <c r="E63">
        <f t="shared" si="1"/>
        <v>60</v>
      </c>
    </row>
    <row r="64" spans="1:5" x14ac:dyDescent="0.35">
      <c r="A64" t="s">
        <v>32</v>
      </c>
      <c r="B64">
        <v>127</v>
      </c>
      <c r="C64">
        <f t="shared" si="2"/>
        <v>61</v>
      </c>
      <c r="D64">
        <f t="shared" si="0"/>
        <v>0</v>
      </c>
      <c r="E64">
        <f t="shared" si="1"/>
        <v>0</v>
      </c>
    </row>
    <row r="65" spans="1:5" x14ac:dyDescent="0.35">
      <c r="C65">
        <f t="shared" si="2"/>
        <v>62</v>
      </c>
      <c r="D65">
        <f t="shared" si="0"/>
        <v>0</v>
      </c>
      <c r="E65">
        <f t="shared" si="1"/>
        <v>0</v>
      </c>
    </row>
    <row r="66" spans="1:5" x14ac:dyDescent="0.35">
      <c r="A66" t="s">
        <v>34</v>
      </c>
      <c r="C66">
        <f t="shared" si="2"/>
        <v>63</v>
      </c>
      <c r="D66">
        <f t="shared" si="0"/>
        <v>0</v>
      </c>
      <c r="E66">
        <f t="shared" si="1"/>
        <v>0</v>
      </c>
    </row>
    <row r="67" spans="1:5" x14ac:dyDescent="0.35">
      <c r="A67" t="s">
        <v>26</v>
      </c>
      <c r="B67">
        <v>127</v>
      </c>
      <c r="C67">
        <f t="shared" si="2"/>
        <v>64</v>
      </c>
      <c r="D67">
        <f t="shared" si="0"/>
        <v>330</v>
      </c>
      <c r="E67">
        <f t="shared" si="1"/>
        <v>64</v>
      </c>
    </row>
    <row r="68" spans="1:5" x14ac:dyDescent="0.35">
      <c r="A68" t="s">
        <v>27</v>
      </c>
      <c r="B68">
        <v>64</v>
      </c>
      <c r="C68">
        <f t="shared" si="2"/>
        <v>65</v>
      </c>
      <c r="D68">
        <f t="shared" ref="D68:D130" si="3">COUNTIF(B$3:B$955,C68)</f>
        <v>0</v>
      </c>
      <c r="E68">
        <f t="shared" ref="E68:E130" si="4">IF(D68&gt;0,C68,0)</f>
        <v>0</v>
      </c>
    </row>
    <row r="69" spans="1:5" x14ac:dyDescent="0.35">
      <c r="A69" t="s">
        <v>28</v>
      </c>
      <c r="B69">
        <v>76</v>
      </c>
      <c r="C69">
        <f t="shared" ref="C69:C130" si="5">C68+1</f>
        <v>66</v>
      </c>
      <c r="D69">
        <f t="shared" si="3"/>
        <v>1</v>
      </c>
      <c r="E69">
        <f t="shared" si="4"/>
        <v>66</v>
      </c>
    </row>
    <row r="70" spans="1:5" x14ac:dyDescent="0.35">
      <c r="A70" t="s">
        <v>29</v>
      </c>
      <c r="B70">
        <v>64</v>
      </c>
      <c r="C70">
        <f t="shared" si="5"/>
        <v>67</v>
      </c>
      <c r="D70">
        <f t="shared" si="3"/>
        <v>0</v>
      </c>
      <c r="E70">
        <f t="shared" si="4"/>
        <v>0</v>
      </c>
    </row>
    <row r="71" spans="1:5" x14ac:dyDescent="0.35">
      <c r="A71" t="s">
        <v>30</v>
      </c>
      <c r="B71">
        <v>68</v>
      </c>
      <c r="C71">
        <f t="shared" si="5"/>
        <v>68</v>
      </c>
      <c r="D71">
        <f t="shared" si="3"/>
        <v>35</v>
      </c>
      <c r="E71">
        <f t="shared" si="4"/>
        <v>68</v>
      </c>
    </row>
    <row r="72" spans="1:5" x14ac:dyDescent="0.35">
      <c r="A72" t="s">
        <v>31</v>
      </c>
      <c r="B72">
        <v>64</v>
      </c>
      <c r="C72">
        <f t="shared" si="5"/>
        <v>69</v>
      </c>
      <c r="D72">
        <f t="shared" si="3"/>
        <v>0</v>
      </c>
      <c r="E72">
        <f t="shared" si="4"/>
        <v>0</v>
      </c>
    </row>
    <row r="73" spans="1:5" x14ac:dyDescent="0.35">
      <c r="A73" t="s">
        <v>32</v>
      </c>
      <c r="B73">
        <v>127</v>
      </c>
      <c r="C73">
        <f t="shared" si="5"/>
        <v>70</v>
      </c>
      <c r="D73">
        <f t="shared" si="3"/>
        <v>0</v>
      </c>
      <c r="E73">
        <f t="shared" si="4"/>
        <v>0</v>
      </c>
    </row>
    <row r="74" spans="1:5" x14ac:dyDescent="0.35">
      <c r="C74">
        <f t="shared" si="5"/>
        <v>71</v>
      </c>
      <c r="D74">
        <f t="shared" si="3"/>
        <v>0</v>
      </c>
      <c r="E74">
        <f t="shared" si="4"/>
        <v>0</v>
      </c>
    </row>
    <row r="75" spans="1:5" x14ac:dyDescent="0.35">
      <c r="A75" t="s">
        <v>35</v>
      </c>
      <c r="C75">
        <f t="shared" si="5"/>
        <v>72</v>
      </c>
      <c r="D75">
        <f t="shared" si="3"/>
        <v>45</v>
      </c>
      <c r="E75">
        <f t="shared" si="4"/>
        <v>72</v>
      </c>
    </row>
    <row r="76" spans="1:5" x14ac:dyDescent="0.35">
      <c r="A76" t="s">
        <v>26</v>
      </c>
      <c r="B76">
        <v>127</v>
      </c>
      <c r="C76">
        <f t="shared" si="5"/>
        <v>73</v>
      </c>
      <c r="D76">
        <f t="shared" si="3"/>
        <v>0</v>
      </c>
      <c r="E76">
        <f t="shared" si="4"/>
        <v>0</v>
      </c>
    </row>
    <row r="77" spans="1:5" x14ac:dyDescent="0.35">
      <c r="A77" t="s">
        <v>27</v>
      </c>
      <c r="B77">
        <v>64</v>
      </c>
      <c r="C77">
        <f t="shared" si="5"/>
        <v>74</v>
      </c>
      <c r="D77">
        <f t="shared" si="3"/>
        <v>0</v>
      </c>
      <c r="E77">
        <f t="shared" si="4"/>
        <v>0</v>
      </c>
    </row>
    <row r="78" spans="1:5" x14ac:dyDescent="0.35">
      <c r="A78" t="s">
        <v>28</v>
      </c>
      <c r="B78">
        <v>76</v>
      </c>
      <c r="C78">
        <f t="shared" si="5"/>
        <v>75</v>
      </c>
      <c r="D78">
        <f t="shared" si="3"/>
        <v>0</v>
      </c>
      <c r="E78">
        <f t="shared" si="4"/>
        <v>0</v>
      </c>
    </row>
    <row r="79" spans="1:5" x14ac:dyDescent="0.35">
      <c r="A79" t="s">
        <v>29</v>
      </c>
      <c r="B79">
        <v>64</v>
      </c>
      <c r="C79">
        <f t="shared" si="5"/>
        <v>76</v>
      </c>
      <c r="D79">
        <f t="shared" si="3"/>
        <v>37</v>
      </c>
      <c r="E79">
        <f t="shared" si="4"/>
        <v>76</v>
      </c>
    </row>
    <row r="80" spans="1:5" x14ac:dyDescent="0.35">
      <c r="A80" t="s">
        <v>30</v>
      </c>
      <c r="B80">
        <v>68</v>
      </c>
      <c r="C80">
        <f t="shared" si="5"/>
        <v>77</v>
      </c>
      <c r="D80">
        <f t="shared" si="3"/>
        <v>0</v>
      </c>
      <c r="E80">
        <f t="shared" si="4"/>
        <v>0</v>
      </c>
    </row>
    <row r="81" spans="1:5" x14ac:dyDescent="0.35">
      <c r="A81" t="s">
        <v>31</v>
      </c>
      <c r="B81">
        <v>64</v>
      </c>
      <c r="C81">
        <f t="shared" si="5"/>
        <v>78</v>
      </c>
      <c r="D81">
        <f t="shared" si="3"/>
        <v>0</v>
      </c>
      <c r="E81">
        <f t="shared" si="4"/>
        <v>0</v>
      </c>
    </row>
    <row r="82" spans="1:5" x14ac:dyDescent="0.35">
      <c r="A82" t="s">
        <v>32</v>
      </c>
      <c r="B82">
        <v>127</v>
      </c>
      <c r="C82">
        <f t="shared" si="5"/>
        <v>79</v>
      </c>
      <c r="D82">
        <f t="shared" si="3"/>
        <v>0</v>
      </c>
      <c r="E82">
        <f t="shared" si="4"/>
        <v>0</v>
      </c>
    </row>
    <row r="83" spans="1:5" x14ac:dyDescent="0.35">
      <c r="C83">
        <f t="shared" si="5"/>
        <v>80</v>
      </c>
      <c r="D83">
        <f t="shared" si="3"/>
        <v>23</v>
      </c>
      <c r="E83">
        <f t="shared" si="4"/>
        <v>80</v>
      </c>
    </row>
    <row r="84" spans="1:5" x14ac:dyDescent="0.35">
      <c r="A84" t="s">
        <v>36</v>
      </c>
      <c r="C84">
        <f t="shared" si="5"/>
        <v>81</v>
      </c>
      <c r="D84">
        <f t="shared" si="3"/>
        <v>0</v>
      </c>
      <c r="E84">
        <f t="shared" si="4"/>
        <v>0</v>
      </c>
    </row>
    <row r="85" spans="1:5" x14ac:dyDescent="0.35">
      <c r="A85" t="s">
        <v>26</v>
      </c>
      <c r="B85">
        <v>127</v>
      </c>
      <c r="C85">
        <f t="shared" si="5"/>
        <v>82</v>
      </c>
      <c r="D85">
        <f t="shared" si="3"/>
        <v>17</v>
      </c>
      <c r="E85">
        <f t="shared" si="4"/>
        <v>82</v>
      </c>
    </row>
    <row r="86" spans="1:5" x14ac:dyDescent="0.35">
      <c r="A86" t="s">
        <v>27</v>
      </c>
      <c r="B86">
        <v>64</v>
      </c>
      <c r="C86">
        <f t="shared" si="5"/>
        <v>83</v>
      </c>
      <c r="D86">
        <f t="shared" si="3"/>
        <v>0</v>
      </c>
      <c r="E86">
        <f t="shared" si="4"/>
        <v>0</v>
      </c>
    </row>
    <row r="87" spans="1:5" x14ac:dyDescent="0.35">
      <c r="A87" t="s">
        <v>28</v>
      </c>
      <c r="B87">
        <v>76</v>
      </c>
      <c r="C87">
        <f t="shared" si="5"/>
        <v>84</v>
      </c>
      <c r="D87">
        <f t="shared" si="3"/>
        <v>9</v>
      </c>
      <c r="E87">
        <f t="shared" si="4"/>
        <v>84</v>
      </c>
    </row>
    <row r="88" spans="1:5" x14ac:dyDescent="0.35">
      <c r="A88" t="s">
        <v>29</v>
      </c>
      <c r="B88">
        <v>64</v>
      </c>
      <c r="C88">
        <f t="shared" si="5"/>
        <v>85</v>
      </c>
      <c r="D88">
        <f t="shared" si="3"/>
        <v>0</v>
      </c>
      <c r="E88">
        <f t="shared" si="4"/>
        <v>0</v>
      </c>
    </row>
    <row r="89" spans="1:5" x14ac:dyDescent="0.35">
      <c r="A89" t="s">
        <v>30</v>
      </c>
      <c r="B89">
        <v>68</v>
      </c>
      <c r="C89">
        <f t="shared" si="5"/>
        <v>86</v>
      </c>
      <c r="D89">
        <f t="shared" si="3"/>
        <v>0</v>
      </c>
      <c r="E89">
        <f t="shared" si="4"/>
        <v>0</v>
      </c>
    </row>
    <row r="90" spans="1:5" x14ac:dyDescent="0.35">
      <c r="A90" t="s">
        <v>31</v>
      </c>
      <c r="B90">
        <v>64</v>
      </c>
      <c r="C90">
        <f t="shared" si="5"/>
        <v>87</v>
      </c>
      <c r="D90">
        <f t="shared" si="3"/>
        <v>0</v>
      </c>
      <c r="E90">
        <f t="shared" si="4"/>
        <v>0</v>
      </c>
    </row>
    <row r="91" spans="1:5" x14ac:dyDescent="0.35">
      <c r="A91" t="s">
        <v>32</v>
      </c>
      <c r="B91">
        <v>127</v>
      </c>
      <c r="C91">
        <f t="shared" si="5"/>
        <v>88</v>
      </c>
      <c r="D91">
        <f t="shared" si="3"/>
        <v>20</v>
      </c>
      <c r="E91">
        <f t="shared" si="4"/>
        <v>88</v>
      </c>
    </row>
    <row r="92" spans="1:5" x14ac:dyDescent="0.35">
      <c r="C92">
        <f t="shared" si="5"/>
        <v>89</v>
      </c>
      <c r="D92">
        <f t="shared" si="3"/>
        <v>0</v>
      </c>
      <c r="E92">
        <f t="shared" si="4"/>
        <v>0</v>
      </c>
    </row>
    <row r="93" spans="1:5" x14ac:dyDescent="0.35">
      <c r="A93" t="s">
        <v>37</v>
      </c>
      <c r="C93">
        <f t="shared" si="5"/>
        <v>90</v>
      </c>
      <c r="D93">
        <f t="shared" si="3"/>
        <v>0</v>
      </c>
      <c r="E93">
        <f t="shared" si="4"/>
        <v>0</v>
      </c>
    </row>
    <row r="94" spans="1:5" x14ac:dyDescent="0.35">
      <c r="A94" t="s">
        <v>26</v>
      </c>
      <c r="B94">
        <v>127</v>
      </c>
      <c r="C94">
        <f t="shared" si="5"/>
        <v>91</v>
      </c>
      <c r="D94">
        <f t="shared" si="3"/>
        <v>0</v>
      </c>
      <c r="E94">
        <f t="shared" si="4"/>
        <v>0</v>
      </c>
    </row>
    <row r="95" spans="1:5" x14ac:dyDescent="0.35">
      <c r="A95" t="s">
        <v>27</v>
      </c>
      <c r="B95">
        <v>52</v>
      </c>
      <c r="C95">
        <f t="shared" si="5"/>
        <v>92</v>
      </c>
      <c r="D95">
        <f t="shared" si="3"/>
        <v>8</v>
      </c>
      <c r="E95">
        <f t="shared" si="4"/>
        <v>92</v>
      </c>
    </row>
    <row r="96" spans="1:5" x14ac:dyDescent="0.35">
      <c r="A96" t="s">
        <v>28</v>
      </c>
      <c r="B96">
        <v>68</v>
      </c>
      <c r="C96">
        <f t="shared" si="5"/>
        <v>93</v>
      </c>
      <c r="D96">
        <f t="shared" si="3"/>
        <v>0</v>
      </c>
      <c r="E96">
        <f t="shared" si="4"/>
        <v>0</v>
      </c>
    </row>
    <row r="97" spans="1:5" x14ac:dyDescent="0.35">
      <c r="A97" t="s">
        <v>29</v>
      </c>
      <c r="B97">
        <v>64</v>
      </c>
      <c r="C97">
        <f t="shared" si="5"/>
        <v>94</v>
      </c>
      <c r="D97">
        <f t="shared" si="3"/>
        <v>0</v>
      </c>
      <c r="E97">
        <f t="shared" si="4"/>
        <v>0</v>
      </c>
    </row>
    <row r="98" spans="1:5" x14ac:dyDescent="0.35">
      <c r="A98" t="s">
        <v>30</v>
      </c>
      <c r="B98">
        <v>64</v>
      </c>
      <c r="C98">
        <f t="shared" si="5"/>
        <v>95</v>
      </c>
      <c r="D98">
        <f t="shared" si="3"/>
        <v>0</v>
      </c>
      <c r="E98">
        <f t="shared" si="4"/>
        <v>0</v>
      </c>
    </row>
    <row r="99" spans="1:5" x14ac:dyDescent="0.35">
      <c r="A99" t="s">
        <v>31</v>
      </c>
      <c r="B99">
        <v>64</v>
      </c>
      <c r="C99">
        <f t="shared" si="5"/>
        <v>96</v>
      </c>
      <c r="D99">
        <f t="shared" si="3"/>
        <v>1</v>
      </c>
      <c r="E99">
        <f t="shared" si="4"/>
        <v>96</v>
      </c>
    </row>
    <row r="100" spans="1:5" x14ac:dyDescent="0.35">
      <c r="A100" t="s">
        <v>32</v>
      </c>
      <c r="B100">
        <v>0</v>
      </c>
      <c r="C100">
        <f t="shared" si="5"/>
        <v>97</v>
      </c>
      <c r="D100">
        <f t="shared" si="3"/>
        <v>0</v>
      </c>
      <c r="E100">
        <f t="shared" si="4"/>
        <v>0</v>
      </c>
    </row>
    <row r="101" spans="1:5" x14ac:dyDescent="0.35">
      <c r="C101">
        <f t="shared" si="5"/>
        <v>98</v>
      </c>
      <c r="D101">
        <f t="shared" si="3"/>
        <v>0</v>
      </c>
      <c r="E101">
        <f t="shared" si="4"/>
        <v>0</v>
      </c>
    </row>
    <row r="102" spans="1:5" x14ac:dyDescent="0.35">
      <c r="A102" t="s">
        <v>38</v>
      </c>
      <c r="C102">
        <f t="shared" si="5"/>
        <v>99</v>
      </c>
      <c r="D102">
        <f t="shared" si="3"/>
        <v>0</v>
      </c>
      <c r="E102">
        <f t="shared" si="4"/>
        <v>0</v>
      </c>
    </row>
    <row r="103" spans="1:5" x14ac:dyDescent="0.35">
      <c r="A103" t="s">
        <v>26</v>
      </c>
      <c r="B103">
        <v>127</v>
      </c>
      <c r="C103">
        <f t="shared" si="5"/>
        <v>100</v>
      </c>
      <c r="D103">
        <f t="shared" si="3"/>
        <v>2</v>
      </c>
      <c r="E103">
        <f t="shared" si="4"/>
        <v>100</v>
      </c>
    </row>
    <row r="104" spans="1:5" x14ac:dyDescent="0.35">
      <c r="A104" t="s">
        <v>27</v>
      </c>
      <c r="B104">
        <v>72</v>
      </c>
      <c r="C104">
        <f t="shared" si="5"/>
        <v>101</v>
      </c>
      <c r="D104">
        <f t="shared" si="3"/>
        <v>0</v>
      </c>
      <c r="E104">
        <f t="shared" si="4"/>
        <v>0</v>
      </c>
    </row>
    <row r="105" spans="1:5" x14ac:dyDescent="0.35">
      <c r="A105" t="s">
        <v>28</v>
      </c>
      <c r="B105">
        <v>64</v>
      </c>
      <c r="C105">
        <f t="shared" si="5"/>
        <v>102</v>
      </c>
      <c r="D105">
        <f t="shared" si="3"/>
        <v>0</v>
      </c>
      <c r="E105">
        <f t="shared" si="4"/>
        <v>0</v>
      </c>
    </row>
    <row r="106" spans="1:5" x14ac:dyDescent="0.35">
      <c r="A106" t="s">
        <v>29</v>
      </c>
      <c r="B106">
        <v>64</v>
      </c>
      <c r="C106">
        <f t="shared" si="5"/>
        <v>103</v>
      </c>
      <c r="D106">
        <f t="shared" si="3"/>
        <v>0</v>
      </c>
      <c r="E106">
        <f t="shared" si="4"/>
        <v>0</v>
      </c>
    </row>
    <row r="107" spans="1:5" x14ac:dyDescent="0.35">
      <c r="A107" t="s">
        <v>30</v>
      </c>
      <c r="B107">
        <v>64</v>
      </c>
      <c r="C107">
        <f t="shared" si="5"/>
        <v>104</v>
      </c>
      <c r="D107">
        <f t="shared" si="3"/>
        <v>9</v>
      </c>
      <c r="E107">
        <f t="shared" si="4"/>
        <v>104</v>
      </c>
    </row>
    <row r="108" spans="1:5" x14ac:dyDescent="0.35">
      <c r="A108" t="s">
        <v>31</v>
      </c>
      <c r="B108">
        <v>64</v>
      </c>
      <c r="C108">
        <f t="shared" si="5"/>
        <v>105</v>
      </c>
      <c r="D108">
        <f t="shared" si="3"/>
        <v>0</v>
      </c>
      <c r="E108">
        <f t="shared" si="4"/>
        <v>0</v>
      </c>
    </row>
    <row r="109" spans="1:5" x14ac:dyDescent="0.35">
      <c r="A109" t="s">
        <v>32</v>
      </c>
      <c r="B109">
        <v>64</v>
      </c>
      <c r="C109">
        <f t="shared" si="5"/>
        <v>106</v>
      </c>
      <c r="D109">
        <f t="shared" si="3"/>
        <v>0</v>
      </c>
      <c r="E109">
        <f t="shared" si="4"/>
        <v>0</v>
      </c>
    </row>
    <row r="110" spans="1:5" x14ac:dyDescent="0.35">
      <c r="C110">
        <f t="shared" si="5"/>
        <v>107</v>
      </c>
      <c r="D110">
        <f t="shared" si="3"/>
        <v>0</v>
      </c>
      <c r="E110">
        <f t="shared" si="4"/>
        <v>0</v>
      </c>
    </row>
    <row r="111" spans="1:5" x14ac:dyDescent="0.35">
      <c r="A111" t="s">
        <v>39</v>
      </c>
      <c r="C111">
        <f t="shared" si="5"/>
        <v>108</v>
      </c>
      <c r="D111">
        <f t="shared" si="3"/>
        <v>1</v>
      </c>
      <c r="E111">
        <f t="shared" si="4"/>
        <v>108</v>
      </c>
    </row>
    <row r="112" spans="1:5" x14ac:dyDescent="0.35">
      <c r="A112" t="s">
        <v>26</v>
      </c>
      <c r="B112">
        <v>127</v>
      </c>
      <c r="C112">
        <f t="shared" si="5"/>
        <v>109</v>
      </c>
      <c r="D112">
        <f t="shared" si="3"/>
        <v>0</v>
      </c>
      <c r="E112">
        <f t="shared" si="4"/>
        <v>0</v>
      </c>
    </row>
    <row r="113" spans="1:5" x14ac:dyDescent="0.35">
      <c r="A113" t="s">
        <v>27</v>
      </c>
      <c r="B113">
        <v>48</v>
      </c>
      <c r="C113">
        <f t="shared" si="5"/>
        <v>110</v>
      </c>
      <c r="D113">
        <f t="shared" si="3"/>
        <v>0</v>
      </c>
      <c r="E113">
        <f t="shared" si="4"/>
        <v>0</v>
      </c>
    </row>
    <row r="114" spans="1:5" x14ac:dyDescent="0.35">
      <c r="A114" t="s">
        <v>28</v>
      </c>
      <c r="B114">
        <v>68</v>
      </c>
      <c r="C114">
        <f t="shared" si="5"/>
        <v>111</v>
      </c>
      <c r="D114">
        <f t="shared" si="3"/>
        <v>0</v>
      </c>
      <c r="E114">
        <f t="shared" si="4"/>
        <v>0</v>
      </c>
    </row>
    <row r="115" spans="1:5" x14ac:dyDescent="0.35">
      <c r="A115" t="s">
        <v>29</v>
      </c>
      <c r="B115">
        <v>64</v>
      </c>
      <c r="C115">
        <f t="shared" si="5"/>
        <v>112</v>
      </c>
      <c r="D115">
        <f t="shared" si="3"/>
        <v>0</v>
      </c>
      <c r="E115">
        <f t="shared" si="4"/>
        <v>0</v>
      </c>
    </row>
    <row r="116" spans="1:5" x14ac:dyDescent="0.35">
      <c r="A116" t="s">
        <v>30</v>
      </c>
      <c r="B116">
        <v>64</v>
      </c>
      <c r="C116">
        <f t="shared" si="5"/>
        <v>113</v>
      </c>
      <c r="D116">
        <f t="shared" si="3"/>
        <v>0</v>
      </c>
      <c r="E116">
        <f t="shared" si="4"/>
        <v>0</v>
      </c>
    </row>
    <row r="117" spans="1:5" x14ac:dyDescent="0.35">
      <c r="A117" t="s">
        <v>31</v>
      </c>
      <c r="B117">
        <v>64</v>
      </c>
      <c r="C117">
        <f t="shared" si="5"/>
        <v>114</v>
      </c>
      <c r="D117">
        <f t="shared" si="3"/>
        <v>0</v>
      </c>
      <c r="E117">
        <f t="shared" si="4"/>
        <v>0</v>
      </c>
    </row>
    <row r="118" spans="1:5" x14ac:dyDescent="0.35">
      <c r="A118" t="s">
        <v>32</v>
      </c>
      <c r="B118">
        <v>0</v>
      </c>
      <c r="C118">
        <f t="shared" si="5"/>
        <v>115</v>
      </c>
      <c r="D118">
        <f t="shared" si="3"/>
        <v>0</v>
      </c>
      <c r="E118">
        <f t="shared" si="4"/>
        <v>0</v>
      </c>
    </row>
    <row r="119" spans="1:5" x14ac:dyDescent="0.35">
      <c r="C119">
        <f t="shared" si="5"/>
        <v>116</v>
      </c>
      <c r="D119">
        <f t="shared" si="3"/>
        <v>2</v>
      </c>
      <c r="E119">
        <f t="shared" si="4"/>
        <v>116</v>
      </c>
    </row>
    <row r="120" spans="1:5" x14ac:dyDescent="0.35">
      <c r="A120" t="s">
        <v>40</v>
      </c>
      <c r="C120">
        <f t="shared" si="5"/>
        <v>117</v>
      </c>
      <c r="D120">
        <f t="shared" si="3"/>
        <v>0</v>
      </c>
      <c r="E120">
        <f t="shared" si="4"/>
        <v>0</v>
      </c>
    </row>
    <row r="121" spans="1:5" x14ac:dyDescent="0.35">
      <c r="A121" t="s">
        <v>26</v>
      </c>
      <c r="B121">
        <v>88</v>
      </c>
      <c r="C121">
        <f t="shared" si="5"/>
        <v>118</v>
      </c>
      <c r="D121">
        <f t="shared" si="3"/>
        <v>0</v>
      </c>
      <c r="E121">
        <f t="shared" si="4"/>
        <v>0</v>
      </c>
    </row>
    <row r="122" spans="1:5" x14ac:dyDescent="0.35">
      <c r="A122" t="s">
        <v>27</v>
      </c>
      <c r="B122">
        <v>72</v>
      </c>
      <c r="C122">
        <f t="shared" si="5"/>
        <v>119</v>
      </c>
      <c r="D122">
        <f t="shared" si="3"/>
        <v>0</v>
      </c>
      <c r="E122">
        <f t="shared" si="4"/>
        <v>0</v>
      </c>
    </row>
    <row r="123" spans="1:5" x14ac:dyDescent="0.35">
      <c r="A123" t="s">
        <v>28</v>
      </c>
      <c r="B123">
        <v>64</v>
      </c>
      <c r="C123">
        <f t="shared" si="5"/>
        <v>120</v>
      </c>
      <c r="D123">
        <f t="shared" si="3"/>
        <v>0</v>
      </c>
      <c r="E123">
        <f t="shared" si="4"/>
        <v>0</v>
      </c>
    </row>
    <row r="124" spans="1:5" x14ac:dyDescent="0.35">
      <c r="A124" t="s">
        <v>29</v>
      </c>
      <c r="B124">
        <v>64</v>
      </c>
      <c r="C124">
        <f t="shared" si="5"/>
        <v>121</v>
      </c>
      <c r="D124">
        <f t="shared" si="3"/>
        <v>0</v>
      </c>
      <c r="E124">
        <f t="shared" si="4"/>
        <v>0</v>
      </c>
    </row>
    <row r="125" spans="1:5" x14ac:dyDescent="0.35">
      <c r="A125" t="s">
        <v>30</v>
      </c>
      <c r="B125">
        <v>64</v>
      </c>
      <c r="C125">
        <f t="shared" si="5"/>
        <v>122</v>
      </c>
      <c r="D125">
        <f t="shared" si="3"/>
        <v>0</v>
      </c>
      <c r="E125">
        <f t="shared" si="4"/>
        <v>0</v>
      </c>
    </row>
    <row r="126" spans="1:5" x14ac:dyDescent="0.35">
      <c r="A126" t="s">
        <v>31</v>
      </c>
      <c r="B126">
        <v>64</v>
      </c>
      <c r="C126">
        <f t="shared" si="5"/>
        <v>123</v>
      </c>
      <c r="D126">
        <f t="shared" si="3"/>
        <v>0</v>
      </c>
      <c r="E126">
        <f t="shared" si="4"/>
        <v>0</v>
      </c>
    </row>
    <row r="127" spans="1:5" x14ac:dyDescent="0.35">
      <c r="A127" t="s">
        <v>32</v>
      </c>
      <c r="B127">
        <v>68</v>
      </c>
      <c r="C127">
        <f t="shared" si="5"/>
        <v>124</v>
      </c>
      <c r="D127">
        <f t="shared" si="3"/>
        <v>0</v>
      </c>
      <c r="E127">
        <f t="shared" si="4"/>
        <v>0</v>
      </c>
    </row>
    <row r="128" spans="1:5" x14ac:dyDescent="0.35">
      <c r="C128">
        <f t="shared" si="5"/>
        <v>125</v>
      </c>
      <c r="D128">
        <f t="shared" si="3"/>
        <v>0</v>
      </c>
      <c r="E128">
        <f t="shared" si="4"/>
        <v>0</v>
      </c>
    </row>
    <row r="129" spans="1:5" x14ac:dyDescent="0.35">
      <c r="A129" t="s">
        <v>41</v>
      </c>
      <c r="C129">
        <f t="shared" si="5"/>
        <v>126</v>
      </c>
      <c r="D129">
        <f t="shared" si="3"/>
        <v>0</v>
      </c>
      <c r="E129">
        <f t="shared" si="4"/>
        <v>0</v>
      </c>
    </row>
    <row r="130" spans="1:5" x14ac:dyDescent="0.35">
      <c r="A130" t="s">
        <v>26</v>
      </c>
      <c r="B130">
        <v>127</v>
      </c>
      <c r="C130">
        <f t="shared" si="5"/>
        <v>127</v>
      </c>
      <c r="D130">
        <f t="shared" si="3"/>
        <v>143</v>
      </c>
      <c r="E130">
        <f t="shared" si="4"/>
        <v>127</v>
      </c>
    </row>
    <row r="131" spans="1:5" x14ac:dyDescent="0.35">
      <c r="A131" t="s">
        <v>27</v>
      </c>
      <c r="B131">
        <v>64</v>
      </c>
    </row>
    <row r="132" spans="1:5" x14ac:dyDescent="0.35">
      <c r="A132" t="s">
        <v>28</v>
      </c>
      <c r="B132">
        <v>76</v>
      </c>
    </row>
    <row r="133" spans="1:5" x14ac:dyDescent="0.35">
      <c r="A133" t="s">
        <v>29</v>
      </c>
      <c r="B133">
        <v>64</v>
      </c>
    </row>
    <row r="134" spans="1:5" x14ac:dyDescent="0.35">
      <c r="A134" t="s">
        <v>30</v>
      </c>
      <c r="B134">
        <v>64</v>
      </c>
    </row>
    <row r="135" spans="1:5" x14ac:dyDescent="0.35">
      <c r="A135" t="s">
        <v>31</v>
      </c>
      <c r="B135">
        <v>64</v>
      </c>
    </row>
    <row r="136" spans="1:5" x14ac:dyDescent="0.35">
      <c r="A136" t="s">
        <v>32</v>
      </c>
      <c r="B136">
        <v>127</v>
      </c>
    </row>
    <row r="138" spans="1:5" x14ac:dyDescent="0.35">
      <c r="A138" t="s">
        <v>42</v>
      </c>
    </row>
    <row r="139" spans="1:5" x14ac:dyDescent="0.35">
      <c r="A139" t="s">
        <v>26</v>
      </c>
      <c r="B139">
        <v>127</v>
      </c>
    </row>
    <row r="140" spans="1:5" x14ac:dyDescent="0.35">
      <c r="A140" t="s">
        <v>27</v>
      </c>
      <c r="B140">
        <v>64</v>
      </c>
    </row>
    <row r="141" spans="1:5" x14ac:dyDescent="0.35">
      <c r="A141" t="s">
        <v>28</v>
      </c>
      <c r="B141">
        <v>76</v>
      </c>
    </row>
    <row r="142" spans="1:5" x14ac:dyDescent="0.35">
      <c r="A142" t="s">
        <v>29</v>
      </c>
      <c r="B142">
        <v>64</v>
      </c>
    </row>
    <row r="143" spans="1:5" x14ac:dyDescent="0.35">
      <c r="A143" t="s">
        <v>30</v>
      </c>
      <c r="B143">
        <v>68</v>
      </c>
    </row>
    <row r="144" spans="1:5" x14ac:dyDescent="0.35">
      <c r="A144" t="s">
        <v>31</v>
      </c>
      <c r="B144">
        <v>64</v>
      </c>
    </row>
    <row r="145" spans="1:2" x14ac:dyDescent="0.35">
      <c r="A145" t="s">
        <v>32</v>
      </c>
      <c r="B145">
        <v>127</v>
      </c>
    </row>
    <row r="147" spans="1:2" x14ac:dyDescent="0.35">
      <c r="A147" t="s">
        <v>43</v>
      </c>
    </row>
    <row r="148" spans="1:2" x14ac:dyDescent="0.35">
      <c r="A148" t="s">
        <v>26</v>
      </c>
      <c r="B148">
        <v>92</v>
      </c>
    </row>
    <row r="149" spans="1:2" x14ac:dyDescent="0.35">
      <c r="A149" t="s">
        <v>27</v>
      </c>
      <c r="B149">
        <v>84</v>
      </c>
    </row>
    <row r="150" spans="1:2" x14ac:dyDescent="0.35">
      <c r="A150" t="s">
        <v>28</v>
      </c>
      <c r="B150">
        <v>72</v>
      </c>
    </row>
    <row r="151" spans="1:2" x14ac:dyDescent="0.35">
      <c r="A151" t="s">
        <v>29</v>
      </c>
      <c r="B151">
        <v>64</v>
      </c>
    </row>
    <row r="152" spans="1:2" x14ac:dyDescent="0.35">
      <c r="A152" t="s">
        <v>30</v>
      </c>
      <c r="B152">
        <v>68</v>
      </c>
    </row>
    <row r="153" spans="1:2" x14ac:dyDescent="0.35">
      <c r="A153" t="s">
        <v>31</v>
      </c>
      <c r="B153">
        <v>64</v>
      </c>
    </row>
    <row r="154" spans="1:2" x14ac:dyDescent="0.35">
      <c r="A154" t="s">
        <v>32</v>
      </c>
      <c r="B154">
        <v>127</v>
      </c>
    </row>
    <row r="156" spans="1:2" x14ac:dyDescent="0.35">
      <c r="A156" t="s">
        <v>44</v>
      </c>
    </row>
    <row r="157" spans="1:2" x14ac:dyDescent="0.35">
      <c r="A157" t="s">
        <v>26</v>
      </c>
      <c r="B157">
        <v>116</v>
      </c>
    </row>
    <row r="158" spans="1:2" x14ac:dyDescent="0.35">
      <c r="A158" t="s">
        <v>27</v>
      </c>
      <c r="B158">
        <v>64</v>
      </c>
    </row>
    <row r="159" spans="1:2" x14ac:dyDescent="0.35">
      <c r="A159" t="s">
        <v>28</v>
      </c>
      <c r="B159">
        <v>58</v>
      </c>
    </row>
    <row r="160" spans="1:2" x14ac:dyDescent="0.35">
      <c r="A160" t="s">
        <v>29</v>
      </c>
      <c r="B160">
        <v>64</v>
      </c>
    </row>
    <row r="161" spans="1:2" x14ac:dyDescent="0.35">
      <c r="A161" t="s">
        <v>30</v>
      </c>
      <c r="B161">
        <v>96</v>
      </c>
    </row>
    <row r="162" spans="1:2" x14ac:dyDescent="0.35">
      <c r="A162" t="s">
        <v>31</v>
      </c>
      <c r="B162">
        <v>64</v>
      </c>
    </row>
    <row r="163" spans="1:2" x14ac:dyDescent="0.35">
      <c r="A163" t="s">
        <v>32</v>
      </c>
      <c r="B163">
        <v>127</v>
      </c>
    </row>
    <row r="165" spans="1:2" x14ac:dyDescent="0.35">
      <c r="A165" t="s">
        <v>45</v>
      </c>
    </row>
    <row r="166" spans="1:2" x14ac:dyDescent="0.35">
      <c r="A166" t="s">
        <v>26</v>
      </c>
      <c r="B166">
        <v>82</v>
      </c>
    </row>
    <row r="167" spans="1:2" x14ac:dyDescent="0.35">
      <c r="A167" t="s">
        <v>27</v>
      </c>
      <c r="B167">
        <v>60</v>
      </c>
    </row>
    <row r="168" spans="1:2" x14ac:dyDescent="0.35">
      <c r="A168" t="s">
        <v>28</v>
      </c>
      <c r="B168">
        <v>82</v>
      </c>
    </row>
    <row r="169" spans="1:2" x14ac:dyDescent="0.35">
      <c r="A169" t="s">
        <v>29</v>
      </c>
      <c r="B169">
        <v>64</v>
      </c>
    </row>
    <row r="170" spans="1:2" x14ac:dyDescent="0.35">
      <c r="A170" t="s">
        <v>30</v>
      </c>
      <c r="B170">
        <v>72</v>
      </c>
    </row>
    <row r="171" spans="1:2" x14ac:dyDescent="0.35">
      <c r="A171" t="s">
        <v>31</v>
      </c>
      <c r="B171">
        <v>64</v>
      </c>
    </row>
    <row r="172" spans="1:2" x14ac:dyDescent="0.35">
      <c r="A172" t="s">
        <v>32</v>
      </c>
      <c r="B172">
        <v>127</v>
      </c>
    </row>
    <row r="174" spans="1:2" x14ac:dyDescent="0.35">
      <c r="A174" t="s">
        <v>46</v>
      </c>
    </row>
    <row r="175" spans="1:2" x14ac:dyDescent="0.35">
      <c r="A175" t="s">
        <v>26</v>
      </c>
      <c r="B175">
        <v>64</v>
      </c>
    </row>
    <row r="176" spans="1:2" x14ac:dyDescent="0.35">
      <c r="A176" t="s">
        <v>27</v>
      </c>
      <c r="B176">
        <v>64</v>
      </c>
    </row>
    <row r="177" spans="1:2" x14ac:dyDescent="0.35">
      <c r="A177" t="s">
        <v>28</v>
      </c>
      <c r="B177">
        <v>57</v>
      </c>
    </row>
    <row r="178" spans="1:2" x14ac:dyDescent="0.35">
      <c r="A178" t="s">
        <v>29</v>
      </c>
      <c r="B178">
        <v>64</v>
      </c>
    </row>
    <row r="179" spans="1:2" x14ac:dyDescent="0.35">
      <c r="A179" t="s">
        <v>30</v>
      </c>
      <c r="B179">
        <v>64</v>
      </c>
    </row>
    <row r="180" spans="1:2" x14ac:dyDescent="0.35">
      <c r="A180" t="s">
        <v>31</v>
      </c>
      <c r="B180">
        <v>64</v>
      </c>
    </row>
    <row r="181" spans="1:2" x14ac:dyDescent="0.35">
      <c r="A181" t="s">
        <v>32</v>
      </c>
      <c r="B181">
        <v>127</v>
      </c>
    </row>
    <row r="183" spans="1:2" x14ac:dyDescent="0.35">
      <c r="A183" t="s">
        <v>47</v>
      </c>
    </row>
    <row r="184" spans="1:2" x14ac:dyDescent="0.35">
      <c r="A184" t="s">
        <v>26</v>
      </c>
      <c r="B184">
        <v>82</v>
      </c>
    </row>
    <row r="185" spans="1:2" x14ac:dyDescent="0.35">
      <c r="A185" t="s">
        <v>27</v>
      </c>
      <c r="B185">
        <v>60</v>
      </c>
    </row>
    <row r="186" spans="1:2" x14ac:dyDescent="0.35">
      <c r="A186" t="s">
        <v>28</v>
      </c>
      <c r="B186">
        <v>82</v>
      </c>
    </row>
    <row r="187" spans="1:2" x14ac:dyDescent="0.35">
      <c r="A187" t="s">
        <v>29</v>
      </c>
      <c r="B187">
        <v>64</v>
      </c>
    </row>
    <row r="188" spans="1:2" x14ac:dyDescent="0.35">
      <c r="A188" t="s">
        <v>30</v>
      </c>
      <c r="B188">
        <v>64</v>
      </c>
    </row>
    <row r="189" spans="1:2" x14ac:dyDescent="0.35">
      <c r="A189" t="s">
        <v>31</v>
      </c>
      <c r="B189">
        <v>64</v>
      </c>
    </row>
    <row r="190" spans="1:2" x14ac:dyDescent="0.35">
      <c r="A190" t="s">
        <v>32</v>
      </c>
      <c r="B190">
        <v>127</v>
      </c>
    </row>
    <row r="192" spans="1:2" x14ac:dyDescent="0.35">
      <c r="A192" t="s">
        <v>48</v>
      </c>
    </row>
    <row r="193" spans="1:2" x14ac:dyDescent="0.35">
      <c r="A193" t="s">
        <v>26</v>
      </c>
      <c r="B193">
        <v>127</v>
      </c>
    </row>
    <row r="194" spans="1:2" x14ac:dyDescent="0.35">
      <c r="A194" t="s">
        <v>27</v>
      </c>
      <c r="B194">
        <v>88</v>
      </c>
    </row>
    <row r="195" spans="1:2" x14ac:dyDescent="0.35">
      <c r="A195" t="s">
        <v>28</v>
      </c>
      <c r="B195">
        <v>88</v>
      </c>
    </row>
    <row r="196" spans="1:2" x14ac:dyDescent="0.35">
      <c r="A196" t="s">
        <v>29</v>
      </c>
      <c r="B196">
        <v>64</v>
      </c>
    </row>
    <row r="197" spans="1:2" x14ac:dyDescent="0.35">
      <c r="A197" t="s">
        <v>30</v>
      </c>
      <c r="B197">
        <v>104</v>
      </c>
    </row>
    <row r="198" spans="1:2" x14ac:dyDescent="0.35">
      <c r="A198" t="s">
        <v>31</v>
      </c>
      <c r="B198">
        <v>0</v>
      </c>
    </row>
    <row r="199" spans="1:2" x14ac:dyDescent="0.35">
      <c r="A199" t="s">
        <v>32</v>
      </c>
      <c r="B199">
        <v>127</v>
      </c>
    </row>
    <row r="201" spans="1:2" x14ac:dyDescent="0.35">
      <c r="A201" t="s">
        <v>49</v>
      </c>
    </row>
    <row r="202" spans="1:2" x14ac:dyDescent="0.35">
      <c r="A202" t="s">
        <v>26</v>
      </c>
      <c r="B202">
        <v>108</v>
      </c>
    </row>
    <row r="203" spans="1:2" x14ac:dyDescent="0.35">
      <c r="A203" t="s">
        <v>27</v>
      </c>
      <c r="B203">
        <v>72</v>
      </c>
    </row>
    <row r="204" spans="1:2" x14ac:dyDescent="0.35">
      <c r="A204" t="s">
        <v>28</v>
      </c>
      <c r="B204">
        <v>64</v>
      </c>
    </row>
    <row r="205" spans="1:2" x14ac:dyDescent="0.35">
      <c r="A205" t="s">
        <v>29</v>
      </c>
      <c r="B205">
        <v>64</v>
      </c>
    </row>
    <row r="206" spans="1:2" x14ac:dyDescent="0.35">
      <c r="A206" t="s">
        <v>30</v>
      </c>
      <c r="B206">
        <v>64</v>
      </c>
    </row>
    <row r="207" spans="1:2" x14ac:dyDescent="0.35">
      <c r="A207" t="s">
        <v>31</v>
      </c>
      <c r="B207">
        <v>64</v>
      </c>
    </row>
    <row r="208" spans="1:2" x14ac:dyDescent="0.35">
      <c r="A208" t="s">
        <v>32</v>
      </c>
      <c r="B208">
        <v>68</v>
      </c>
    </row>
    <row r="210" spans="1:2" x14ac:dyDescent="0.35">
      <c r="A210" t="s">
        <v>50</v>
      </c>
    </row>
    <row r="211" spans="1:2" x14ac:dyDescent="0.35">
      <c r="A211" t="s">
        <v>26</v>
      </c>
      <c r="B211">
        <v>64</v>
      </c>
    </row>
    <row r="212" spans="1:2" x14ac:dyDescent="0.35">
      <c r="A212" t="s">
        <v>27</v>
      </c>
      <c r="B212">
        <v>72</v>
      </c>
    </row>
    <row r="213" spans="1:2" x14ac:dyDescent="0.35">
      <c r="A213" t="s">
        <v>28</v>
      </c>
      <c r="B213">
        <v>64</v>
      </c>
    </row>
    <row r="214" spans="1:2" x14ac:dyDescent="0.35">
      <c r="A214" t="s">
        <v>29</v>
      </c>
      <c r="B214">
        <v>64</v>
      </c>
    </row>
    <row r="215" spans="1:2" x14ac:dyDescent="0.35">
      <c r="A215" t="s">
        <v>30</v>
      </c>
      <c r="B215">
        <v>64</v>
      </c>
    </row>
    <row r="216" spans="1:2" x14ac:dyDescent="0.35">
      <c r="A216" t="s">
        <v>31</v>
      </c>
      <c r="B216">
        <v>64</v>
      </c>
    </row>
    <row r="217" spans="1:2" x14ac:dyDescent="0.35">
      <c r="A217" t="s">
        <v>32</v>
      </c>
      <c r="B217">
        <v>116</v>
      </c>
    </row>
    <row r="219" spans="1:2" x14ac:dyDescent="0.35">
      <c r="A219" t="s">
        <v>51</v>
      </c>
    </row>
    <row r="220" spans="1:2" x14ac:dyDescent="0.35">
      <c r="A220" t="s">
        <v>26</v>
      </c>
      <c r="B220">
        <v>92</v>
      </c>
    </row>
    <row r="221" spans="1:2" x14ac:dyDescent="0.35">
      <c r="A221" t="s">
        <v>27</v>
      </c>
      <c r="B221">
        <v>72</v>
      </c>
    </row>
    <row r="222" spans="1:2" x14ac:dyDescent="0.35">
      <c r="A222" t="s">
        <v>28</v>
      </c>
      <c r="B222">
        <v>64</v>
      </c>
    </row>
    <row r="223" spans="1:2" x14ac:dyDescent="0.35">
      <c r="A223" t="s">
        <v>29</v>
      </c>
      <c r="B223">
        <v>64</v>
      </c>
    </row>
    <row r="224" spans="1:2" x14ac:dyDescent="0.35">
      <c r="A224" t="s">
        <v>30</v>
      </c>
      <c r="B224">
        <v>64</v>
      </c>
    </row>
    <row r="225" spans="1:2" x14ac:dyDescent="0.35">
      <c r="A225" t="s">
        <v>31</v>
      </c>
      <c r="B225">
        <v>64</v>
      </c>
    </row>
    <row r="226" spans="1:2" x14ac:dyDescent="0.35">
      <c r="A226" t="s">
        <v>32</v>
      </c>
      <c r="B226">
        <v>127</v>
      </c>
    </row>
    <row r="228" spans="1:2" x14ac:dyDescent="0.35">
      <c r="A228" t="s">
        <v>52</v>
      </c>
    </row>
    <row r="229" spans="1:2" x14ac:dyDescent="0.35">
      <c r="A229" t="s">
        <v>26</v>
      </c>
      <c r="B229">
        <v>72</v>
      </c>
    </row>
    <row r="230" spans="1:2" x14ac:dyDescent="0.35">
      <c r="A230" t="s">
        <v>27</v>
      </c>
      <c r="B230">
        <v>72</v>
      </c>
    </row>
    <row r="231" spans="1:2" x14ac:dyDescent="0.35">
      <c r="A231" t="s">
        <v>28</v>
      </c>
      <c r="B231">
        <v>64</v>
      </c>
    </row>
    <row r="232" spans="1:2" x14ac:dyDescent="0.35">
      <c r="A232" t="s">
        <v>29</v>
      </c>
      <c r="B232">
        <v>64</v>
      </c>
    </row>
    <row r="233" spans="1:2" x14ac:dyDescent="0.35">
      <c r="A233" t="s">
        <v>30</v>
      </c>
      <c r="B233">
        <v>64</v>
      </c>
    </row>
    <row r="234" spans="1:2" x14ac:dyDescent="0.35">
      <c r="A234" t="s">
        <v>31</v>
      </c>
      <c r="B234">
        <v>64</v>
      </c>
    </row>
    <row r="235" spans="1:2" x14ac:dyDescent="0.35">
      <c r="A235" t="s">
        <v>32</v>
      </c>
      <c r="B235">
        <v>127</v>
      </c>
    </row>
    <row r="237" spans="1:2" x14ac:dyDescent="0.35">
      <c r="A237" t="s">
        <v>53</v>
      </c>
    </row>
    <row r="238" spans="1:2" x14ac:dyDescent="0.35">
      <c r="A238" t="s">
        <v>26</v>
      </c>
      <c r="B238">
        <v>92</v>
      </c>
    </row>
    <row r="239" spans="1:2" x14ac:dyDescent="0.35">
      <c r="A239" t="s">
        <v>27</v>
      </c>
      <c r="B239">
        <v>72</v>
      </c>
    </row>
    <row r="240" spans="1:2" x14ac:dyDescent="0.35">
      <c r="A240" t="s">
        <v>28</v>
      </c>
      <c r="B240">
        <v>64</v>
      </c>
    </row>
    <row r="241" spans="1:2" x14ac:dyDescent="0.35">
      <c r="A241" t="s">
        <v>29</v>
      </c>
      <c r="B241">
        <v>64</v>
      </c>
    </row>
    <row r="242" spans="1:2" x14ac:dyDescent="0.35">
      <c r="A242" t="s">
        <v>30</v>
      </c>
      <c r="B242">
        <v>64</v>
      </c>
    </row>
    <row r="243" spans="1:2" x14ac:dyDescent="0.35">
      <c r="A243" t="s">
        <v>31</v>
      </c>
      <c r="B243">
        <v>64</v>
      </c>
    </row>
    <row r="244" spans="1:2" x14ac:dyDescent="0.35">
      <c r="A244" t="s">
        <v>32</v>
      </c>
      <c r="B244">
        <v>127</v>
      </c>
    </row>
    <row r="246" spans="1:2" x14ac:dyDescent="0.35">
      <c r="A246" t="s">
        <v>54</v>
      </c>
    </row>
    <row r="247" spans="1:2" x14ac:dyDescent="0.35">
      <c r="A247" t="s">
        <v>26</v>
      </c>
      <c r="B247">
        <v>127</v>
      </c>
    </row>
    <row r="248" spans="1:2" x14ac:dyDescent="0.35">
      <c r="A248" t="s">
        <v>27</v>
      </c>
      <c r="B248">
        <v>127</v>
      </c>
    </row>
    <row r="249" spans="1:2" x14ac:dyDescent="0.35">
      <c r="A249" t="s">
        <v>28</v>
      </c>
      <c r="B249">
        <v>68</v>
      </c>
    </row>
    <row r="250" spans="1:2" x14ac:dyDescent="0.35">
      <c r="A250" t="s">
        <v>29</v>
      </c>
      <c r="B250">
        <v>64</v>
      </c>
    </row>
    <row r="251" spans="1:2" x14ac:dyDescent="0.35">
      <c r="A251" t="s">
        <v>30</v>
      </c>
      <c r="B251">
        <v>64</v>
      </c>
    </row>
    <row r="252" spans="1:2" x14ac:dyDescent="0.35">
      <c r="A252" t="s">
        <v>31</v>
      </c>
      <c r="B252">
        <v>64</v>
      </c>
    </row>
    <row r="253" spans="1:2" x14ac:dyDescent="0.35">
      <c r="A253" t="s">
        <v>32</v>
      </c>
      <c r="B253">
        <v>0</v>
      </c>
    </row>
    <row r="255" spans="1:2" x14ac:dyDescent="0.35">
      <c r="A255" t="s">
        <v>55</v>
      </c>
    </row>
    <row r="256" spans="1:2" x14ac:dyDescent="0.35">
      <c r="A256" t="s">
        <v>26</v>
      </c>
      <c r="B256">
        <v>64</v>
      </c>
    </row>
    <row r="257" spans="1:2" x14ac:dyDescent="0.35">
      <c r="A257" t="s">
        <v>27</v>
      </c>
      <c r="B257">
        <v>64</v>
      </c>
    </row>
    <row r="258" spans="1:2" x14ac:dyDescent="0.35">
      <c r="A258" t="s">
        <v>28</v>
      </c>
      <c r="B258">
        <v>68</v>
      </c>
    </row>
    <row r="259" spans="1:2" x14ac:dyDescent="0.35">
      <c r="A259" t="s">
        <v>29</v>
      </c>
      <c r="B259">
        <v>64</v>
      </c>
    </row>
    <row r="260" spans="1:2" x14ac:dyDescent="0.35">
      <c r="A260" t="s">
        <v>30</v>
      </c>
      <c r="B260">
        <v>64</v>
      </c>
    </row>
    <row r="261" spans="1:2" x14ac:dyDescent="0.35">
      <c r="A261" t="s">
        <v>31</v>
      </c>
      <c r="B261">
        <v>64</v>
      </c>
    </row>
    <row r="262" spans="1:2" x14ac:dyDescent="0.35">
      <c r="A262" t="s">
        <v>32</v>
      </c>
      <c r="B262">
        <v>127</v>
      </c>
    </row>
    <row r="264" spans="1:2" x14ac:dyDescent="0.35">
      <c r="A264" t="s">
        <v>56</v>
      </c>
    </row>
    <row r="265" spans="1:2" x14ac:dyDescent="0.35">
      <c r="A265" t="s">
        <v>26</v>
      </c>
      <c r="B265">
        <v>127</v>
      </c>
    </row>
    <row r="266" spans="1:2" x14ac:dyDescent="0.35">
      <c r="A266" t="s">
        <v>27</v>
      </c>
      <c r="B266">
        <v>127</v>
      </c>
    </row>
    <row r="267" spans="1:2" x14ac:dyDescent="0.35">
      <c r="A267" t="s">
        <v>28</v>
      </c>
      <c r="B267">
        <v>68</v>
      </c>
    </row>
    <row r="268" spans="1:2" x14ac:dyDescent="0.35">
      <c r="A268" t="s">
        <v>29</v>
      </c>
      <c r="B268">
        <v>64</v>
      </c>
    </row>
    <row r="269" spans="1:2" x14ac:dyDescent="0.35">
      <c r="A269" t="s">
        <v>30</v>
      </c>
      <c r="B269">
        <v>64</v>
      </c>
    </row>
    <row r="270" spans="1:2" x14ac:dyDescent="0.35">
      <c r="A270" t="s">
        <v>31</v>
      </c>
      <c r="B270">
        <v>64</v>
      </c>
    </row>
    <row r="271" spans="1:2" x14ac:dyDescent="0.35">
      <c r="A271" t="s">
        <v>32</v>
      </c>
      <c r="B271">
        <v>0</v>
      </c>
    </row>
    <row r="273" spans="1:2" x14ac:dyDescent="0.35">
      <c r="A273" t="s">
        <v>57</v>
      </c>
    </row>
    <row r="274" spans="1:2" x14ac:dyDescent="0.35">
      <c r="A274" t="s">
        <v>26</v>
      </c>
      <c r="B274">
        <v>127</v>
      </c>
    </row>
    <row r="275" spans="1:2" x14ac:dyDescent="0.35">
      <c r="A275" t="s">
        <v>27</v>
      </c>
      <c r="B275">
        <v>127</v>
      </c>
    </row>
    <row r="276" spans="1:2" x14ac:dyDescent="0.35">
      <c r="A276" t="s">
        <v>28</v>
      </c>
      <c r="B276">
        <v>82</v>
      </c>
    </row>
    <row r="277" spans="1:2" x14ac:dyDescent="0.35">
      <c r="A277" t="s">
        <v>29</v>
      </c>
      <c r="B277">
        <v>92</v>
      </c>
    </row>
    <row r="278" spans="1:2" x14ac:dyDescent="0.35">
      <c r="A278" t="s">
        <v>30</v>
      </c>
      <c r="B278">
        <v>76</v>
      </c>
    </row>
    <row r="279" spans="1:2" x14ac:dyDescent="0.35">
      <c r="A279" t="s">
        <v>31</v>
      </c>
      <c r="B279">
        <v>64</v>
      </c>
    </row>
    <row r="280" spans="1:2" x14ac:dyDescent="0.35">
      <c r="A280" t="s">
        <v>32</v>
      </c>
      <c r="B280">
        <v>127</v>
      </c>
    </row>
    <row r="282" spans="1:2" x14ac:dyDescent="0.35">
      <c r="A282" t="s">
        <v>58</v>
      </c>
    </row>
    <row r="283" spans="1:2" x14ac:dyDescent="0.35">
      <c r="A283" t="s">
        <v>26</v>
      </c>
      <c r="B283">
        <v>127</v>
      </c>
    </row>
    <row r="284" spans="1:2" x14ac:dyDescent="0.35">
      <c r="A284" t="s">
        <v>27</v>
      </c>
      <c r="B284">
        <v>64</v>
      </c>
    </row>
    <row r="285" spans="1:2" x14ac:dyDescent="0.35">
      <c r="A285" t="s">
        <v>28</v>
      </c>
      <c r="B285">
        <v>88</v>
      </c>
    </row>
    <row r="286" spans="1:2" x14ac:dyDescent="0.35">
      <c r="A286" t="s">
        <v>29</v>
      </c>
      <c r="B286">
        <v>64</v>
      </c>
    </row>
    <row r="287" spans="1:2" x14ac:dyDescent="0.35">
      <c r="A287" t="s">
        <v>30</v>
      </c>
      <c r="B287">
        <v>60</v>
      </c>
    </row>
    <row r="288" spans="1:2" x14ac:dyDescent="0.35">
      <c r="A288" t="s">
        <v>31</v>
      </c>
      <c r="B288">
        <v>0</v>
      </c>
    </row>
    <row r="289" spans="1:2" x14ac:dyDescent="0.35">
      <c r="A289" t="s">
        <v>32</v>
      </c>
      <c r="B289">
        <v>127</v>
      </c>
    </row>
    <row r="291" spans="1:2" x14ac:dyDescent="0.35">
      <c r="A291" t="s">
        <v>59</v>
      </c>
    </row>
    <row r="292" spans="1:2" x14ac:dyDescent="0.35">
      <c r="A292" t="s">
        <v>26</v>
      </c>
      <c r="B292">
        <v>127</v>
      </c>
    </row>
    <row r="293" spans="1:2" x14ac:dyDescent="0.35">
      <c r="A293" t="s">
        <v>27</v>
      </c>
      <c r="B293">
        <v>64</v>
      </c>
    </row>
    <row r="294" spans="1:2" x14ac:dyDescent="0.35">
      <c r="A294" t="s">
        <v>28</v>
      </c>
      <c r="B294">
        <v>72</v>
      </c>
    </row>
    <row r="295" spans="1:2" x14ac:dyDescent="0.35">
      <c r="A295" t="s">
        <v>29</v>
      </c>
      <c r="B295">
        <v>64</v>
      </c>
    </row>
    <row r="296" spans="1:2" x14ac:dyDescent="0.35">
      <c r="A296" t="s">
        <v>30</v>
      </c>
      <c r="B296">
        <v>60</v>
      </c>
    </row>
    <row r="297" spans="1:2" x14ac:dyDescent="0.35">
      <c r="A297" t="s">
        <v>31</v>
      </c>
      <c r="B297">
        <v>0</v>
      </c>
    </row>
    <row r="298" spans="1:2" x14ac:dyDescent="0.35">
      <c r="A298" t="s">
        <v>32</v>
      </c>
      <c r="B298">
        <v>127</v>
      </c>
    </row>
    <row r="300" spans="1:2" x14ac:dyDescent="0.35">
      <c r="A300" t="s">
        <v>60</v>
      </c>
    </row>
    <row r="301" spans="1:2" x14ac:dyDescent="0.35">
      <c r="A301" t="s">
        <v>26</v>
      </c>
      <c r="B301">
        <v>127</v>
      </c>
    </row>
    <row r="302" spans="1:2" x14ac:dyDescent="0.35">
      <c r="A302" t="s">
        <v>27</v>
      </c>
      <c r="B302">
        <v>64</v>
      </c>
    </row>
    <row r="303" spans="1:2" x14ac:dyDescent="0.35">
      <c r="A303" t="s">
        <v>28</v>
      </c>
      <c r="B303">
        <v>64</v>
      </c>
    </row>
    <row r="304" spans="1:2" x14ac:dyDescent="0.35">
      <c r="A304" t="s">
        <v>29</v>
      </c>
      <c r="B304">
        <v>64</v>
      </c>
    </row>
    <row r="305" spans="1:2" x14ac:dyDescent="0.35">
      <c r="A305" t="s">
        <v>30</v>
      </c>
      <c r="B305">
        <v>68</v>
      </c>
    </row>
    <row r="306" spans="1:2" x14ac:dyDescent="0.35">
      <c r="A306" t="s">
        <v>31</v>
      </c>
      <c r="B306">
        <v>64</v>
      </c>
    </row>
    <row r="307" spans="1:2" x14ac:dyDescent="0.35">
      <c r="A307" t="s">
        <v>32</v>
      </c>
      <c r="B307">
        <v>127</v>
      </c>
    </row>
    <row r="309" spans="1:2" x14ac:dyDescent="0.35">
      <c r="A309" t="s">
        <v>61</v>
      </c>
    </row>
    <row r="310" spans="1:2" x14ac:dyDescent="0.35">
      <c r="A310" t="s">
        <v>26</v>
      </c>
      <c r="B310">
        <v>127</v>
      </c>
    </row>
    <row r="311" spans="1:2" x14ac:dyDescent="0.35">
      <c r="A311" t="s">
        <v>27</v>
      </c>
      <c r="B311">
        <v>64</v>
      </c>
    </row>
    <row r="312" spans="1:2" x14ac:dyDescent="0.35">
      <c r="A312" t="s">
        <v>28</v>
      </c>
      <c r="B312">
        <v>76</v>
      </c>
    </row>
    <row r="313" spans="1:2" x14ac:dyDescent="0.35">
      <c r="A313" t="s">
        <v>29</v>
      </c>
      <c r="B313">
        <v>64</v>
      </c>
    </row>
    <row r="314" spans="1:2" x14ac:dyDescent="0.35">
      <c r="A314" t="s">
        <v>30</v>
      </c>
      <c r="B314">
        <v>68</v>
      </c>
    </row>
    <row r="315" spans="1:2" x14ac:dyDescent="0.35">
      <c r="A315" t="s">
        <v>31</v>
      </c>
      <c r="B315">
        <v>127</v>
      </c>
    </row>
    <row r="316" spans="1:2" x14ac:dyDescent="0.35">
      <c r="A316" t="s">
        <v>32</v>
      </c>
      <c r="B316">
        <v>127</v>
      </c>
    </row>
    <row r="318" spans="1:2" x14ac:dyDescent="0.35">
      <c r="A318" t="s">
        <v>62</v>
      </c>
    </row>
    <row r="319" spans="1:2" x14ac:dyDescent="0.35">
      <c r="A319" t="s">
        <v>26</v>
      </c>
      <c r="B319">
        <v>82</v>
      </c>
    </row>
    <row r="320" spans="1:2" x14ac:dyDescent="0.35">
      <c r="A320" t="s">
        <v>27</v>
      </c>
      <c r="B320">
        <v>20</v>
      </c>
    </row>
    <row r="321" spans="1:2" x14ac:dyDescent="0.35">
      <c r="A321" t="s">
        <v>28</v>
      </c>
      <c r="B321">
        <v>82</v>
      </c>
    </row>
    <row r="322" spans="1:2" x14ac:dyDescent="0.35">
      <c r="A322" t="s">
        <v>29</v>
      </c>
      <c r="B322">
        <v>64</v>
      </c>
    </row>
    <row r="323" spans="1:2" x14ac:dyDescent="0.35">
      <c r="A323" t="s">
        <v>30</v>
      </c>
      <c r="B323">
        <v>64</v>
      </c>
    </row>
    <row r="324" spans="1:2" x14ac:dyDescent="0.35">
      <c r="A324" t="s">
        <v>31</v>
      </c>
      <c r="B324">
        <v>64</v>
      </c>
    </row>
    <row r="325" spans="1:2" x14ac:dyDescent="0.35">
      <c r="A325" t="s">
        <v>32</v>
      </c>
      <c r="B325">
        <v>127</v>
      </c>
    </row>
    <row r="327" spans="1:2" x14ac:dyDescent="0.35">
      <c r="A327" t="s">
        <v>63</v>
      </c>
    </row>
    <row r="328" spans="1:2" x14ac:dyDescent="0.35">
      <c r="A328" t="s">
        <v>26</v>
      </c>
      <c r="B328">
        <v>82</v>
      </c>
    </row>
    <row r="329" spans="1:2" x14ac:dyDescent="0.35">
      <c r="A329" t="s">
        <v>27</v>
      </c>
      <c r="B329">
        <v>20</v>
      </c>
    </row>
    <row r="330" spans="1:2" x14ac:dyDescent="0.35">
      <c r="A330" t="s">
        <v>28</v>
      </c>
      <c r="B330">
        <v>82</v>
      </c>
    </row>
    <row r="331" spans="1:2" x14ac:dyDescent="0.35">
      <c r="A331" t="s">
        <v>29</v>
      </c>
      <c r="B331">
        <v>64</v>
      </c>
    </row>
    <row r="332" spans="1:2" x14ac:dyDescent="0.35">
      <c r="A332" t="s">
        <v>30</v>
      </c>
      <c r="B332">
        <v>76</v>
      </c>
    </row>
    <row r="333" spans="1:2" x14ac:dyDescent="0.35">
      <c r="A333" t="s">
        <v>31</v>
      </c>
      <c r="B333">
        <v>64</v>
      </c>
    </row>
    <row r="334" spans="1:2" x14ac:dyDescent="0.35">
      <c r="A334" t="s">
        <v>32</v>
      </c>
      <c r="B334">
        <v>127</v>
      </c>
    </row>
    <row r="336" spans="1:2" x14ac:dyDescent="0.35">
      <c r="A336" t="s">
        <v>64</v>
      </c>
    </row>
    <row r="337" spans="1:2" x14ac:dyDescent="0.35">
      <c r="A337" t="s">
        <v>26</v>
      </c>
      <c r="B337">
        <v>82</v>
      </c>
    </row>
    <row r="338" spans="1:2" x14ac:dyDescent="0.35">
      <c r="A338" t="s">
        <v>27</v>
      </c>
      <c r="B338">
        <v>20</v>
      </c>
    </row>
    <row r="339" spans="1:2" x14ac:dyDescent="0.35">
      <c r="A339" t="s">
        <v>28</v>
      </c>
      <c r="B339">
        <v>82</v>
      </c>
    </row>
    <row r="340" spans="1:2" x14ac:dyDescent="0.35">
      <c r="A340" t="s">
        <v>29</v>
      </c>
      <c r="B340">
        <v>64</v>
      </c>
    </row>
    <row r="341" spans="1:2" x14ac:dyDescent="0.35">
      <c r="A341" t="s">
        <v>30</v>
      </c>
      <c r="B341">
        <v>68</v>
      </c>
    </row>
    <row r="342" spans="1:2" x14ac:dyDescent="0.35">
      <c r="A342" t="s">
        <v>31</v>
      </c>
      <c r="B342">
        <v>64</v>
      </c>
    </row>
    <row r="343" spans="1:2" x14ac:dyDescent="0.35">
      <c r="A343" t="s">
        <v>32</v>
      </c>
      <c r="B343">
        <v>127</v>
      </c>
    </row>
    <row r="345" spans="1:2" x14ac:dyDescent="0.35">
      <c r="A345" t="s">
        <v>65</v>
      </c>
    </row>
    <row r="346" spans="1:2" x14ac:dyDescent="0.35">
      <c r="A346" t="s">
        <v>26</v>
      </c>
      <c r="B346">
        <v>82</v>
      </c>
    </row>
    <row r="347" spans="1:2" x14ac:dyDescent="0.35">
      <c r="A347" t="s">
        <v>27</v>
      </c>
      <c r="B347">
        <v>60</v>
      </c>
    </row>
    <row r="348" spans="1:2" x14ac:dyDescent="0.35">
      <c r="A348" t="s">
        <v>28</v>
      </c>
      <c r="B348">
        <v>82</v>
      </c>
    </row>
    <row r="349" spans="1:2" x14ac:dyDescent="0.35">
      <c r="A349" t="s">
        <v>29</v>
      </c>
      <c r="B349">
        <v>64</v>
      </c>
    </row>
    <row r="350" spans="1:2" x14ac:dyDescent="0.35">
      <c r="A350" t="s">
        <v>30</v>
      </c>
      <c r="B350">
        <v>76</v>
      </c>
    </row>
    <row r="351" spans="1:2" x14ac:dyDescent="0.35">
      <c r="A351" t="s">
        <v>31</v>
      </c>
      <c r="B351">
        <v>64</v>
      </c>
    </row>
    <row r="352" spans="1:2" x14ac:dyDescent="0.35">
      <c r="A352" t="s">
        <v>32</v>
      </c>
      <c r="B352">
        <v>127</v>
      </c>
    </row>
    <row r="354" spans="1:2" x14ac:dyDescent="0.35">
      <c r="A354" t="s">
        <v>66</v>
      </c>
    </row>
    <row r="355" spans="1:2" x14ac:dyDescent="0.35">
      <c r="A355" t="s">
        <v>26</v>
      </c>
      <c r="B355">
        <v>82</v>
      </c>
    </row>
    <row r="356" spans="1:2" x14ac:dyDescent="0.35">
      <c r="A356" t="s">
        <v>27</v>
      </c>
      <c r="B356">
        <v>60</v>
      </c>
    </row>
    <row r="357" spans="1:2" x14ac:dyDescent="0.35">
      <c r="A357" t="s">
        <v>28</v>
      </c>
      <c r="B357">
        <v>92</v>
      </c>
    </row>
    <row r="358" spans="1:2" x14ac:dyDescent="0.35">
      <c r="A358" t="s">
        <v>29</v>
      </c>
      <c r="B358">
        <v>64</v>
      </c>
    </row>
    <row r="359" spans="1:2" x14ac:dyDescent="0.35">
      <c r="A359" t="s">
        <v>30</v>
      </c>
      <c r="B359">
        <v>76</v>
      </c>
    </row>
    <row r="360" spans="1:2" x14ac:dyDescent="0.35">
      <c r="A360" t="s">
        <v>31</v>
      </c>
      <c r="B360">
        <v>64</v>
      </c>
    </row>
    <row r="361" spans="1:2" x14ac:dyDescent="0.35">
      <c r="A361" t="s">
        <v>32</v>
      </c>
      <c r="B361">
        <v>127</v>
      </c>
    </row>
    <row r="363" spans="1:2" x14ac:dyDescent="0.35">
      <c r="A363" t="s">
        <v>67</v>
      </c>
    </row>
    <row r="364" spans="1:2" x14ac:dyDescent="0.35">
      <c r="A364" t="s">
        <v>26</v>
      </c>
      <c r="B364">
        <v>127</v>
      </c>
    </row>
    <row r="365" spans="1:2" x14ac:dyDescent="0.35">
      <c r="A365" t="s">
        <v>27</v>
      </c>
      <c r="B365">
        <v>127</v>
      </c>
    </row>
    <row r="366" spans="1:2" x14ac:dyDescent="0.35">
      <c r="A366" t="s">
        <v>28</v>
      </c>
      <c r="B366">
        <v>64</v>
      </c>
    </row>
    <row r="367" spans="1:2" x14ac:dyDescent="0.35">
      <c r="A367" t="s">
        <v>29</v>
      </c>
      <c r="B367">
        <v>72</v>
      </c>
    </row>
    <row r="368" spans="1:2" x14ac:dyDescent="0.35">
      <c r="A368" t="s">
        <v>30</v>
      </c>
      <c r="B368">
        <v>64</v>
      </c>
    </row>
    <row r="369" spans="1:2" x14ac:dyDescent="0.35">
      <c r="A369" t="s">
        <v>31</v>
      </c>
      <c r="B369">
        <v>64</v>
      </c>
    </row>
    <row r="370" spans="1:2" x14ac:dyDescent="0.35">
      <c r="A370" t="s">
        <v>32</v>
      </c>
      <c r="B370">
        <v>127</v>
      </c>
    </row>
    <row r="372" spans="1:2" x14ac:dyDescent="0.35">
      <c r="A372" t="s">
        <v>68</v>
      </c>
    </row>
    <row r="373" spans="1:2" x14ac:dyDescent="0.35">
      <c r="A373" t="s">
        <v>26</v>
      </c>
      <c r="B373">
        <v>127</v>
      </c>
    </row>
    <row r="374" spans="1:2" x14ac:dyDescent="0.35">
      <c r="A374" t="s">
        <v>27</v>
      </c>
      <c r="B374">
        <v>127</v>
      </c>
    </row>
    <row r="375" spans="1:2" x14ac:dyDescent="0.35">
      <c r="A375" t="s">
        <v>28</v>
      </c>
      <c r="B375">
        <v>92</v>
      </c>
    </row>
    <row r="376" spans="1:2" x14ac:dyDescent="0.35">
      <c r="A376" t="s">
        <v>29</v>
      </c>
      <c r="B376">
        <v>76</v>
      </c>
    </row>
    <row r="377" spans="1:2" x14ac:dyDescent="0.35">
      <c r="A377" t="s">
        <v>30</v>
      </c>
      <c r="B377">
        <v>64</v>
      </c>
    </row>
    <row r="378" spans="1:2" x14ac:dyDescent="0.35">
      <c r="A378" t="s">
        <v>31</v>
      </c>
      <c r="B378">
        <v>64</v>
      </c>
    </row>
    <row r="379" spans="1:2" x14ac:dyDescent="0.35">
      <c r="A379" t="s">
        <v>32</v>
      </c>
      <c r="B379">
        <v>0</v>
      </c>
    </row>
    <row r="381" spans="1:2" x14ac:dyDescent="0.35">
      <c r="A381" t="s">
        <v>69</v>
      </c>
    </row>
    <row r="382" spans="1:2" x14ac:dyDescent="0.35">
      <c r="A382" t="s">
        <v>26</v>
      </c>
      <c r="B382">
        <v>127</v>
      </c>
    </row>
    <row r="383" spans="1:2" x14ac:dyDescent="0.35">
      <c r="A383" t="s">
        <v>27</v>
      </c>
      <c r="B383">
        <v>60</v>
      </c>
    </row>
    <row r="384" spans="1:2" x14ac:dyDescent="0.35">
      <c r="A384" t="s">
        <v>28</v>
      </c>
      <c r="B384">
        <v>92</v>
      </c>
    </row>
    <row r="385" spans="1:2" x14ac:dyDescent="0.35">
      <c r="A385" t="s">
        <v>29</v>
      </c>
      <c r="B385">
        <v>64</v>
      </c>
    </row>
    <row r="386" spans="1:2" x14ac:dyDescent="0.35">
      <c r="A386" t="s">
        <v>30</v>
      </c>
      <c r="B386">
        <v>76</v>
      </c>
    </row>
    <row r="387" spans="1:2" x14ac:dyDescent="0.35">
      <c r="A387" t="s">
        <v>31</v>
      </c>
      <c r="B387">
        <v>64</v>
      </c>
    </row>
    <row r="388" spans="1:2" x14ac:dyDescent="0.35">
      <c r="A388" t="s">
        <v>32</v>
      </c>
      <c r="B388">
        <v>127</v>
      </c>
    </row>
    <row r="390" spans="1:2" x14ac:dyDescent="0.35">
      <c r="A390" t="s">
        <v>70</v>
      </c>
    </row>
    <row r="391" spans="1:2" x14ac:dyDescent="0.35">
      <c r="A391" t="s">
        <v>26</v>
      </c>
      <c r="B391">
        <v>88</v>
      </c>
    </row>
    <row r="392" spans="1:2" x14ac:dyDescent="0.35">
      <c r="A392" t="s">
        <v>27</v>
      </c>
      <c r="B392">
        <v>72</v>
      </c>
    </row>
    <row r="393" spans="1:2" x14ac:dyDescent="0.35">
      <c r="A393" t="s">
        <v>28</v>
      </c>
      <c r="B393">
        <v>64</v>
      </c>
    </row>
    <row r="394" spans="1:2" x14ac:dyDescent="0.35">
      <c r="A394" t="s">
        <v>29</v>
      </c>
      <c r="B394">
        <v>64</v>
      </c>
    </row>
    <row r="395" spans="1:2" x14ac:dyDescent="0.35">
      <c r="A395" t="s">
        <v>30</v>
      </c>
      <c r="B395">
        <v>64</v>
      </c>
    </row>
    <row r="396" spans="1:2" x14ac:dyDescent="0.35">
      <c r="A396" t="s">
        <v>31</v>
      </c>
      <c r="B396">
        <v>64</v>
      </c>
    </row>
    <row r="397" spans="1:2" x14ac:dyDescent="0.35">
      <c r="A397" t="s">
        <v>32</v>
      </c>
      <c r="B397">
        <v>68</v>
      </c>
    </row>
    <row r="399" spans="1:2" x14ac:dyDescent="0.35">
      <c r="A399" t="s">
        <v>71</v>
      </c>
    </row>
    <row r="400" spans="1:2" x14ac:dyDescent="0.35">
      <c r="A400" t="s">
        <v>26</v>
      </c>
      <c r="B400">
        <v>88</v>
      </c>
    </row>
    <row r="401" spans="1:2" x14ac:dyDescent="0.35">
      <c r="A401" t="s">
        <v>27</v>
      </c>
      <c r="B401">
        <v>72</v>
      </c>
    </row>
    <row r="402" spans="1:2" x14ac:dyDescent="0.35">
      <c r="A402" t="s">
        <v>28</v>
      </c>
      <c r="B402">
        <v>64</v>
      </c>
    </row>
    <row r="403" spans="1:2" x14ac:dyDescent="0.35">
      <c r="A403" t="s">
        <v>29</v>
      </c>
      <c r="B403">
        <v>64</v>
      </c>
    </row>
    <row r="404" spans="1:2" x14ac:dyDescent="0.35">
      <c r="A404" t="s">
        <v>30</v>
      </c>
      <c r="B404">
        <v>64</v>
      </c>
    </row>
    <row r="405" spans="1:2" x14ac:dyDescent="0.35">
      <c r="A405" t="s">
        <v>31</v>
      </c>
      <c r="B405">
        <v>64</v>
      </c>
    </row>
    <row r="406" spans="1:2" x14ac:dyDescent="0.35">
      <c r="A406" t="s">
        <v>32</v>
      </c>
      <c r="B406">
        <v>68</v>
      </c>
    </row>
    <row r="408" spans="1:2" x14ac:dyDescent="0.35">
      <c r="A408" t="s">
        <v>72</v>
      </c>
    </row>
    <row r="409" spans="1:2" x14ac:dyDescent="0.35">
      <c r="A409" t="s">
        <v>26</v>
      </c>
      <c r="B409">
        <v>127</v>
      </c>
    </row>
    <row r="410" spans="1:2" x14ac:dyDescent="0.35">
      <c r="A410" t="s">
        <v>27</v>
      </c>
      <c r="B410">
        <v>127</v>
      </c>
    </row>
    <row r="411" spans="1:2" x14ac:dyDescent="0.35">
      <c r="A411" t="s">
        <v>28</v>
      </c>
      <c r="B411">
        <v>68</v>
      </c>
    </row>
    <row r="412" spans="1:2" x14ac:dyDescent="0.35">
      <c r="A412" t="s">
        <v>29</v>
      </c>
      <c r="B412">
        <v>64</v>
      </c>
    </row>
    <row r="413" spans="1:2" x14ac:dyDescent="0.35">
      <c r="A413" t="s">
        <v>30</v>
      </c>
      <c r="B413">
        <v>64</v>
      </c>
    </row>
    <row r="414" spans="1:2" x14ac:dyDescent="0.35">
      <c r="A414" t="s">
        <v>31</v>
      </c>
      <c r="B414">
        <v>64</v>
      </c>
    </row>
    <row r="415" spans="1:2" x14ac:dyDescent="0.35">
      <c r="A415" t="s">
        <v>32</v>
      </c>
      <c r="B415">
        <v>0</v>
      </c>
    </row>
    <row r="417" spans="1:2" x14ac:dyDescent="0.35">
      <c r="A417" t="s">
        <v>73</v>
      </c>
    </row>
    <row r="418" spans="1:2" x14ac:dyDescent="0.35">
      <c r="A418" t="s">
        <v>26</v>
      </c>
      <c r="B418">
        <v>127</v>
      </c>
    </row>
    <row r="419" spans="1:2" x14ac:dyDescent="0.35">
      <c r="A419" t="s">
        <v>27</v>
      </c>
      <c r="B419">
        <v>40</v>
      </c>
    </row>
    <row r="420" spans="1:2" x14ac:dyDescent="0.35">
      <c r="A420" t="s">
        <v>28</v>
      </c>
      <c r="B420">
        <v>76</v>
      </c>
    </row>
    <row r="421" spans="1:2" x14ac:dyDescent="0.35">
      <c r="A421" t="s">
        <v>29</v>
      </c>
      <c r="B421">
        <v>64</v>
      </c>
    </row>
    <row r="422" spans="1:2" x14ac:dyDescent="0.35">
      <c r="A422" t="s">
        <v>30</v>
      </c>
      <c r="B422">
        <v>68</v>
      </c>
    </row>
    <row r="423" spans="1:2" x14ac:dyDescent="0.35">
      <c r="A423" t="s">
        <v>31</v>
      </c>
      <c r="B423">
        <v>64</v>
      </c>
    </row>
    <row r="424" spans="1:2" x14ac:dyDescent="0.35">
      <c r="A424" t="s">
        <v>32</v>
      </c>
      <c r="B424">
        <v>127</v>
      </c>
    </row>
    <row r="426" spans="1:2" x14ac:dyDescent="0.35">
      <c r="A426" t="s">
        <v>74</v>
      </c>
    </row>
    <row r="427" spans="1:2" x14ac:dyDescent="0.35">
      <c r="A427" t="s">
        <v>26</v>
      </c>
      <c r="B427">
        <v>127</v>
      </c>
    </row>
    <row r="428" spans="1:2" x14ac:dyDescent="0.35">
      <c r="A428" t="s">
        <v>27</v>
      </c>
      <c r="B428">
        <v>36</v>
      </c>
    </row>
    <row r="429" spans="1:2" x14ac:dyDescent="0.35">
      <c r="A429" t="s">
        <v>28</v>
      </c>
      <c r="B429">
        <v>76</v>
      </c>
    </row>
    <row r="430" spans="1:2" x14ac:dyDescent="0.35">
      <c r="A430" t="s">
        <v>29</v>
      </c>
      <c r="B430">
        <v>64</v>
      </c>
    </row>
    <row r="431" spans="1:2" x14ac:dyDescent="0.35">
      <c r="A431" t="s">
        <v>30</v>
      </c>
      <c r="B431">
        <v>68</v>
      </c>
    </row>
    <row r="432" spans="1:2" x14ac:dyDescent="0.35">
      <c r="A432" t="s">
        <v>31</v>
      </c>
      <c r="B432">
        <v>64</v>
      </c>
    </row>
    <row r="433" spans="1:2" x14ac:dyDescent="0.35">
      <c r="A433" t="s">
        <v>32</v>
      </c>
      <c r="B433">
        <v>127</v>
      </c>
    </row>
    <row r="435" spans="1:2" x14ac:dyDescent="0.35">
      <c r="A435" t="s">
        <v>75</v>
      </c>
    </row>
    <row r="436" spans="1:2" x14ac:dyDescent="0.35">
      <c r="A436" t="s">
        <v>26</v>
      </c>
      <c r="B436">
        <v>88</v>
      </c>
    </row>
    <row r="437" spans="1:2" x14ac:dyDescent="0.35">
      <c r="A437" t="s">
        <v>27</v>
      </c>
      <c r="B437">
        <v>56</v>
      </c>
    </row>
    <row r="438" spans="1:2" x14ac:dyDescent="0.35">
      <c r="A438" t="s">
        <v>28</v>
      </c>
      <c r="B438">
        <v>64</v>
      </c>
    </row>
    <row r="439" spans="1:2" x14ac:dyDescent="0.35">
      <c r="A439" t="s">
        <v>29</v>
      </c>
      <c r="B439">
        <v>64</v>
      </c>
    </row>
    <row r="440" spans="1:2" x14ac:dyDescent="0.35">
      <c r="A440" t="s">
        <v>30</v>
      </c>
      <c r="B440">
        <v>64</v>
      </c>
    </row>
    <row r="441" spans="1:2" x14ac:dyDescent="0.35">
      <c r="A441" t="s">
        <v>31</v>
      </c>
      <c r="B441">
        <v>64</v>
      </c>
    </row>
    <row r="442" spans="1:2" x14ac:dyDescent="0.35">
      <c r="A442" t="s">
        <v>32</v>
      </c>
      <c r="B442">
        <v>127</v>
      </c>
    </row>
    <row r="444" spans="1:2" x14ac:dyDescent="0.35">
      <c r="A444" t="s">
        <v>76</v>
      </c>
    </row>
    <row r="445" spans="1:2" x14ac:dyDescent="0.35">
      <c r="A445" t="s">
        <v>26</v>
      </c>
      <c r="B445">
        <v>127</v>
      </c>
    </row>
    <row r="446" spans="1:2" x14ac:dyDescent="0.35">
      <c r="A446" t="s">
        <v>27</v>
      </c>
      <c r="B446">
        <v>52</v>
      </c>
    </row>
    <row r="447" spans="1:2" x14ac:dyDescent="0.35">
      <c r="A447" t="s">
        <v>28</v>
      </c>
      <c r="B447">
        <v>68</v>
      </c>
    </row>
    <row r="448" spans="1:2" x14ac:dyDescent="0.35">
      <c r="A448" t="s">
        <v>29</v>
      </c>
      <c r="B448">
        <v>64</v>
      </c>
    </row>
    <row r="449" spans="1:2" x14ac:dyDescent="0.35">
      <c r="A449" t="s">
        <v>30</v>
      </c>
      <c r="B449">
        <v>64</v>
      </c>
    </row>
    <row r="450" spans="1:2" x14ac:dyDescent="0.35">
      <c r="A450" t="s">
        <v>31</v>
      </c>
      <c r="B450">
        <v>64</v>
      </c>
    </row>
    <row r="451" spans="1:2" x14ac:dyDescent="0.35">
      <c r="A451" t="s">
        <v>32</v>
      </c>
      <c r="B451">
        <v>0</v>
      </c>
    </row>
    <row r="453" spans="1:2" x14ac:dyDescent="0.35">
      <c r="A453" t="s">
        <v>77</v>
      </c>
    </row>
    <row r="454" spans="1:2" x14ac:dyDescent="0.35">
      <c r="A454" t="s">
        <v>26</v>
      </c>
      <c r="B454">
        <v>127</v>
      </c>
    </row>
    <row r="455" spans="1:2" x14ac:dyDescent="0.35">
      <c r="A455" t="s">
        <v>27</v>
      </c>
      <c r="B455">
        <v>64</v>
      </c>
    </row>
    <row r="456" spans="1:2" x14ac:dyDescent="0.35">
      <c r="A456" t="s">
        <v>28</v>
      </c>
      <c r="B456">
        <v>84</v>
      </c>
    </row>
    <row r="457" spans="1:2" x14ac:dyDescent="0.35">
      <c r="A457" t="s">
        <v>29</v>
      </c>
      <c r="B457">
        <v>100</v>
      </c>
    </row>
    <row r="458" spans="1:2" x14ac:dyDescent="0.35">
      <c r="A458" t="s">
        <v>30</v>
      </c>
      <c r="B458">
        <v>76</v>
      </c>
    </row>
    <row r="459" spans="1:2" x14ac:dyDescent="0.35">
      <c r="A459" t="s">
        <v>31</v>
      </c>
      <c r="B459">
        <v>64</v>
      </c>
    </row>
    <row r="460" spans="1:2" x14ac:dyDescent="0.35">
      <c r="A460" t="s">
        <v>32</v>
      </c>
      <c r="B460">
        <v>127</v>
      </c>
    </row>
    <row r="462" spans="1:2" x14ac:dyDescent="0.35">
      <c r="A462" t="s">
        <v>78</v>
      </c>
    </row>
    <row r="463" spans="1:2" x14ac:dyDescent="0.35">
      <c r="A463" t="s">
        <v>26</v>
      </c>
      <c r="B463">
        <v>127</v>
      </c>
    </row>
    <row r="464" spans="1:2" x14ac:dyDescent="0.35">
      <c r="A464" t="s">
        <v>27</v>
      </c>
      <c r="B464">
        <v>127</v>
      </c>
    </row>
    <row r="465" spans="1:2" x14ac:dyDescent="0.35">
      <c r="A465" t="s">
        <v>28</v>
      </c>
      <c r="B465">
        <v>88</v>
      </c>
    </row>
    <row r="466" spans="1:2" x14ac:dyDescent="0.35">
      <c r="A466" t="s">
        <v>29</v>
      </c>
      <c r="B466">
        <v>76</v>
      </c>
    </row>
    <row r="467" spans="1:2" x14ac:dyDescent="0.35">
      <c r="A467" t="s">
        <v>30</v>
      </c>
      <c r="B467">
        <v>80</v>
      </c>
    </row>
    <row r="468" spans="1:2" x14ac:dyDescent="0.35">
      <c r="A468" t="s">
        <v>31</v>
      </c>
      <c r="B468">
        <v>64</v>
      </c>
    </row>
    <row r="469" spans="1:2" x14ac:dyDescent="0.35">
      <c r="A469" t="s">
        <v>32</v>
      </c>
      <c r="B469">
        <v>127</v>
      </c>
    </row>
    <row r="471" spans="1:2" x14ac:dyDescent="0.35">
      <c r="A471" t="s">
        <v>79</v>
      </c>
    </row>
    <row r="472" spans="1:2" x14ac:dyDescent="0.35">
      <c r="A472" t="s">
        <v>26</v>
      </c>
      <c r="B472">
        <v>127</v>
      </c>
    </row>
    <row r="473" spans="1:2" x14ac:dyDescent="0.35">
      <c r="A473" t="s">
        <v>27</v>
      </c>
      <c r="B473">
        <v>28</v>
      </c>
    </row>
    <row r="474" spans="1:2" x14ac:dyDescent="0.35">
      <c r="A474" t="s">
        <v>28</v>
      </c>
      <c r="B474">
        <v>84</v>
      </c>
    </row>
    <row r="475" spans="1:2" x14ac:dyDescent="0.35">
      <c r="A475" t="s">
        <v>29</v>
      </c>
      <c r="B475">
        <v>76</v>
      </c>
    </row>
    <row r="476" spans="1:2" x14ac:dyDescent="0.35">
      <c r="A476" t="s">
        <v>30</v>
      </c>
      <c r="B476">
        <v>64</v>
      </c>
    </row>
    <row r="477" spans="1:2" x14ac:dyDescent="0.35">
      <c r="A477" t="s">
        <v>31</v>
      </c>
      <c r="B477">
        <v>64</v>
      </c>
    </row>
    <row r="478" spans="1:2" x14ac:dyDescent="0.35">
      <c r="A478" t="s">
        <v>32</v>
      </c>
      <c r="B478">
        <v>127</v>
      </c>
    </row>
    <row r="480" spans="1:2" x14ac:dyDescent="0.35">
      <c r="A480" t="s">
        <v>80</v>
      </c>
    </row>
    <row r="481" spans="1:2" x14ac:dyDescent="0.35">
      <c r="A481" t="s">
        <v>26</v>
      </c>
      <c r="B481">
        <v>127</v>
      </c>
    </row>
    <row r="482" spans="1:2" x14ac:dyDescent="0.35">
      <c r="A482" t="s">
        <v>27</v>
      </c>
      <c r="B482">
        <v>64</v>
      </c>
    </row>
    <row r="483" spans="1:2" x14ac:dyDescent="0.35">
      <c r="A483" t="s">
        <v>28</v>
      </c>
      <c r="B483">
        <v>68</v>
      </c>
    </row>
    <row r="484" spans="1:2" x14ac:dyDescent="0.35">
      <c r="A484" t="s">
        <v>29</v>
      </c>
      <c r="B484">
        <v>32</v>
      </c>
    </row>
    <row r="485" spans="1:2" x14ac:dyDescent="0.35">
      <c r="A485" t="s">
        <v>30</v>
      </c>
      <c r="B485">
        <v>64</v>
      </c>
    </row>
    <row r="486" spans="1:2" x14ac:dyDescent="0.35">
      <c r="A486" t="s">
        <v>31</v>
      </c>
      <c r="B486">
        <v>64</v>
      </c>
    </row>
    <row r="487" spans="1:2" x14ac:dyDescent="0.35">
      <c r="A487" t="s">
        <v>32</v>
      </c>
      <c r="B487">
        <v>0</v>
      </c>
    </row>
    <row r="489" spans="1:2" x14ac:dyDescent="0.35">
      <c r="A489" t="s">
        <v>81</v>
      </c>
    </row>
    <row r="490" spans="1:2" x14ac:dyDescent="0.35">
      <c r="A490" t="s">
        <v>26</v>
      </c>
      <c r="B490">
        <v>127</v>
      </c>
    </row>
    <row r="491" spans="1:2" x14ac:dyDescent="0.35">
      <c r="A491" t="s">
        <v>27</v>
      </c>
      <c r="B491">
        <v>64</v>
      </c>
    </row>
    <row r="492" spans="1:2" x14ac:dyDescent="0.35">
      <c r="A492" t="s">
        <v>28</v>
      </c>
      <c r="B492">
        <v>68</v>
      </c>
    </row>
    <row r="493" spans="1:2" x14ac:dyDescent="0.35">
      <c r="A493" t="s">
        <v>29</v>
      </c>
      <c r="B493">
        <v>32</v>
      </c>
    </row>
    <row r="494" spans="1:2" x14ac:dyDescent="0.35">
      <c r="A494" t="s">
        <v>30</v>
      </c>
      <c r="B494">
        <v>64</v>
      </c>
    </row>
    <row r="495" spans="1:2" x14ac:dyDescent="0.35">
      <c r="A495" t="s">
        <v>31</v>
      </c>
      <c r="B495">
        <v>64</v>
      </c>
    </row>
    <row r="496" spans="1:2" x14ac:dyDescent="0.35">
      <c r="A496" t="s">
        <v>32</v>
      </c>
      <c r="B496">
        <v>0</v>
      </c>
    </row>
    <row r="498" spans="1:2" x14ac:dyDescent="0.35">
      <c r="A498" t="s">
        <v>82</v>
      </c>
    </row>
    <row r="499" spans="1:2" x14ac:dyDescent="0.35">
      <c r="A499" t="s">
        <v>26</v>
      </c>
      <c r="B499">
        <v>127</v>
      </c>
    </row>
    <row r="500" spans="1:2" x14ac:dyDescent="0.35">
      <c r="A500" t="s">
        <v>27</v>
      </c>
      <c r="B500">
        <v>64</v>
      </c>
    </row>
    <row r="501" spans="1:2" x14ac:dyDescent="0.35">
      <c r="A501" t="s">
        <v>28</v>
      </c>
      <c r="B501">
        <v>76</v>
      </c>
    </row>
    <row r="502" spans="1:2" x14ac:dyDescent="0.35">
      <c r="A502" t="s">
        <v>29</v>
      </c>
      <c r="B502">
        <v>32</v>
      </c>
    </row>
    <row r="503" spans="1:2" x14ac:dyDescent="0.35">
      <c r="A503" t="s">
        <v>30</v>
      </c>
      <c r="B503">
        <v>64</v>
      </c>
    </row>
    <row r="504" spans="1:2" x14ac:dyDescent="0.35">
      <c r="A504" t="s">
        <v>31</v>
      </c>
      <c r="B504">
        <v>64</v>
      </c>
    </row>
    <row r="505" spans="1:2" x14ac:dyDescent="0.35">
      <c r="A505" t="s">
        <v>32</v>
      </c>
      <c r="B505">
        <v>0</v>
      </c>
    </row>
    <row r="507" spans="1:2" x14ac:dyDescent="0.35">
      <c r="A507" t="s">
        <v>83</v>
      </c>
    </row>
    <row r="508" spans="1:2" x14ac:dyDescent="0.35">
      <c r="A508" t="s">
        <v>26</v>
      </c>
      <c r="B508">
        <v>127</v>
      </c>
    </row>
    <row r="509" spans="1:2" x14ac:dyDescent="0.35">
      <c r="A509" t="s">
        <v>27</v>
      </c>
      <c r="B509">
        <v>64</v>
      </c>
    </row>
    <row r="510" spans="1:2" x14ac:dyDescent="0.35">
      <c r="A510" t="s">
        <v>28</v>
      </c>
      <c r="B510">
        <v>76</v>
      </c>
    </row>
    <row r="511" spans="1:2" x14ac:dyDescent="0.35">
      <c r="A511" t="s">
        <v>29</v>
      </c>
      <c r="B511">
        <v>80</v>
      </c>
    </row>
    <row r="512" spans="1:2" x14ac:dyDescent="0.35">
      <c r="A512" t="s">
        <v>30</v>
      </c>
      <c r="B512">
        <v>64</v>
      </c>
    </row>
    <row r="513" spans="1:2" x14ac:dyDescent="0.35">
      <c r="A513" t="s">
        <v>31</v>
      </c>
      <c r="B513">
        <v>64</v>
      </c>
    </row>
    <row r="514" spans="1:2" x14ac:dyDescent="0.35">
      <c r="A514" t="s">
        <v>32</v>
      </c>
      <c r="B514">
        <v>0</v>
      </c>
    </row>
    <row r="516" spans="1:2" x14ac:dyDescent="0.35">
      <c r="A516" t="s">
        <v>83</v>
      </c>
    </row>
    <row r="517" spans="1:2" x14ac:dyDescent="0.35">
      <c r="A517" t="s">
        <v>26</v>
      </c>
      <c r="B517">
        <v>127</v>
      </c>
    </row>
    <row r="518" spans="1:2" x14ac:dyDescent="0.35">
      <c r="A518" t="s">
        <v>27</v>
      </c>
      <c r="B518">
        <v>64</v>
      </c>
    </row>
    <row r="519" spans="1:2" x14ac:dyDescent="0.35">
      <c r="A519" t="s">
        <v>28</v>
      </c>
      <c r="B519">
        <v>76</v>
      </c>
    </row>
    <row r="520" spans="1:2" x14ac:dyDescent="0.35">
      <c r="A520" t="s">
        <v>29</v>
      </c>
      <c r="B520">
        <v>80</v>
      </c>
    </row>
    <row r="521" spans="1:2" x14ac:dyDescent="0.35">
      <c r="A521" t="s">
        <v>30</v>
      </c>
      <c r="B521">
        <v>64</v>
      </c>
    </row>
    <row r="522" spans="1:2" x14ac:dyDescent="0.35">
      <c r="A522" t="s">
        <v>31</v>
      </c>
      <c r="B522">
        <v>64</v>
      </c>
    </row>
    <row r="523" spans="1:2" x14ac:dyDescent="0.35">
      <c r="A523" t="s">
        <v>32</v>
      </c>
      <c r="B523">
        <v>0</v>
      </c>
    </row>
    <row r="525" spans="1:2" x14ac:dyDescent="0.35">
      <c r="A525" t="s">
        <v>84</v>
      </c>
    </row>
    <row r="526" spans="1:2" x14ac:dyDescent="0.35">
      <c r="A526" t="s">
        <v>26</v>
      </c>
      <c r="B526">
        <v>88</v>
      </c>
    </row>
    <row r="527" spans="1:2" x14ac:dyDescent="0.35">
      <c r="A527" t="s">
        <v>27</v>
      </c>
      <c r="B527">
        <v>72</v>
      </c>
    </row>
    <row r="528" spans="1:2" x14ac:dyDescent="0.35">
      <c r="A528" t="s">
        <v>28</v>
      </c>
      <c r="B528">
        <v>80</v>
      </c>
    </row>
    <row r="529" spans="1:2" x14ac:dyDescent="0.35">
      <c r="A529" t="s">
        <v>29</v>
      </c>
      <c r="B529">
        <v>80</v>
      </c>
    </row>
    <row r="530" spans="1:2" x14ac:dyDescent="0.35">
      <c r="A530" t="s">
        <v>30</v>
      </c>
      <c r="B530">
        <v>64</v>
      </c>
    </row>
    <row r="531" spans="1:2" x14ac:dyDescent="0.35">
      <c r="A531" t="s">
        <v>31</v>
      </c>
      <c r="B531">
        <v>64</v>
      </c>
    </row>
    <row r="532" spans="1:2" x14ac:dyDescent="0.35">
      <c r="A532" t="s">
        <v>32</v>
      </c>
      <c r="B532">
        <v>127</v>
      </c>
    </row>
    <row r="534" spans="1:2" x14ac:dyDescent="0.35">
      <c r="A534" t="s">
        <v>85</v>
      </c>
    </row>
    <row r="535" spans="1:2" x14ac:dyDescent="0.35">
      <c r="A535" t="s">
        <v>26</v>
      </c>
      <c r="B535">
        <v>88</v>
      </c>
    </row>
    <row r="536" spans="1:2" x14ac:dyDescent="0.35">
      <c r="A536" t="s">
        <v>27</v>
      </c>
      <c r="B536">
        <v>72</v>
      </c>
    </row>
    <row r="537" spans="1:2" x14ac:dyDescent="0.35">
      <c r="A537" t="s">
        <v>28</v>
      </c>
      <c r="B537">
        <v>80</v>
      </c>
    </row>
    <row r="538" spans="1:2" x14ac:dyDescent="0.35">
      <c r="A538" t="s">
        <v>29</v>
      </c>
      <c r="B538">
        <v>80</v>
      </c>
    </row>
    <row r="539" spans="1:2" x14ac:dyDescent="0.35">
      <c r="A539" t="s">
        <v>30</v>
      </c>
      <c r="B539">
        <v>64</v>
      </c>
    </row>
    <row r="540" spans="1:2" x14ac:dyDescent="0.35">
      <c r="A540" t="s">
        <v>31</v>
      </c>
      <c r="B540">
        <v>64</v>
      </c>
    </row>
    <row r="541" spans="1:2" x14ac:dyDescent="0.35">
      <c r="A541" t="s">
        <v>32</v>
      </c>
      <c r="B541">
        <v>127</v>
      </c>
    </row>
    <row r="543" spans="1:2" x14ac:dyDescent="0.35">
      <c r="A543" t="s">
        <v>86</v>
      </c>
    </row>
    <row r="544" spans="1:2" x14ac:dyDescent="0.35">
      <c r="A544" t="s">
        <v>26</v>
      </c>
      <c r="B544">
        <v>127</v>
      </c>
    </row>
    <row r="545" spans="1:2" x14ac:dyDescent="0.35">
      <c r="A545" t="s">
        <v>27</v>
      </c>
      <c r="B545">
        <v>64</v>
      </c>
    </row>
    <row r="546" spans="1:2" x14ac:dyDescent="0.35">
      <c r="A546" t="s">
        <v>28</v>
      </c>
      <c r="B546">
        <v>76</v>
      </c>
    </row>
    <row r="547" spans="1:2" x14ac:dyDescent="0.35">
      <c r="A547" t="s">
        <v>29</v>
      </c>
      <c r="B547">
        <v>64</v>
      </c>
    </row>
    <row r="548" spans="1:2" x14ac:dyDescent="0.35">
      <c r="A548" t="s">
        <v>30</v>
      </c>
      <c r="B548">
        <v>68</v>
      </c>
    </row>
    <row r="549" spans="1:2" x14ac:dyDescent="0.35">
      <c r="A549" t="s">
        <v>31</v>
      </c>
      <c r="B549">
        <v>64</v>
      </c>
    </row>
    <row r="550" spans="1:2" x14ac:dyDescent="0.35">
      <c r="A550" t="s">
        <v>32</v>
      </c>
      <c r="B550">
        <v>127</v>
      </c>
    </row>
    <row r="552" spans="1:2" x14ac:dyDescent="0.35">
      <c r="A552" t="s">
        <v>87</v>
      </c>
    </row>
    <row r="553" spans="1:2" x14ac:dyDescent="0.35">
      <c r="A553" t="s">
        <v>26</v>
      </c>
      <c r="B553">
        <v>127</v>
      </c>
    </row>
    <row r="554" spans="1:2" x14ac:dyDescent="0.35">
      <c r="A554" t="s">
        <v>27</v>
      </c>
      <c r="B554">
        <v>64</v>
      </c>
    </row>
    <row r="555" spans="1:2" x14ac:dyDescent="0.35">
      <c r="A555" t="s">
        <v>28</v>
      </c>
      <c r="B555">
        <v>72</v>
      </c>
    </row>
    <row r="556" spans="1:2" x14ac:dyDescent="0.35">
      <c r="A556" t="s">
        <v>29</v>
      </c>
      <c r="B556">
        <v>64</v>
      </c>
    </row>
    <row r="557" spans="1:2" x14ac:dyDescent="0.35">
      <c r="A557" t="s">
        <v>30</v>
      </c>
      <c r="B557">
        <v>68</v>
      </c>
    </row>
    <row r="558" spans="1:2" x14ac:dyDescent="0.35">
      <c r="A558" t="s">
        <v>31</v>
      </c>
      <c r="B558">
        <v>64</v>
      </c>
    </row>
    <row r="559" spans="1:2" x14ac:dyDescent="0.35">
      <c r="A559" t="s">
        <v>32</v>
      </c>
      <c r="B559">
        <v>127</v>
      </c>
    </row>
    <row r="561" spans="1:2" x14ac:dyDescent="0.35">
      <c r="A561" t="s">
        <v>88</v>
      </c>
    </row>
    <row r="562" spans="1:2" x14ac:dyDescent="0.35">
      <c r="A562" t="s">
        <v>26</v>
      </c>
      <c r="B562">
        <v>127</v>
      </c>
    </row>
    <row r="563" spans="1:2" x14ac:dyDescent="0.35">
      <c r="A563" t="s">
        <v>27</v>
      </c>
      <c r="B563">
        <v>64</v>
      </c>
    </row>
    <row r="564" spans="1:2" x14ac:dyDescent="0.35">
      <c r="A564" t="s">
        <v>28</v>
      </c>
      <c r="B564">
        <v>76</v>
      </c>
    </row>
    <row r="565" spans="1:2" x14ac:dyDescent="0.35">
      <c r="A565" t="s">
        <v>29</v>
      </c>
      <c r="B565">
        <v>64</v>
      </c>
    </row>
    <row r="566" spans="1:2" x14ac:dyDescent="0.35">
      <c r="A566" t="s">
        <v>30</v>
      </c>
      <c r="B566">
        <v>68</v>
      </c>
    </row>
    <row r="567" spans="1:2" x14ac:dyDescent="0.35">
      <c r="A567" t="s">
        <v>31</v>
      </c>
      <c r="B567">
        <v>64</v>
      </c>
    </row>
    <row r="568" spans="1:2" x14ac:dyDescent="0.35">
      <c r="A568" t="s">
        <v>32</v>
      </c>
      <c r="B568">
        <v>127</v>
      </c>
    </row>
    <row r="570" spans="1:2" x14ac:dyDescent="0.35">
      <c r="A570" t="s">
        <v>89</v>
      </c>
    </row>
    <row r="571" spans="1:2" x14ac:dyDescent="0.35">
      <c r="A571" t="s">
        <v>26</v>
      </c>
      <c r="B571">
        <v>84</v>
      </c>
    </row>
    <row r="572" spans="1:2" x14ac:dyDescent="0.35">
      <c r="A572" t="s">
        <v>27</v>
      </c>
      <c r="B572">
        <v>64</v>
      </c>
    </row>
    <row r="573" spans="1:2" x14ac:dyDescent="0.35">
      <c r="A573" t="s">
        <v>28</v>
      </c>
      <c r="B573">
        <v>64</v>
      </c>
    </row>
    <row r="574" spans="1:2" x14ac:dyDescent="0.35">
      <c r="A574" t="s">
        <v>29</v>
      </c>
      <c r="B574">
        <v>64</v>
      </c>
    </row>
    <row r="575" spans="1:2" x14ac:dyDescent="0.35">
      <c r="A575" t="s">
        <v>30</v>
      </c>
      <c r="B575">
        <v>64</v>
      </c>
    </row>
    <row r="576" spans="1:2" x14ac:dyDescent="0.35">
      <c r="A576" t="s">
        <v>31</v>
      </c>
      <c r="B576">
        <v>64</v>
      </c>
    </row>
    <row r="577" spans="1:2" x14ac:dyDescent="0.35">
      <c r="A577" t="s">
        <v>32</v>
      </c>
      <c r="B577">
        <v>127</v>
      </c>
    </row>
    <row r="579" spans="1:2" x14ac:dyDescent="0.35">
      <c r="A579" t="s">
        <v>90</v>
      </c>
    </row>
    <row r="580" spans="1:2" x14ac:dyDescent="0.35">
      <c r="A580" t="s">
        <v>26</v>
      </c>
      <c r="B580">
        <v>84</v>
      </c>
    </row>
    <row r="581" spans="1:2" x14ac:dyDescent="0.35">
      <c r="A581" t="s">
        <v>27</v>
      </c>
      <c r="B581">
        <v>64</v>
      </c>
    </row>
    <row r="582" spans="1:2" x14ac:dyDescent="0.35">
      <c r="A582" t="s">
        <v>28</v>
      </c>
      <c r="B582">
        <v>64</v>
      </c>
    </row>
    <row r="583" spans="1:2" x14ac:dyDescent="0.35">
      <c r="A583" t="s">
        <v>29</v>
      </c>
      <c r="B583">
        <v>64</v>
      </c>
    </row>
    <row r="584" spans="1:2" x14ac:dyDescent="0.35">
      <c r="A584" t="s">
        <v>30</v>
      </c>
      <c r="B584">
        <v>64</v>
      </c>
    </row>
    <row r="585" spans="1:2" x14ac:dyDescent="0.35">
      <c r="A585" t="s">
        <v>31</v>
      </c>
      <c r="B585">
        <v>64</v>
      </c>
    </row>
    <row r="586" spans="1:2" x14ac:dyDescent="0.35">
      <c r="A586" t="s">
        <v>32</v>
      </c>
      <c r="B586">
        <v>127</v>
      </c>
    </row>
    <row r="588" spans="1:2" x14ac:dyDescent="0.35">
      <c r="A588" t="s">
        <v>91</v>
      </c>
    </row>
    <row r="589" spans="1:2" x14ac:dyDescent="0.35">
      <c r="A589" t="s">
        <v>26</v>
      </c>
      <c r="B589">
        <v>88</v>
      </c>
    </row>
    <row r="590" spans="1:2" x14ac:dyDescent="0.35">
      <c r="A590" t="s">
        <v>27</v>
      </c>
      <c r="B590">
        <v>56</v>
      </c>
    </row>
    <row r="591" spans="1:2" x14ac:dyDescent="0.35">
      <c r="A591" t="s">
        <v>28</v>
      </c>
      <c r="B591">
        <v>64</v>
      </c>
    </row>
    <row r="592" spans="1:2" x14ac:dyDescent="0.35">
      <c r="A592" t="s">
        <v>29</v>
      </c>
      <c r="B592">
        <v>64</v>
      </c>
    </row>
    <row r="593" spans="1:2" x14ac:dyDescent="0.35">
      <c r="A593" t="s">
        <v>30</v>
      </c>
      <c r="B593">
        <v>64</v>
      </c>
    </row>
    <row r="594" spans="1:2" x14ac:dyDescent="0.35">
      <c r="A594" t="s">
        <v>31</v>
      </c>
      <c r="B594">
        <v>64</v>
      </c>
    </row>
    <row r="595" spans="1:2" x14ac:dyDescent="0.35">
      <c r="A595" t="s">
        <v>32</v>
      </c>
      <c r="B595">
        <v>127</v>
      </c>
    </row>
    <row r="597" spans="1:2" x14ac:dyDescent="0.35">
      <c r="A597" t="s">
        <v>92</v>
      </c>
    </row>
    <row r="598" spans="1:2" x14ac:dyDescent="0.35">
      <c r="A598" t="s">
        <v>26</v>
      </c>
      <c r="B598">
        <v>80</v>
      </c>
    </row>
    <row r="599" spans="1:2" x14ac:dyDescent="0.35">
      <c r="A599" t="s">
        <v>27</v>
      </c>
      <c r="B599">
        <v>72</v>
      </c>
    </row>
    <row r="600" spans="1:2" x14ac:dyDescent="0.35">
      <c r="A600" t="s">
        <v>28</v>
      </c>
      <c r="B600">
        <v>64</v>
      </c>
    </row>
    <row r="601" spans="1:2" x14ac:dyDescent="0.35">
      <c r="A601" t="s">
        <v>29</v>
      </c>
      <c r="B601">
        <v>64</v>
      </c>
    </row>
    <row r="602" spans="1:2" x14ac:dyDescent="0.35">
      <c r="A602" t="s">
        <v>30</v>
      </c>
      <c r="B602">
        <v>64</v>
      </c>
    </row>
    <row r="603" spans="1:2" x14ac:dyDescent="0.35">
      <c r="A603" t="s">
        <v>31</v>
      </c>
      <c r="B603">
        <v>64</v>
      </c>
    </row>
    <row r="604" spans="1:2" x14ac:dyDescent="0.35">
      <c r="A604" t="s">
        <v>32</v>
      </c>
      <c r="B604">
        <v>127</v>
      </c>
    </row>
    <row r="606" spans="1:2" x14ac:dyDescent="0.35">
      <c r="A606" t="s">
        <v>93</v>
      </c>
    </row>
    <row r="607" spans="1:2" x14ac:dyDescent="0.35">
      <c r="A607" t="s">
        <v>26</v>
      </c>
      <c r="B607">
        <v>72</v>
      </c>
    </row>
    <row r="608" spans="1:2" x14ac:dyDescent="0.35">
      <c r="A608" t="s">
        <v>27</v>
      </c>
      <c r="B608">
        <v>72</v>
      </c>
    </row>
    <row r="609" spans="1:2" x14ac:dyDescent="0.35">
      <c r="A609" t="s">
        <v>28</v>
      </c>
      <c r="B609">
        <v>64</v>
      </c>
    </row>
    <row r="610" spans="1:2" x14ac:dyDescent="0.35">
      <c r="A610" t="s">
        <v>29</v>
      </c>
      <c r="B610">
        <v>64</v>
      </c>
    </row>
    <row r="611" spans="1:2" x14ac:dyDescent="0.35">
      <c r="A611" t="s">
        <v>30</v>
      </c>
      <c r="B611">
        <v>64</v>
      </c>
    </row>
    <row r="612" spans="1:2" x14ac:dyDescent="0.35">
      <c r="A612" t="s">
        <v>31</v>
      </c>
      <c r="B612">
        <v>64</v>
      </c>
    </row>
    <row r="613" spans="1:2" x14ac:dyDescent="0.35">
      <c r="A613" t="s">
        <v>32</v>
      </c>
      <c r="B613">
        <v>127</v>
      </c>
    </row>
    <row r="615" spans="1:2" x14ac:dyDescent="0.35">
      <c r="A615" t="s">
        <v>94</v>
      </c>
    </row>
    <row r="616" spans="1:2" x14ac:dyDescent="0.35">
      <c r="A616" t="s">
        <v>26</v>
      </c>
      <c r="B616">
        <v>72</v>
      </c>
    </row>
    <row r="617" spans="1:2" x14ac:dyDescent="0.35">
      <c r="A617" t="s">
        <v>27</v>
      </c>
      <c r="B617">
        <v>72</v>
      </c>
    </row>
    <row r="618" spans="1:2" x14ac:dyDescent="0.35">
      <c r="A618" t="s">
        <v>28</v>
      </c>
      <c r="B618">
        <v>64</v>
      </c>
    </row>
    <row r="619" spans="1:2" x14ac:dyDescent="0.35">
      <c r="A619" t="s">
        <v>29</v>
      </c>
      <c r="B619">
        <v>64</v>
      </c>
    </row>
    <row r="620" spans="1:2" x14ac:dyDescent="0.35">
      <c r="A620" t="s">
        <v>30</v>
      </c>
      <c r="B620">
        <v>64</v>
      </c>
    </row>
    <row r="621" spans="1:2" x14ac:dyDescent="0.35">
      <c r="A621" t="s">
        <v>31</v>
      </c>
      <c r="B621">
        <v>64</v>
      </c>
    </row>
    <row r="622" spans="1:2" x14ac:dyDescent="0.35">
      <c r="A622" t="s">
        <v>32</v>
      </c>
      <c r="B622">
        <v>127</v>
      </c>
    </row>
    <row r="624" spans="1:2" x14ac:dyDescent="0.35">
      <c r="A624" t="s">
        <v>95</v>
      </c>
    </row>
    <row r="625" spans="1:2" x14ac:dyDescent="0.35">
      <c r="A625" t="s">
        <v>26</v>
      </c>
      <c r="B625">
        <v>72</v>
      </c>
    </row>
    <row r="626" spans="1:2" x14ac:dyDescent="0.35">
      <c r="A626" t="s">
        <v>27</v>
      </c>
      <c r="B626">
        <v>72</v>
      </c>
    </row>
    <row r="627" spans="1:2" x14ac:dyDescent="0.35">
      <c r="A627" t="s">
        <v>28</v>
      </c>
      <c r="B627">
        <v>64</v>
      </c>
    </row>
    <row r="628" spans="1:2" x14ac:dyDescent="0.35">
      <c r="A628" t="s">
        <v>29</v>
      </c>
      <c r="B628">
        <v>64</v>
      </c>
    </row>
    <row r="629" spans="1:2" x14ac:dyDescent="0.35">
      <c r="A629" t="s">
        <v>30</v>
      </c>
      <c r="B629">
        <v>64</v>
      </c>
    </row>
    <row r="630" spans="1:2" x14ac:dyDescent="0.35">
      <c r="A630" t="s">
        <v>31</v>
      </c>
      <c r="B630">
        <v>64</v>
      </c>
    </row>
    <row r="631" spans="1:2" x14ac:dyDescent="0.35">
      <c r="A631" t="s">
        <v>32</v>
      </c>
      <c r="B631">
        <v>127</v>
      </c>
    </row>
    <row r="633" spans="1:2" x14ac:dyDescent="0.35">
      <c r="A633" t="s">
        <v>96</v>
      </c>
    </row>
    <row r="634" spans="1:2" x14ac:dyDescent="0.35">
      <c r="A634" t="s">
        <v>26</v>
      </c>
      <c r="B634">
        <v>127</v>
      </c>
    </row>
    <row r="635" spans="1:2" x14ac:dyDescent="0.35">
      <c r="A635" t="s">
        <v>27</v>
      </c>
      <c r="B635">
        <v>72</v>
      </c>
    </row>
    <row r="636" spans="1:2" x14ac:dyDescent="0.35">
      <c r="A636" t="s">
        <v>28</v>
      </c>
      <c r="B636">
        <v>64</v>
      </c>
    </row>
    <row r="637" spans="1:2" x14ac:dyDescent="0.35">
      <c r="A637" t="s">
        <v>29</v>
      </c>
      <c r="B637">
        <v>64</v>
      </c>
    </row>
    <row r="638" spans="1:2" x14ac:dyDescent="0.35">
      <c r="A638" t="s">
        <v>30</v>
      </c>
      <c r="B638">
        <v>64</v>
      </c>
    </row>
    <row r="639" spans="1:2" x14ac:dyDescent="0.35">
      <c r="A639" t="s">
        <v>31</v>
      </c>
      <c r="B639">
        <v>64</v>
      </c>
    </row>
    <row r="640" spans="1:2" x14ac:dyDescent="0.35">
      <c r="A640" t="s">
        <v>32</v>
      </c>
      <c r="B640">
        <v>127</v>
      </c>
    </row>
    <row r="642" spans="1:2" x14ac:dyDescent="0.35">
      <c r="A642" t="s">
        <v>97</v>
      </c>
    </row>
    <row r="643" spans="1:2" x14ac:dyDescent="0.35">
      <c r="A643" t="s">
        <v>26</v>
      </c>
      <c r="B643">
        <v>72</v>
      </c>
    </row>
    <row r="644" spans="1:2" x14ac:dyDescent="0.35">
      <c r="A644" t="s">
        <v>27</v>
      </c>
      <c r="B644">
        <v>72</v>
      </c>
    </row>
    <row r="645" spans="1:2" x14ac:dyDescent="0.35">
      <c r="A645" t="s">
        <v>28</v>
      </c>
      <c r="B645">
        <v>64</v>
      </c>
    </row>
    <row r="646" spans="1:2" x14ac:dyDescent="0.35">
      <c r="A646" t="s">
        <v>29</v>
      </c>
      <c r="B646">
        <v>64</v>
      </c>
    </row>
    <row r="647" spans="1:2" x14ac:dyDescent="0.35">
      <c r="A647" t="s">
        <v>30</v>
      </c>
      <c r="B647">
        <v>64</v>
      </c>
    </row>
    <row r="648" spans="1:2" x14ac:dyDescent="0.35">
      <c r="A648" t="s">
        <v>31</v>
      </c>
      <c r="B648">
        <v>64</v>
      </c>
    </row>
    <row r="649" spans="1:2" x14ac:dyDescent="0.35">
      <c r="A649" t="s">
        <v>32</v>
      </c>
      <c r="B649">
        <v>127</v>
      </c>
    </row>
    <row r="651" spans="1:2" x14ac:dyDescent="0.35">
      <c r="A651" t="s">
        <v>98</v>
      </c>
    </row>
    <row r="652" spans="1:2" x14ac:dyDescent="0.35">
      <c r="A652" t="s">
        <v>26</v>
      </c>
      <c r="B652">
        <v>72</v>
      </c>
    </row>
    <row r="653" spans="1:2" x14ac:dyDescent="0.35">
      <c r="A653" t="s">
        <v>27</v>
      </c>
      <c r="B653">
        <v>72</v>
      </c>
    </row>
    <row r="654" spans="1:2" x14ac:dyDescent="0.35">
      <c r="A654" t="s">
        <v>28</v>
      </c>
      <c r="B654">
        <v>64</v>
      </c>
    </row>
    <row r="655" spans="1:2" x14ac:dyDescent="0.35">
      <c r="A655" t="s">
        <v>29</v>
      </c>
      <c r="B655">
        <v>64</v>
      </c>
    </row>
    <row r="656" spans="1:2" x14ac:dyDescent="0.35">
      <c r="A656" t="s">
        <v>30</v>
      </c>
      <c r="B656">
        <v>64</v>
      </c>
    </row>
    <row r="657" spans="1:2" x14ac:dyDescent="0.35">
      <c r="A657" t="s">
        <v>31</v>
      </c>
      <c r="B657">
        <v>64</v>
      </c>
    </row>
    <row r="658" spans="1:2" x14ac:dyDescent="0.35">
      <c r="A658" t="s">
        <v>32</v>
      </c>
      <c r="B658">
        <v>127</v>
      </c>
    </row>
    <row r="660" spans="1:2" x14ac:dyDescent="0.35">
      <c r="A660" t="s">
        <v>99</v>
      </c>
    </row>
    <row r="661" spans="1:2" x14ac:dyDescent="0.35">
      <c r="A661" t="s">
        <v>26</v>
      </c>
      <c r="B661">
        <v>72</v>
      </c>
    </row>
    <row r="662" spans="1:2" x14ac:dyDescent="0.35">
      <c r="A662" t="s">
        <v>27</v>
      </c>
      <c r="B662">
        <v>72</v>
      </c>
    </row>
    <row r="663" spans="1:2" x14ac:dyDescent="0.35">
      <c r="A663" t="s">
        <v>28</v>
      </c>
      <c r="B663">
        <v>64</v>
      </c>
    </row>
    <row r="664" spans="1:2" x14ac:dyDescent="0.35">
      <c r="A664" t="s">
        <v>29</v>
      </c>
      <c r="B664">
        <v>64</v>
      </c>
    </row>
    <row r="665" spans="1:2" x14ac:dyDescent="0.35">
      <c r="A665" t="s">
        <v>30</v>
      </c>
      <c r="B665">
        <v>64</v>
      </c>
    </row>
    <row r="666" spans="1:2" x14ac:dyDescent="0.35">
      <c r="A666" t="s">
        <v>31</v>
      </c>
      <c r="B666">
        <v>64</v>
      </c>
    </row>
    <row r="667" spans="1:2" x14ac:dyDescent="0.35">
      <c r="A667" t="s">
        <v>32</v>
      </c>
      <c r="B667">
        <v>127</v>
      </c>
    </row>
    <row r="669" spans="1:2" x14ac:dyDescent="0.35">
      <c r="A669" t="s">
        <v>100</v>
      </c>
    </row>
    <row r="670" spans="1:2" x14ac:dyDescent="0.35">
      <c r="A670" t="s">
        <v>26</v>
      </c>
      <c r="B670">
        <v>104</v>
      </c>
    </row>
    <row r="671" spans="1:2" x14ac:dyDescent="0.35">
      <c r="A671" t="s">
        <v>27</v>
      </c>
      <c r="B671">
        <v>64</v>
      </c>
    </row>
    <row r="672" spans="1:2" x14ac:dyDescent="0.35">
      <c r="A672" t="s">
        <v>28</v>
      </c>
      <c r="B672">
        <v>88</v>
      </c>
    </row>
    <row r="673" spans="1:2" x14ac:dyDescent="0.35">
      <c r="A673" t="s">
        <v>29</v>
      </c>
      <c r="B673">
        <v>104</v>
      </c>
    </row>
    <row r="674" spans="1:2" x14ac:dyDescent="0.35">
      <c r="A674" t="s">
        <v>30</v>
      </c>
      <c r="B674">
        <v>60</v>
      </c>
    </row>
    <row r="675" spans="1:2" x14ac:dyDescent="0.35">
      <c r="A675" t="s">
        <v>31</v>
      </c>
      <c r="B675">
        <v>0</v>
      </c>
    </row>
    <row r="676" spans="1:2" x14ac:dyDescent="0.35">
      <c r="A676" t="s">
        <v>32</v>
      </c>
      <c r="B676">
        <v>127</v>
      </c>
    </row>
    <row r="678" spans="1:2" x14ac:dyDescent="0.35">
      <c r="A678" t="s">
        <v>101</v>
      </c>
    </row>
    <row r="679" spans="1:2" x14ac:dyDescent="0.35">
      <c r="A679" t="s">
        <v>26</v>
      </c>
      <c r="B679">
        <v>88</v>
      </c>
    </row>
    <row r="680" spans="1:2" x14ac:dyDescent="0.35">
      <c r="A680" t="s">
        <v>27</v>
      </c>
      <c r="B680">
        <v>72</v>
      </c>
    </row>
    <row r="681" spans="1:2" x14ac:dyDescent="0.35">
      <c r="A681" t="s">
        <v>28</v>
      </c>
      <c r="B681">
        <v>80</v>
      </c>
    </row>
    <row r="682" spans="1:2" x14ac:dyDescent="0.35">
      <c r="A682" t="s">
        <v>29</v>
      </c>
      <c r="B682">
        <v>76</v>
      </c>
    </row>
    <row r="683" spans="1:2" x14ac:dyDescent="0.35">
      <c r="A683" t="s">
        <v>30</v>
      </c>
      <c r="B683">
        <v>64</v>
      </c>
    </row>
    <row r="684" spans="1:2" x14ac:dyDescent="0.35">
      <c r="A684" t="s">
        <v>31</v>
      </c>
      <c r="B684">
        <v>64</v>
      </c>
    </row>
    <row r="685" spans="1:2" x14ac:dyDescent="0.35">
      <c r="A685" t="s">
        <v>32</v>
      </c>
      <c r="B685">
        <v>127</v>
      </c>
    </row>
    <row r="687" spans="1:2" x14ac:dyDescent="0.35">
      <c r="A687" t="s">
        <v>102</v>
      </c>
    </row>
    <row r="688" spans="1:2" x14ac:dyDescent="0.35">
      <c r="A688" t="s">
        <v>26</v>
      </c>
      <c r="B688">
        <v>127</v>
      </c>
    </row>
    <row r="689" spans="1:2" x14ac:dyDescent="0.35">
      <c r="A689" t="s">
        <v>27</v>
      </c>
      <c r="B689">
        <v>64</v>
      </c>
    </row>
    <row r="690" spans="1:2" x14ac:dyDescent="0.35">
      <c r="A690" t="s">
        <v>28</v>
      </c>
      <c r="B690">
        <v>76</v>
      </c>
    </row>
    <row r="691" spans="1:2" x14ac:dyDescent="0.35">
      <c r="A691" t="s">
        <v>29</v>
      </c>
      <c r="B691">
        <v>64</v>
      </c>
    </row>
    <row r="692" spans="1:2" x14ac:dyDescent="0.35">
      <c r="A692" t="s">
        <v>30</v>
      </c>
      <c r="B692">
        <v>68</v>
      </c>
    </row>
    <row r="693" spans="1:2" x14ac:dyDescent="0.35">
      <c r="A693" t="s">
        <v>31</v>
      </c>
      <c r="B693">
        <v>64</v>
      </c>
    </row>
    <row r="694" spans="1:2" x14ac:dyDescent="0.35">
      <c r="A694" t="s">
        <v>32</v>
      </c>
      <c r="B694">
        <v>127</v>
      </c>
    </row>
    <row r="696" spans="1:2" x14ac:dyDescent="0.35">
      <c r="A696" t="s">
        <v>103</v>
      </c>
    </row>
    <row r="697" spans="1:2" x14ac:dyDescent="0.35">
      <c r="A697" t="s">
        <v>26</v>
      </c>
      <c r="B697">
        <v>104</v>
      </c>
    </row>
    <row r="698" spans="1:2" x14ac:dyDescent="0.35">
      <c r="A698" t="s">
        <v>27</v>
      </c>
      <c r="B698">
        <v>64</v>
      </c>
    </row>
    <row r="699" spans="1:2" x14ac:dyDescent="0.35">
      <c r="A699" t="s">
        <v>28</v>
      </c>
      <c r="B699">
        <v>88</v>
      </c>
    </row>
    <row r="700" spans="1:2" x14ac:dyDescent="0.35">
      <c r="A700" t="s">
        <v>29</v>
      </c>
      <c r="B700">
        <v>104</v>
      </c>
    </row>
    <row r="701" spans="1:2" x14ac:dyDescent="0.35">
      <c r="A701" t="s">
        <v>30</v>
      </c>
      <c r="B701">
        <v>60</v>
      </c>
    </row>
    <row r="702" spans="1:2" x14ac:dyDescent="0.35">
      <c r="A702" t="s">
        <v>31</v>
      </c>
      <c r="B702">
        <v>0</v>
      </c>
    </row>
    <row r="703" spans="1:2" x14ac:dyDescent="0.35">
      <c r="A703" t="s">
        <v>32</v>
      </c>
      <c r="B703">
        <v>127</v>
      </c>
    </row>
    <row r="705" spans="1:2" x14ac:dyDescent="0.35">
      <c r="A705" t="s">
        <v>55</v>
      </c>
    </row>
    <row r="706" spans="1:2" x14ac:dyDescent="0.35">
      <c r="A706" t="s">
        <v>26</v>
      </c>
      <c r="B706">
        <v>88</v>
      </c>
    </row>
    <row r="707" spans="1:2" x14ac:dyDescent="0.35">
      <c r="A707" t="s">
        <v>27</v>
      </c>
      <c r="B707">
        <v>72</v>
      </c>
    </row>
    <row r="708" spans="1:2" x14ac:dyDescent="0.35">
      <c r="A708" t="s">
        <v>28</v>
      </c>
      <c r="B708">
        <v>80</v>
      </c>
    </row>
    <row r="709" spans="1:2" x14ac:dyDescent="0.35">
      <c r="A709" t="s">
        <v>29</v>
      </c>
      <c r="B709">
        <v>64</v>
      </c>
    </row>
    <row r="710" spans="1:2" x14ac:dyDescent="0.35">
      <c r="A710" t="s">
        <v>30</v>
      </c>
      <c r="B710">
        <v>64</v>
      </c>
    </row>
    <row r="711" spans="1:2" x14ac:dyDescent="0.35">
      <c r="A711" t="s">
        <v>31</v>
      </c>
      <c r="B711">
        <v>64</v>
      </c>
    </row>
    <row r="712" spans="1:2" x14ac:dyDescent="0.35">
      <c r="A712" t="s">
        <v>32</v>
      </c>
      <c r="B712">
        <v>127</v>
      </c>
    </row>
    <row r="714" spans="1:2" x14ac:dyDescent="0.35">
      <c r="A714" t="s">
        <v>104</v>
      </c>
    </row>
    <row r="715" spans="1:2" x14ac:dyDescent="0.35">
      <c r="A715" t="s">
        <v>26</v>
      </c>
      <c r="B715">
        <v>88</v>
      </c>
    </row>
    <row r="716" spans="1:2" x14ac:dyDescent="0.35">
      <c r="A716" t="s">
        <v>27</v>
      </c>
      <c r="B716">
        <v>72</v>
      </c>
    </row>
    <row r="717" spans="1:2" x14ac:dyDescent="0.35">
      <c r="A717" t="s">
        <v>28</v>
      </c>
      <c r="B717">
        <v>80</v>
      </c>
    </row>
    <row r="718" spans="1:2" x14ac:dyDescent="0.35">
      <c r="A718" t="s">
        <v>29</v>
      </c>
      <c r="B718">
        <v>64</v>
      </c>
    </row>
    <row r="719" spans="1:2" x14ac:dyDescent="0.35">
      <c r="A719" t="s">
        <v>30</v>
      </c>
      <c r="B719">
        <v>64</v>
      </c>
    </row>
    <row r="720" spans="1:2" x14ac:dyDescent="0.35">
      <c r="A720" t="s">
        <v>31</v>
      </c>
      <c r="B720">
        <v>64</v>
      </c>
    </row>
    <row r="721" spans="1:2" x14ac:dyDescent="0.35">
      <c r="A721" t="s">
        <v>32</v>
      </c>
      <c r="B721">
        <v>127</v>
      </c>
    </row>
    <row r="723" spans="1:2" x14ac:dyDescent="0.35">
      <c r="A723" t="s">
        <v>105</v>
      </c>
    </row>
    <row r="724" spans="1:2" x14ac:dyDescent="0.35">
      <c r="A724" t="s">
        <v>26</v>
      </c>
      <c r="B724">
        <v>72</v>
      </c>
    </row>
    <row r="725" spans="1:2" x14ac:dyDescent="0.35">
      <c r="A725" t="s">
        <v>27</v>
      </c>
      <c r="B725">
        <v>72</v>
      </c>
    </row>
    <row r="726" spans="1:2" x14ac:dyDescent="0.35">
      <c r="A726" t="s">
        <v>28</v>
      </c>
      <c r="B726">
        <v>64</v>
      </c>
    </row>
    <row r="727" spans="1:2" x14ac:dyDescent="0.35">
      <c r="A727" t="s">
        <v>29</v>
      </c>
      <c r="B727">
        <v>64</v>
      </c>
    </row>
    <row r="728" spans="1:2" x14ac:dyDescent="0.35">
      <c r="A728" t="s">
        <v>30</v>
      </c>
      <c r="B728">
        <v>64</v>
      </c>
    </row>
    <row r="729" spans="1:2" x14ac:dyDescent="0.35">
      <c r="A729" t="s">
        <v>31</v>
      </c>
      <c r="B729">
        <v>64</v>
      </c>
    </row>
    <row r="730" spans="1:2" x14ac:dyDescent="0.35">
      <c r="A730" t="s">
        <v>32</v>
      </c>
      <c r="B730">
        <v>127</v>
      </c>
    </row>
    <row r="732" spans="1:2" x14ac:dyDescent="0.35">
      <c r="A732" t="s">
        <v>106</v>
      </c>
    </row>
    <row r="733" spans="1:2" x14ac:dyDescent="0.35">
      <c r="A733" t="s">
        <v>26</v>
      </c>
      <c r="B733">
        <v>127</v>
      </c>
    </row>
    <row r="734" spans="1:2" x14ac:dyDescent="0.35">
      <c r="A734" t="s">
        <v>27</v>
      </c>
      <c r="B734">
        <v>64</v>
      </c>
    </row>
    <row r="735" spans="1:2" x14ac:dyDescent="0.35">
      <c r="A735" t="s">
        <v>28</v>
      </c>
      <c r="B735">
        <v>68</v>
      </c>
    </row>
    <row r="736" spans="1:2" x14ac:dyDescent="0.35">
      <c r="A736" t="s">
        <v>29</v>
      </c>
      <c r="B736">
        <v>64</v>
      </c>
    </row>
    <row r="737" spans="1:2" x14ac:dyDescent="0.35">
      <c r="A737" t="s">
        <v>30</v>
      </c>
      <c r="B737">
        <v>64</v>
      </c>
    </row>
    <row r="738" spans="1:2" x14ac:dyDescent="0.35">
      <c r="A738" t="s">
        <v>31</v>
      </c>
      <c r="B738">
        <v>64</v>
      </c>
    </row>
    <row r="739" spans="1:2" x14ac:dyDescent="0.35">
      <c r="A739" t="s">
        <v>32</v>
      </c>
      <c r="B739">
        <v>0</v>
      </c>
    </row>
    <row r="741" spans="1:2" x14ac:dyDescent="0.35">
      <c r="A741" t="s">
        <v>107</v>
      </c>
    </row>
    <row r="742" spans="1:2" x14ac:dyDescent="0.35">
      <c r="A742" t="s">
        <v>26</v>
      </c>
      <c r="B742">
        <v>88</v>
      </c>
    </row>
    <row r="743" spans="1:2" x14ac:dyDescent="0.35">
      <c r="A743" t="s">
        <v>27</v>
      </c>
      <c r="B743">
        <v>72</v>
      </c>
    </row>
    <row r="744" spans="1:2" x14ac:dyDescent="0.35">
      <c r="A744" t="s">
        <v>28</v>
      </c>
      <c r="B744">
        <v>80</v>
      </c>
    </row>
    <row r="745" spans="1:2" x14ac:dyDescent="0.35">
      <c r="A745" t="s">
        <v>29</v>
      </c>
      <c r="B745">
        <v>64</v>
      </c>
    </row>
    <row r="746" spans="1:2" x14ac:dyDescent="0.35">
      <c r="A746" t="s">
        <v>30</v>
      </c>
      <c r="B746">
        <v>64</v>
      </c>
    </row>
    <row r="747" spans="1:2" x14ac:dyDescent="0.35">
      <c r="A747" t="s">
        <v>31</v>
      </c>
      <c r="B747">
        <v>64</v>
      </c>
    </row>
    <row r="748" spans="1:2" x14ac:dyDescent="0.35">
      <c r="A748" t="s">
        <v>32</v>
      </c>
      <c r="B748">
        <v>127</v>
      </c>
    </row>
    <row r="750" spans="1:2" x14ac:dyDescent="0.35">
      <c r="A750" t="s">
        <v>108</v>
      </c>
    </row>
    <row r="751" spans="1:2" x14ac:dyDescent="0.35">
      <c r="A751" t="s">
        <v>26</v>
      </c>
      <c r="B751">
        <v>72</v>
      </c>
    </row>
    <row r="752" spans="1:2" x14ac:dyDescent="0.35">
      <c r="A752" t="s">
        <v>27</v>
      </c>
      <c r="B752">
        <v>72</v>
      </c>
    </row>
    <row r="753" spans="1:2" x14ac:dyDescent="0.35">
      <c r="A753" t="s">
        <v>28</v>
      </c>
      <c r="B753">
        <v>64</v>
      </c>
    </row>
    <row r="754" spans="1:2" x14ac:dyDescent="0.35">
      <c r="A754" t="s">
        <v>29</v>
      </c>
      <c r="B754">
        <v>64</v>
      </c>
    </row>
    <row r="755" spans="1:2" x14ac:dyDescent="0.35">
      <c r="A755" t="s">
        <v>30</v>
      </c>
      <c r="B755">
        <v>64</v>
      </c>
    </row>
    <row r="756" spans="1:2" x14ac:dyDescent="0.35">
      <c r="A756" t="s">
        <v>31</v>
      </c>
      <c r="B756">
        <v>64</v>
      </c>
    </row>
    <row r="757" spans="1:2" x14ac:dyDescent="0.35">
      <c r="A757" t="s">
        <v>32</v>
      </c>
      <c r="B757">
        <v>127</v>
      </c>
    </row>
    <row r="759" spans="1:2" x14ac:dyDescent="0.35">
      <c r="A759" t="s">
        <v>109</v>
      </c>
    </row>
    <row r="760" spans="1:2" x14ac:dyDescent="0.35">
      <c r="A760" t="s">
        <v>26</v>
      </c>
      <c r="B760">
        <v>92</v>
      </c>
    </row>
    <row r="761" spans="1:2" x14ac:dyDescent="0.35">
      <c r="A761" t="s">
        <v>27</v>
      </c>
      <c r="B761">
        <v>72</v>
      </c>
    </row>
    <row r="762" spans="1:2" x14ac:dyDescent="0.35">
      <c r="A762" t="s">
        <v>28</v>
      </c>
      <c r="B762">
        <v>64</v>
      </c>
    </row>
    <row r="763" spans="1:2" x14ac:dyDescent="0.35">
      <c r="A763" t="s">
        <v>29</v>
      </c>
      <c r="B763">
        <v>64</v>
      </c>
    </row>
    <row r="764" spans="1:2" x14ac:dyDescent="0.35">
      <c r="A764" t="s">
        <v>30</v>
      </c>
      <c r="B764">
        <v>64</v>
      </c>
    </row>
    <row r="765" spans="1:2" x14ac:dyDescent="0.35">
      <c r="A765" t="s">
        <v>31</v>
      </c>
      <c r="B765">
        <v>64</v>
      </c>
    </row>
    <row r="766" spans="1:2" x14ac:dyDescent="0.35">
      <c r="A766" t="s">
        <v>32</v>
      </c>
      <c r="B766">
        <v>127</v>
      </c>
    </row>
    <row r="768" spans="1:2" x14ac:dyDescent="0.35">
      <c r="A768" t="s">
        <v>110</v>
      </c>
    </row>
    <row r="769" spans="1:2" x14ac:dyDescent="0.35">
      <c r="A769" t="s">
        <v>26</v>
      </c>
      <c r="B769">
        <v>88</v>
      </c>
    </row>
    <row r="770" spans="1:2" x14ac:dyDescent="0.35">
      <c r="A770" t="s">
        <v>27</v>
      </c>
      <c r="B770">
        <v>72</v>
      </c>
    </row>
    <row r="771" spans="1:2" x14ac:dyDescent="0.35">
      <c r="A771" t="s">
        <v>28</v>
      </c>
      <c r="B771">
        <v>64</v>
      </c>
    </row>
    <row r="772" spans="1:2" x14ac:dyDescent="0.35">
      <c r="A772" t="s">
        <v>29</v>
      </c>
      <c r="B772">
        <v>64</v>
      </c>
    </row>
    <row r="773" spans="1:2" x14ac:dyDescent="0.35">
      <c r="A773" t="s">
        <v>30</v>
      </c>
      <c r="B773">
        <v>64</v>
      </c>
    </row>
    <row r="774" spans="1:2" x14ac:dyDescent="0.35">
      <c r="A774" t="s">
        <v>31</v>
      </c>
      <c r="B774">
        <v>64</v>
      </c>
    </row>
    <row r="775" spans="1:2" x14ac:dyDescent="0.35">
      <c r="A775" t="s">
        <v>32</v>
      </c>
      <c r="B775">
        <v>127</v>
      </c>
    </row>
    <row r="777" spans="1:2" x14ac:dyDescent="0.35">
      <c r="A777" t="s">
        <v>111</v>
      </c>
    </row>
    <row r="778" spans="1:2" x14ac:dyDescent="0.35">
      <c r="A778" t="s">
        <v>26</v>
      </c>
      <c r="B778">
        <v>84</v>
      </c>
    </row>
    <row r="779" spans="1:2" x14ac:dyDescent="0.35">
      <c r="A779" t="s">
        <v>27</v>
      </c>
      <c r="B779">
        <v>76</v>
      </c>
    </row>
    <row r="780" spans="1:2" x14ac:dyDescent="0.35">
      <c r="A780" t="s">
        <v>28</v>
      </c>
      <c r="B780">
        <v>64</v>
      </c>
    </row>
    <row r="781" spans="1:2" x14ac:dyDescent="0.35">
      <c r="A781" t="s">
        <v>29</v>
      </c>
      <c r="B781">
        <v>64</v>
      </c>
    </row>
    <row r="782" spans="1:2" x14ac:dyDescent="0.35">
      <c r="A782" t="s">
        <v>30</v>
      </c>
      <c r="B782">
        <v>64</v>
      </c>
    </row>
    <row r="783" spans="1:2" x14ac:dyDescent="0.35">
      <c r="A783" t="s">
        <v>31</v>
      </c>
      <c r="B783">
        <v>64</v>
      </c>
    </row>
    <row r="784" spans="1:2" x14ac:dyDescent="0.35">
      <c r="A784" t="s">
        <v>32</v>
      </c>
      <c r="B784">
        <v>127</v>
      </c>
    </row>
    <row r="786" spans="1:2" x14ac:dyDescent="0.35">
      <c r="A786" t="s">
        <v>112</v>
      </c>
    </row>
    <row r="787" spans="1:2" x14ac:dyDescent="0.35">
      <c r="A787" t="s">
        <v>26</v>
      </c>
      <c r="B787">
        <v>127</v>
      </c>
    </row>
    <row r="788" spans="1:2" x14ac:dyDescent="0.35">
      <c r="A788" t="s">
        <v>27</v>
      </c>
      <c r="B788">
        <v>84</v>
      </c>
    </row>
    <row r="789" spans="1:2" x14ac:dyDescent="0.35">
      <c r="A789" t="s">
        <v>28</v>
      </c>
      <c r="B789">
        <v>64</v>
      </c>
    </row>
    <row r="790" spans="1:2" x14ac:dyDescent="0.35">
      <c r="A790" t="s">
        <v>29</v>
      </c>
      <c r="B790">
        <v>64</v>
      </c>
    </row>
    <row r="791" spans="1:2" x14ac:dyDescent="0.35">
      <c r="A791" t="s">
        <v>30</v>
      </c>
      <c r="B791">
        <v>64</v>
      </c>
    </row>
    <row r="792" spans="1:2" x14ac:dyDescent="0.35">
      <c r="A792" t="s">
        <v>31</v>
      </c>
      <c r="B792">
        <v>64</v>
      </c>
    </row>
    <row r="793" spans="1:2" x14ac:dyDescent="0.35">
      <c r="A793" t="s">
        <v>32</v>
      </c>
      <c r="B793">
        <v>127</v>
      </c>
    </row>
    <row r="795" spans="1:2" x14ac:dyDescent="0.35">
      <c r="A795" t="s">
        <v>113</v>
      </c>
    </row>
    <row r="796" spans="1:2" x14ac:dyDescent="0.35">
      <c r="A796" t="s">
        <v>26</v>
      </c>
      <c r="B796">
        <v>127</v>
      </c>
    </row>
    <row r="797" spans="1:2" x14ac:dyDescent="0.35">
      <c r="A797" t="s">
        <v>27</v>
      </c>
      <c r="B797">
        <v>84</v>
      </c>
    </row>
    <row r="798" spans="1:2" x14ac:dyDescent="0.35">
      <c r="A798" t="s">
        <v>28</v>
      </c>
      <c r="B798">
        <v>88</v>
      </c>
    </row>
    <row r="799" spans="1:2" x14ac:dyDescent="0.35">
      <c r="A799" t="s">
        <v>29</v>
      </c>
      <c r="B799">
        <v>64</v>
      </c>
    </row>
    <row r="800" spans="1:2" x14ac:dyDescent="0.35">
      <c r="A800" t="s">
        <v>30</v>
      </c>
      <c r="B800">
        <v>104</v>
      </c>
    </row>
    <row r="801" spans="1:2" x14ac:dyDescent="0.35">
      <c r="A801" t="s">
        <v>31</v>
      </c>
      <c r="B801">
        <v>0</v>
      </c>
    </row>
    <row r="802" spans="1:2" x14ac:dyDescent="0.35">
      <c r="A802" t="s">
        <v>32</v>
      </c>
      <c r="B802">
        <v>127</v>
      </c>
    </row>
    <row r="804" spans="1:2" x14ac:dyDescent="0.35">
      <c r="A804" t="s">
        <v>114</v>
      </c>
    </row>
    <row r="805" spans="1:2" x14ac:dyDescent="0.35">
      <c r="A805" t="s">
        <v>26</v>
      </c>
      <c r="B805">
        <v>100</v>
      </c>
    </row>
    <row r="806" spans="1:2" x14ac:dyDescent="0.35">
      <c r="A806" t="s">
        <v>27</v>
      </c>
      <c r="B806">
        <v>64</v>
      </c>
    </row>
    <row r="807" spans="1:2" x14ac:dyDescent="0.35">
      <c r="A807" t="s">
        <v>28</v>
      </c>
      <c r="B807">
        <v>88</v>
      </c>
    </row>
    <row r="808" spans="1:2" x14ac:dyDescent="0.35">
      <c r="A808" t="s">
        <v>29</v>
      </c>
      <c r="B808">
        <v>64</v>
      </c>
    </row>
    <row r="809" spans="1:2" x14ac:dyDescent="0.35">
      <c r="A809" t="s">
        <v>30</v>
      </c>
      <c r="B809">
        <v>60</v>
      </c>
    </row>
    <row r="810" spans="1:2" x14ac:dyDescent="0.35">
      <c r="A810" t="s">
        <v>31</v>
      </c>
      <c r="B810">
        <v>0</v>
      </c>
    </row>
    <row r="811" spans="1:2" x14ac:dyDescent="0.35">
      <c r="A811" t="s">
        <v>32</v>
      </c>
      <c r="B811">
        <v>127</v>
      </c>
    </row>
    <row r="813" spans="1:2" x14ac:dyDescent="0.35">
      <c r="A813" t="s">
        <v>115</v>
      </c>
    </row>
    <row r="814" spans="1:2" x14ac:dyDescent="0.35">
      <c r="A814" t="s">
        <v>26</v>
      </c>
      <c r="B814">
        <v>64</v>
      </c>
    </row>
    <row r="815" spans="1:2" x14ac:dyDescent="0.35">
      <c r="A815" t="s">
        <v>27</v>
      </c>
      <c r="B815">
        <v>28</v>
      </c>
    </row>
    <row r="816" spans="1:2" x14ac:dyDescent="0.35">
      <c r="A816" t="s">
        <v>28</v>
      </c>
      <c r="B816">
        <v>66</v>
      </c>
    </row>
    <row r="817" spans="1:2" x14ac:dyDescent="0.35">
      <c r="A817" t="s">
        <v>29</v>
      </c>
      <c r="B817">
        <v>64</v>
      </c>
    </row>
    <row r="818" spans="1:2" x14ac:dyDescent="0.35">
      <c r="A818" t="s">
        <v>30</v>
      </c>
      <c r="B818">
        <v>64</v>
      </c>
    </row>
    <row r="819" spans="1:2" x14ac:dyDescent="0.35">
      <c r="A819" t="s">
        <v>31</v>
      </c>
      <c r="B819">
        <v>64</v>
      </c>
    </row>
    <row r="820" spans="1:2" x14ac:dyDescent="0.35">
      <c r="A820" t="s">
        <v>32</v>
      </c>
      <c r="B820">
        <v>127</v>
      </c>
    </row>
    <row r="822" spans="1:2" x14ac:dyDescent="0.35">
      <c r="A822" t="s">
        <v>116</v>
      </c>
    </row>
    <row r="823" spans="1:2" x14ac:dyDescent="0.35">
      <c r="A823" t="s">
        <v>26</v>
      </c>
      <c r="B823">
        <v>127</v>
      </c>
    </row>
    <row r="824" spans="1:2" x14ac:dyDescent="0.35">
      <c r="A824" t="s">
        <v>27</v>
      </c>
      <c r="B824">
        <v>64</v>
      </c>
    </row>
    <row r="825" spans="1:2" x14ac:dyDescent="0.35">
      <c r="A825" t="s">
        <v>28</v>
      </c>
      <c r="B825">
        <v>82</v>
      </c>
    </row>
    <row r="826" spans="1:2" x14ac:dyDescent="0.35">
      <c r="A826" t="s">
        <v>29</v>
      </c>
      <c r="B826">
        <v>64</v>
      </c>
    </row>
    <row r="827" spans="1:2" x14ac:dyDescent="0.35">
      <c r="A827" t="s">
        <v>30</v>
      </c>
      <c r="B827">
        <v>76</v>
      </c>
    </row>
    <row r="828" spans="1:2" x14ac:dyDescent="0.35">
      <c r="A828" t="s">
        <v>31</v>
      </c>
      <c r="B828">
        <v>64</v>
      </c>
    </row>
    <row r="829" spans="1:2" x14ac:dyDescent="0.35">
      <c r="A829" t="s">
        <v>32</v>
      </c>
      <c r="B829">
        <v>127</v>
      </c>
    </row>
    <row r="831" spans="1:2" x14ac:dyDescent="0.35">
      <c r="A831" t="s">
        <v>117</v>
      </c>
    </row>
    <row r="832" spans="1:2" x14ac:dyDescent="0.35">
      <c r="A832" t="s">
        <v>26</v>
      </c>
      <c r="B832">
        <v>80</v>
      </c>
    </row>
    <row r="833" spans="1:2" x14ac:dyDescent="0.35">
      <c r="A833" t="s">
        <v>27</v>
      </c>
      <c r="B833">
        <v>68</v>
      </c>
    </row>
    <row r="834" spans="1:2" x14ac:dyDescent="0.35">
      <c r="A834" t="s">
        <v>28</v>
      </c>
      <c r="B834">
        <v>68</v>
      </c>
    </row>
    <row r="835" spans="1:2" x14ac:dyDescent="0.35">
      <c r="A835" t="s">
        <v>29</v>
      </c>
      <c r="B835">
        <v>76</v>
      </c>
    </row>
    <row r="836" spans="1:2" x14ac:dyDescent="0.35">
      <c r="A836" t="s">
        <v>30</v>
      </c>
      <c r="B836">
        <v>64</v>
      </c>
    </row>
    <row r="837" spans="1:2" x14ac:dyDescent="0.35">
      <c r="A837" t="s">
        <v>31</v>
      </c>
      <c r="B837">
        <v>64</v>
      </c>
    </row>
    <row r="838" spans="1:2" x14ac:dyDescent="0.35">
      <c r="A838" t="s">
        <v>32</v>
      </c>
      <c r="B838">
        <v>127</v>
      </c>
    </row>
    <row r="840" spans="1:2" x14ac:dyDescent="0.35">
      <c r="A840" t="s">
        <v>118</v>
      </c>
    </row>
    <row r="841" spans="1:2" x14ac:dyDescent="0.35">
      <c r="A841" t="s">
        <v>26</v>
      </c>
      <c r="B841">
        <v>64</v>
      </c>
    </row>
    <row r="842" spans="1:2" x14ac:dyDescent="0.35">
      <c r="A842" t="s">
        <v>27</v>
      </c>
      <c r="B842">
        <v>68</v>
      </c>
    </row>
    <row r="843" spans="1:2" x14ac:dyDescent="0.35">
      <c r="A843" t="s">
        <v>28</v>
      </c>
      <c r="B843">
        <v>58</v>
      </c>
    </row>
    <row r="844" spans="1:2" x14ac:dyDescent="0.35">
      <c r="A844" t="s">
        <v>29</v>
      </c>
      <c r="B844">
        <v>64</v>
      </c>
    </row>
    <row r="845" spans="1:2" x14ac:dyDescent="0.35">
      <c r="A845" t="s">
        <v>30</v>
      </c>
      <c r="B845">
        <v>64</v>
      </c>
    </row>
    <row r="846" spans="1:2" x14ac:dyDescent="0.35">
      <c r="A846" t="s">
        <v>31</v>
      </c>
      <c r="B846">
        <v>64</v>
      </c>
    </row>
    <row r="847" spans="1:2" x14ac:dyDescent="0.35">
      <c r="A847" t="s">
        <v>32</v>
      </c>
      <c r="B847">
        <v>80</v>
      </c>
    </row>
    <row r="849" spans="1:2" x14ac:dyDescent="0.35">
      <c r="A849" t="s">
        <v>119</v>
      </c>
    </row>
    <row r="850" spans="1:2" x14ac:dyDescent="0.35">
      <c r="A850" t="s">
        <v>26</v>
      </c>
      <c r="B850">
        <v>80</v>
      </c>
    </row>
    <row r="851" spans="1:2" x14ac:dyDescent="0.35">
      <c r="A851" t="s">
        <v>27</v>
      </c>
      <c r="B851">
        <v>76</v>
      </c>
    </row>
    <row r="852" spans="1:2" x14ac:dyDescent="0.35">
      <c r="A852" t="s">
        <v>28</v>
      </c>
      <c r="B852">
        <v>58</v>
      </c>
    </row>
    <row r="853" spans="1:2" x14ac:dyDescent="0.35">
      <c r="A853" t="s">
        <v>29</v>
      </c>
      <c r="B853">
        <v>64</v>
      </c>
    </row>
    <row r="854" spans="1:2" x14ac:dyDescent="0.35">
      <c r="A854" t="s">
        <v>30</v>
      </c>
      <c r="B854">
        <v>64</v>
      </c>
    </row>
    <row r="855" spans="1:2" x14ac:dyDescent="0.35">
      <c r="A855" t="s">
        <v>31</v>
      </c>
      <c r="B855">
        <v>64</v>
      </c>
    </row>
    <row r="856" spans="1:2" x14ac:dyDescent="0.35">
      <c r="A856" t="s">
        <v>32</v>
      </c>
      <c r="B856">
        <v>80</v>
      </c>
    </row>
    <row r="858" spans="1:2" x14ac:dyDescent="0.35">
      <c r="A858" t="s">
        <v>120</v>
      </c>
    </row>
    <row r="859" spans="1:2" x14ac:dyDescent="0.35">
      <c r="A859" t="s">
        <v>26</v>
      </c>
      <c r="B859">
        <v>127</v>
      </c>
    </row>
    <row r="860" spans="1:2" x14ac:dyDescent="0.35">
      <c r="A860" t="s">
        <v>27</v>
      </c>
      <c r="B860">
        <v>127</v>
      </c>
    </row>
    <row r="861" spans="1:2" x14ac:dyDescent="0.35">
      <c r="A861" t="s">
        <v>28</v>
      </c>
      <c r="B861">
        <v>64</v>
      </c>
    </row>
    <row r="862" spans="1:2" x14ac:dyDescent="0.35">
      <c r="A862" t="s">
        <v>29</v>
      </c>
      <c r="B862">
        <v>64</v>
      </c>
    </row>
    <row r="863" spans="1:2" x14ac:dyDescent="0.35">
      <c r="A863" t="s">
        <v>30</v>
      </c>
      <c r="B863">
        <v>64</v>
      </c>
    </row>
    <row r="864" spans="1:2" x14ac:dyDescent="0.35">
      <c r="A864" t="s">
        <v>31</v>
      </c>
      <c r="B864">
        <v>64</v>
      </c>
    </row>
    <row r="865" spans="1:2" x14ac:dyDescent="0.35">
      <c r="A865" t="s">
        <v>32</v>
      </c>
      <c r="B865">
        <v>127</v>
      </c>
    </row>
    <row r="867" spans="1:2" x14ac:dyDescent="0.35">
      <c r="A867" t="s">
        <v>121</v>
      </c>
    </row>
    <row r="868" spans="1:2" x14ac:dyDescent="0.35">
      <c r="A868" t="s">
        <v>26</v>
      </c>
      <c r="B868">
        <v>127</v>
      </c>
    </row>
    <row r="869" spans="1:2" x14ac:dyDescent="0.35">
      <c r="A869" t="s">
        <v>27</v>
      </c>
      <c r="B869">
        <v>84</v>
      </c>
    </row>
    <row r="870" spans="1:2" x14ac:dyDescent="0.35">
      <c r="A870" t="s">
        <v>28</v>
      </c>
      <c r="B870">
        <v>64</v>
      </c>
    </row>
    <row r="871" spans="1:2" x14ac:dyDescent="0.35">
      <c r="A871" t="s">
        <v>29</v>
      </c>
      <c r="B871">
        <v>64</v>
      </c>
    </row>
    <row r="872" spans="1:2" x14ac:dyDescent="0.35">
      <c r="A872" t="s">
        <v>30</v>
      </c>
      <c r="B872">
        <v>64</v>
      </c>
    </row>
    <row r="873" spans="1:2" x14ac:dyDescent="0.35">
      <c r="A873" t="s">
        <v>31</v>
      </c>
      <c r="B873">
        <v>64</v>
      </c>
    </row>
    <row r="874" spans="1:2" x14ac:dyDescent="0.35">
      <c r="A874" t="s">
        <v>32</v>
      </c>
      <c r="B874">
        <v>127</v>
      </c>
    </row>
    <row r="876" spans="1:2" x14ac:dyDescent="0.35">
      <c r="A876" t="s">
        <v>122</v>
      </c>
    </row>
    <row r="877" spans="1:2" x14ac:dyDescent="0.35">
      <c r="A877" t="s">
        <v>26</v>
      </c>
      <c r="B877">
        <v>82</v>
      </c>
    </row>
    <row r="878" spans="1:2" x14ac:dyDescent="0.35">
      <c r="A878" t="s">
        <v>27</v>
      </c>
      <c r="B878">
        <v>64</v>
      </c>
    </row>
    <row r="879" spans="1:2" x14ac:dyDescent="0.35">
      <c r="A879" t="s">
        <v>28</v>
      </c>
      <c r="B879">
        <v>104</v>
      </c>
    </row>
    <row r="880" spans="1:2" x14ac:dyDescent="0.35">
      <c r="A880" t="s">
        <v>29</v>
      </c>
      <c r="B880">
        <v>64</v>
      </c>
    </row>
    <row r="881" spans="1:2" x14ac:dyDescent="0.35">
      <c r="A881" t="s">
        <v>30</v>
      </c>
      <c r="B881">
        <v>76</v>
      </c>
    </row>
    <row r="882" spans="1:2" x14ac:dyDescent="0.35">
      <c r="A882" t="s">
        <v>31</v>
      </c>
      <c r="B882">
        <v>64</v>
      </c>
    </row>
    <row r="883" spans="1:2" x14ac:dyDescent="0.35">
      <c r="A883" t="s">
        <v>32</v>
      </c>
      <c r="B883">
        <v>127</v>
      </c>
    </row>
    <row r="885" spans="1:2" x14ac:dyDescent="0.35">
      <c r="A885" t="s">
        <v>123</v>
      </c>
    </row>
    <row r="886" spans="1:2" x14ac:dyDescent="0.35">
      <c r="A886" t="s">
        <v>26</v>
      </c>
      <c r="B886">
        <v>82</v>
      </c>
    </row>
    <row r="887" spans="1:2" x14ac:dyDescent="0.35">
      <c r="A887" t="s">
        <v>27</v>
      </c>
      <c r="B887">
        <v>64</v>
      </c>
    </row>
    <row r="888" spans="1:2" x14ac:dyDescent="0.35">
      <c r="A888" t="s">
        <v>28</v>
      </c>
      <c r="B888">
        <v>104</v>
      </c>
    </row>
    <row r="889" spans="1:2" x14ac:dyDescent="0.35">
      <c r="A889" t="s">
        <v>29</v>
      </c>
      <c r="B889">
        <v>64</v>
      </c>
    </row>
    <row r="890" spans="1:2" x14ac:dyDescent="0.35">
      <c r="A890" t="s">
        <v>30</v>
      </c>
      <c r="B890">
        <v>76</v>
      </c>
    </row>
    <row r="891" spans="1:2" x14ac:dyDescent="0.35">
      <c r="A891" t="s">
        <v>31</v>
      </c>
      <c r="B891">
        <v>64</v>
      </c>
    </row>
    <row r="892" spans="1:2" x14ac:dyDescent="0.35">
      <c r="A892" t="s">
        <v>32</v>
      </c>
      <c r="B892">
        <v>127</v>
      </c>
    </row>
    <row r="894" spans="1:2" x14ac:dyDescent="0.35">
      <c r="A894" t="s">
        <v>124</v>
      </c>
    </row>
    <row r="895" spans="1:2" x14ac:dyDescent="0.35">
      <c r="A895" t="s">
        <v>26</v>
      </c>
      <c r="B895">
        <v>64</v>
      </c>
    </row>
    <row r="896" spans="1:2" x14ac:dyDescent="0.35">
      <c r="A896" t="s">
        <v>27</v>
      </c>
      <c r="B896">
        <v>68</v>
      </c>
    </row>
    <row r="897" spans="1:2" x14ac:dyDescent="0.35">
      <c r="A897" t="s">
        <v>28</v>
      </c>
      <c r="B897">
        <v>57</v>
      </c>
    </row>
    <row r="898" spans="1:2" x14ac:dyDescent="0.35">
      <c r="A898" t="s">
        <v>29</v>
      </c>
      <c r="B898">
        <v>64</v>
      </c>
    </row>
    <row r="899" spans="1:2" x14ac:dyDescent="0.35">
      <c r="A899" t="s">
        <v>30</v>
      </c>
      <c r="B899">
        <v>64</v>
      </c>
    </row>
    <row r="900" spans="1:2" x14ac:dyDescent="0.35">
      <c r="A900" t="s">
        <v>31</v>
      </c>
      <c r="B900">
        <v>64</v>
      </c>
    </row>
    <row r="901" spans="1:2" x14ac:dyDescent="0.35">
      <c r="A901" t="s">
        <v>32</v>
      </c>
      <c r="B901">
        <v>127</v>
      </c>
    </row>
    <row r="903" spans="1:2" x14ac:dyDescent="0.35">
      <c r="A903" t="s">
        <v>125</v>
      </c>
    </row>
    <row r="904" spans="1:2" x14ac:dyDescent="0.35">
      <c r="A904" t="s">
        <v>26</v>
      </c>
      <c r="B904">
        <v>64</v>
      </c>
    </row>
    <row r="905" spans="1:2" x14ac:dyDescent="0.35">
      <c r="A905" t="s">
        <v>27</v>
      </c>
      <c r="B905">
        <v>64</v>
      </c>
    </row>
    <row r="906" spans="1:2" x14ac:dyDescent="0.35">
      <c r="A906" t="s">
        <v>28</v>
      </c>
      <c r="B906">
        <v>76</v>
      </c>
    </row>
    <row r="907" spans="1:2" x14ac:dyDescent="0.35">
      <c r="A907" t="s">
        <v>29</v>
      </c>
      <c r="B907">
        <v>76</v>
      </c>
    </row>
    <row r="908" spans="1:2" x14ac:dyDescent="0.35">
      <c r="A908" t="s">
        <v>30</v>
      </c>
      <c r="B908">
        <v>0</v>
      </c>
    </row>
    <row r="909" spans="1:2" x14ac:dyDescent="0.35">
      <c r="A909" t="s">
        <v>31</v>
      </c>
      <c r="B909">
        <v>0</v>
      </c>
    </row>
    <row r="910" spans="1:2" x14ac:dyDescent="0.35">
      <c r="A910" t="s">
        <v>32</v>
      </c>
      <c r="B910">
        <v>16</v>
      </c>
    </row>
    <row r="912" spans="1:2" x14ac:dyDescent="0.35">
      <c r="A912" t="s">
        <v>126</v>
      </c>
    </row>
    <row r="913" spans="1:2" x14ac:dyDescent="0.35">
      <c r="A913" t="s">
        <v>26</v>
      </c>
      <c r="B913">
        <v>80</v>
      </c>
    </row>
    <row r="914" spans="1:2" x14ac:dyDescent="0.35">
      <c r="A914" t="s">
        <v>27</v>
      </c>
      <c r="B914">
        <v>72</v>
      </c>
    </row>
    <row r="915" spans="1:2" x14ac:dyDescent="0.35">
      <c r="A915" t="s">
        <v>28</v>
      </c>
      <c r="B915">
        <v>64</v>
      </c>
    </row>
    <row r="916" spans="1:2" x14ac:dyDescent="0.35">
      <c r="A916" t="s">
        <v>29</v>
      </c>
      <c r="B916">
        <v>64</v>
      </c>
    </row>
    <row r="917" spans="1:2" x14ac:dyDescent="0.35">
      <c r="A917" t="s">
        <v>30</v>
      </c>
      <c r="B917">
        <v>60</v>
      </c>
    </row>
    <row r="918" spans="1:2" x14ac:dyDescent="0.35">
      <c r="A918" t="s">
        <v>31</v>
      </c>
      <c r="B918">
        <v>64</v>
      </c>
    </row>
    <row r="919" spans="1:2" x14ac:dyDescent="0.35">
      <c r="A919" t="s">
        <v>32</v>
      </c>
      <c r="B919">
        <v>127</v>
      </c>
    </row>
    <row r="921" spans="1:2" x14ac:dyDescent="0.35">
      <c r="A921" t="s">
        <v>127</v>
      </c>
    </row>
    <row r="922" spans="1:2" x14ac:dyDescent="0.35">
      <c r="A922" t="s">
        <v>26</v>
      </c>
      <c r="B922">
        <v>80</v>
      </c>
    </row>
    <row r="923" spans="1:2" x14ac:dyDescent="0.35">
      <c r="A923" t="s">
        <v>27</v>
      </c>
      <c r="B923">
        <v>72</v>
      </c>
    </row>
    <row r="924" spans="1:2" x14ac:dyDescent="0.35">
      <c r="A924" t="s">
        <v>28</v>
      </c>
      <c r="B924">
        <v>64</v>
      </c>
    </row>
    <row r="925" spans="1:2" x14ac:dyDescent="0.35">
      <c r="A925" t="s">
        <v>29</v>
      </c>
      <c r="B925">
        <v>64</v>
      </c>
    </row>
    <row r="926" spans="1:2" x14ac:dyDescent="0.35">
      <c r="A926" t="s">
        <v>30</v>
      </c>
      <c r="B926">
        <v>64</v>
      </c>
    </row>
    <row r="927" spans="1:2" x14ac:dyDescent="0.35">
      <c r="A927" t="s">
        <v>31</v>
      </c>
      <c r="B927">
        <v>64</v>
      </c>
    </row>
    <row r="928" spans="1:2" x14ac:dyDescent="0.35">
      <c r="A928" t="s">
        <v>32</v>
      </c>
      <c r="B928">
        <v>127</v>
      </c>
    </row>
    <row r="930" spans="1:2" x14ac:dyDescent="0.35">
      <c r="A930" t="s">
        <v>128</v>
      </c>
    </row>
    <row r="931" spans="1:2" x14ac:dyDescent="0.35">
      <c r="A931" t="s">
        <v>26</v>
      </c>
      <c r="B931">
        <v>80</v>
      </c>
    </row>
    <row r="932" spans="1:2" x14ac:dyDescent="0.35">
      <c r="A932" t="s">
        <v>27</v>
      </c>
      <c r="B932">
        <v>72</v>
      </c>
    </row>
    <row r="933" spans="1:2" x14ac:dyDescent="0.35">
      <c r="A933" t="s">
        <v>28</v>
      </c>
      <c r="B933">
        <v>64</v>
      </c>
    </row>
    <row r="934" spans="1:2" x14ac:dyDescent="0.35">
      <c r="A934" t="s">
        <v>29</v>
      </c>
      <c r="B934">
        <v>64</v>
      </c>
    </row>
    <row r="935" spans="1:2" x14ac:dyDescent="0.35">
      <c r="A935" t="s">
        <v>30</v>
      </c>
      <c r="B935">
        <v>60</v>
      </c>
    </row>
    <row r="936" spans="1:2" x14ac:dyDescent="0.35">
      <c r="A936" t="s">
        <v>31</v>
      </c>
      <c r="B936">
        <v>64</v>
      </c>
    </row>
    <row r="937" spans="1:2" x14ac:dyDescent="0.35">
      <c r="A937" t="s">
        <v>32</v>
      </c>
      <c r="B937">
        <v>127</v>
      </c>
    </row>
    <row r="939" spans="1:2" x14ac:dyDescent="0.35">
      <c r="A939" t="s">
        <v>129</v>
      </c>
    </row>
    <row r="940" spans="1:2" x14ac:dyDescent="0.35">
      <c r="A940" t="s">
        <v>26</v>
      </c>
      <c r="B940">
        <v>64</v>
      </c>
    </row>
    <row r="941" spans="1:2" x14ac:dyDescent="0.35">
      <c r="A941" t="s">
        <v>27</v>
      </c>
      <c r="B941">
        <v>64</v>
      </c>
    </row>
    <row r="942" spans="1:2" x14ac:dyDescent="0.35">
      <c r="A942" t="s">
        <v>28</v>
      </c>
      <c r="B942">
        <v>104</v>
      </c>
    </row>
    <row r="943" spans="1:2" x14ac:dyDescent="0.35">
      <c r="A943" t="s">
        <v>29</v>
      </c>
      <c r="B943">
        <v>80</v>
      </c>
    </row>
    <row r="944" spans="1:2" x14ac:dyDescent="0.35">
      <c r="A944" t="s">
        <v>30</v>
      </c>
      <c r="B944">
        <v>0</v>
      </c>
    </row>
    <row r="945" spans="1:2" x14ac:dyDescent="0.35">
      <c r="A945" t="s">
        <v>31</v>
      </c>
      <c r="B945">
        <v>0</v>
      </c>
    </row>
    <row r="946" spans="1:2" x14ac:dyDescent="0.35">
      <c r="A946" t="s">
        <v>32</v>
      </c>
      <c r="B946">
        <v>0</v>
      </c>
    </row>
    <row r="948" spans="1:2" x14ac:dyDescent="0.35">
      <c r="A948" t="s">
        <v>130</v>
      </c>
    </row>
    <row r="949" spans="1:2" x14ac:dyDescent="0.35">
      <c r="A949" t="s">
        <v>26</v>
      </c>
      <c r="B949">
        <v>80</v>
      </c>
    </row>
    <row r="950" spans="1:2" x14ac:dyDescent="0.35">
      <c r="A950" t="s">
        <v>27</v>
      </c>
      <c r="B950">
        <v>72</v>
      </c>
    </row>
    <row r="951" spans="1:2" x14ac:dyDescent="0.35">
      <c r="A951" t="s">
        <v>28</v>
      </c>
      <c r="B951">
        <v>64</v>
      </c>
    </row>
    <row r="952" spans="1:2" x14ac:dyDescent="0.35">
      <c r="A952" t="s">
        <v>29</v>
      </c>
      <c r="B952">
        <v>64</v>
      </c>
    </row>
    <row r="953" spans="1:2" x14ac:dyDescent="0.35">
      <c r="A953" t="s">
        <v>30</v>
      </c>
      <c r="B953">
        <v>60</v>
      </c>
    </row>
    <row r="954" spans="1:2" x14ac:dyDescent="0.35">
      <c r="A954" t="s">
        <v>31</v>
      </c>
      <c r="B954">
        <v>64</v>
      </c>
    </row>
    <row r="955" spans="1:2" x14ac:dyDescent="0.35">
      <c r="A955" t="s">
        <v>32</v>
      </c>
      <c r="B955">
        <v>127</v>
      </c>
    </row>
  </sheetData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selection activeCell="D9" sqref="D9"/>
    </sheetView>
  </sheetViews>
  <sheetFormatPr defaultRowHeight="14.5" x14ac:dyDescent="0.35"/>
  <sheetData>
    <row r="1" spans="1:4" x14ac:dyDescent="0.35">
      <c r="A1" t="s">
        <v>131</v>
      </c>
      <c r="B1">
        <v>10000</v>
      </c>
    </row>
    <row r="2" spans="1:4" x14ac:dyDescent="0.35">
      <c r="A2" t="s">
        <v>131</v>
      </c>
      <c r="B2">
        <v>10000</v>
      </c>
    </row>
    <row r="3" spans="1:4" x14ac:dyDescent="0.35">
      <c r="A3" t="s">
        <v>131</v>
      </c>
      <c r="B3">
        <v>10000</v>
      </c>
    </row>
    <row r="4" spans="1:4" x14ac:dyDescent="0.35">
      <c r="A4" t="s">
        <v>131</v>
      </c>
      <c r="B4">
        <v>10000</v>
      </c>
    </row>
    <row r="5" spans="1:4" x14ac:dyDescent="0.35">
      <c r="A5" t="s">
        <v>131</v>
      </c>
      <c r="B5">
        <v>10000</v>
      </c>
    </row>
    <row r="6" spans="1:4" x14ac:dyDescent="0.35">
      <c r="A6" t="s">
        <v>132</v>
      </c>
      <c r="B6" s="5">
        <v>1E-10</v>
      </c>
    </row>
    <row r="7" spans="1:4" x14ac:dyDescent="0.35">
      <c r="A7" t="s">
        <v>133</v>
      </c>
      <c r="B7" s="5">
        <v>1.0000000000000001E-9</v>
      </c>
    </row>
    <row r="8" spans="1:4" x14ac:dyDescent="0.35">
      <c r="A8" t="s">
        <v>134</v>
      </c>
      <c r="D8" s="5">
        <f>SQRT(B4*B5*B6*B7)/(B4*B7*2+B5*B6*(-1))</f>
        <v>0.16643566632465154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D22"/>
  <sheetViews>
    <sheetView workbookViewId="0">
      <selection activeCell="D6" sqref="D6"/>
    </sheetView>
  </sheetViews>
  <sheetFormatPr defaultRowHeight="14.5" x14ac:dyDescent="0.35"/>
  <sheetData>
    <row r="4" spans="1:4" x14ac:dyDescent="0.35">
      <c r="B4">
        <v>25.7</v>
      </c>
    </row>
    <row r="5" spans="1:4" x14ac:dyDescent="0.35">
      <c r="A5" t="s">
        <v>158</v>
      </c>
      <c r="B5" t="s">
        <v>159</v>
      </c>
      <c r="C5" t="s">
        <v>160</v>
      </c>
      <c r="D5" t="s">
        <v>163</v>
      </c>
    </row>
    <row r="6" spans="1:4" x14ac:dyDescent="0.35">
      <c r="A6">
        <v>127</v>
      </c>
      <c r="B6">
        <f>25.7</f>
        <v>25.7</v>
      </c>
      <c r="C6">
        <f>A6/127</f>
        <v>1</v>
      </c>
      <c r="D6">
        <f t="shared" ref="D6:D11" si="0">(B6-B$11)/(B$4-B$11)</f>
        <v>1</v>
      </c>
    </row>
    <row r="7" spans="1:4" x14ac:dyDescent="0.35">
      <c r="A7">
        <v>124</v>
      </c>
      <c r="B7">
        <f>20</f>
        <v>20</v>
      </c>
      <c r="C7">
        <f t="shared" ref="C7:C11" si="1">A7/127</f>
        <v>0.97637795275590555</v>
      </c>
      <c r="D7">
        <f t="shared" si="0"/>
        <v>0.72463768115942029</v>
      </c>
    </row>
    <row r="8" spans="1:4" x14ac:dyDescent="0.35">
      <c r="A8">
        <v>120</v>
      </c>
      <c r="B8">
        <f>14</f>
        <v>14</v>
      </c>
      <c r="C8">
        <f t="shared" si="1"/>
        <v>0.94488188976377951</v>
      </c>
      <c r="D8">
        <f t="shared" si="0"/>
        <v>0.43478260869565216</v>
      </c>
    </row>
    <row r="9" spans="1:4" x14ac:dyDescent="0.35">
      <c r="A9">
        <v>96</v>
      </c>
      <c r="B9">
        <f>9.8</f>
        <v>9.8000000000000007</v>
      </c>
      <c r="C9">
        <f t="shared" si="1"/>
        <v>0.75590551181102361</v>
      </c>
      <c r="D9">
        <f t="shared" si="0"/>
        <v>0.23188405797101452</v>
      </c>
    </row>
    <row r="10" spans="1:4" x14ac:dyDescent="0.35">
      <c r="A10">
        <v>64</v>
      </c>
      <c r="B10">
        <v>6.5</v>
      </c>
      <c r="C10">
        <f t="shared" si="1"/>
        <v>0.50393700787401574</v>
      </c>
      <c r="D10">
        <f t="shared" si="0"/>
        <v>7.2463768115942032E-2</v>
      </c>
    </row>
    <row r="11" spans="1:4" x14ac:dyDescent="0.35">
      <c r="A11">
        <v>0</v>
      </c>
      <c r="B11">
        <v>5</v>
      </c>
      <c r="C11">
        <f t="shared" si="1"/>
        <v>0</v>
      </c>
      <c r="D11">
        <f t="shared" si="0"/>
        <v>0</v>
      </c>
    </row>
    <row r="16" spans="1:4" x14ac:dyDescent="0.35">
      <c r="A16" t="s">
        <v>162</v>
      </c>
      <c r="B16" s="15" t="s">
        <v>161</v>
      </c>
    </row>
    <row r="17" spans="1:4" x14ac:dyDescent="0.35">
      <c r="A17">
        <v>100</v>
      </c>
      <c r="B17">
        <v>240</v>
      </c>
      <c r="C17">
        <f>A17/100</f>
        <v>1</v>
      </c>
      <c r="D17">
        <f>(B17-B$22)/(B$17-B$22)</f>
        <v>1</v>
      </c>
    </row>
    <row r="18" spans="1:4" x14ac:dyDescent="0.35">
      <c r="A18">
        <v>64</v>
      </c>
      <c r="B18">
        <v>152</v>
      </c>
      <c r="C18">
        <f t="shared" ref="C18:C22" si="2">A18/100</f>
        <v>0.64</v>
      </c>
      <c r="D18">
        <f t="shared" ref="D18:D22" si="3">(B18-B$22)/(B$17-B$22)</f>
        <v>0.62553191489361704</v>
      </c>
    </row>
    <row r="19" spans="1:4" x14ac:dyDescent="0.35">
      <c r="A19">
        <v>50</v>
      </c>
      <c r="B19">
        <v>122</v>
      </c>
      <c r="C19">
        <f t="shared" si="2"/>
        <v>0.5</v>
      </c>
      <c r="D19">
        <f t="shared" si="3"/>
        <v>0.49787234042553191</v>
      </c>
    </row>
    <row r="20" spans="1:4" x14ac:dyDescent="0.35">
      <c r="A20">
        <v>25</v>
      </c>
      <c r="B20">
        <v>63</v>
      </c>
      <c r="C20">
        <f t="shared" si="2"/>
        <v>0.25</v>
      </c>
      <c r="D20">
        <f t="shared" si="3"/>
        <v>0.24680851063829787</v>
      </c>
    </row>
    <row r="21" spans="1:4" x14ac:dyDescent="0.35">
      <c r="A21">
        <v>12.5</v>
      </c>
      <c r="B21">
        <v>33</v>
      </c>
      <c r="C21">
        <f t="shared" si="2"/>
        <v>0.125</v>
      </c>
      <c r="D21">
        <f t="shared" si="3"/>
        <v>0.11914893617021277</v>
      </c>
    </row>
    <row r="22" spans="1:4" x14ac:dyDescent="0.35">
      <c r="A22">
        <v>0</v>
      </c>
      <c r="B22">
        <v>5</v>
      </c>
      <c r="C22">
        <f t="shared" si="2"/>
        <v>0</v>
      </c>
      <c r="D22">
        <f t="shared" si="3"/>
        <v>0</v>
      </c>
    </row>
  </sheetData>
  <hyperlinks>
    <hyperlink ref="B16" r:id="rId1"/>
  </hyperlinks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30"/>
  <sheetViews>
    <sheetView zoomScale="70" zoomScaleNormal="70" workbookViewId="0">
      <selection activeCell="F21" sqref="F21"/>
    </sheetView>
  </sheetViews>
  <sheetFormatPr defaultRowHeight="14.5" x14ac:dyDescent="0.35"/>
  <cols>
    <col min="3" max="3" width="11" bestFit="1" customWidth="1"/>
    <col min="4" max="4" width="11.1796875" bestFit="1" customWidth="1"/>
    <col min="5" max="5" width="11.1796875" customWidth="1"/>
  </cols>
  <sheetData>
    <row r="2" spans="1:9" x14ac:dyDescent="0.35">
      <c r="A2" t="s">
        <v>182</v>
      </c>
      <c r="B2" t="s">
        <v>183</v>
      </c>
      <c r="C2" t="s">
        <v>187</v>
      </c>
      <c r="D2" t="s">
        <v>188</v>
      </c>
      <c r="E2" t="s">
        <v>191</v>
      </c>
      <c r="F2" t="s">
        <v>184</v>
      </c>
      <c r="G2" t="s">
        <v>185</v>
      </c>
      <c r="H2" t="s">
        <v>186</v>
      </c>
      <c r="I2" t="s">
        <v>192</v>
      </c>
    </row>
    <row r="3" spans="1:9" x14ac:dyDescent="0.35">
      <c r="A3" t="str">
        <f>DEC2HEX(B3)</f>
        <v>7F</v>
      </c>
      <c r="B3">
        <v>127</v>
      </c>
      <c r="C3">
        <v>80.5</v>
      </c>
      <c r="D3">
        <v>81</v>
      </c>
      <c r="E3">
        <v>26.1</v>
      </c>
      <c r="F3">
        <f t="shared" ref="F3:F34" si="0">B3/127</f>
        <v>1</v>
      </c>
      <c r="G3">
        <f>(C3-C$130)/(C$3-C$130)</f>
        <v>1</v>
      </c>
      <c r="H3">
        <f>(D3-D$130)/(D$3-D$130)</f>
        <v>1</v>
      </c>
      <c r="I3">
        <f>(E3-E$130)/(E$3-E$130)</f>
        <v>1</v>
      </c>
    </row>
    <row r="4" spans="1:9" x14ac:dyDescent="0.35">
      <c r="A4" t="str">
        <f t="shared" ref="A4:A67" si="1">DEC2HEX(B4)</f>
        <v>7E</v>
      </c>
      <c r="B4">
        <f>B3-1</f>
        <v>126</v>
      </c>
      <c r="F4">
        <f t="shared" si="0"/>
        <v>0.99212598425196852</v>
      </c>
    </row>
    <row r="5" spans="1:9" x14ac:dyDescent="0.35">
      <c r="A5" t="str">
        <f t="shared" si="1"/>
        <v>7D</v>
      </c>
      <c r="B5">
        <f t="shared" ref="B5:B68" si="2">B4-1</f>
        <v>125</v>
      </c>
      <c r="F5">
        <f t="shared" si="0"/>
        <v>0.98425196850393704</v>
      </c>
    </row>
    <row r="6" spans="1:9" x14ac:dyDescent="0.35">
      <c r="A6" t="str">
        <f t="shared" si="1"/>
        <v>7C</v>
      </c>
      <c r="B6">
        <f t="shared" si="2"/>
        <v>124</v>
      </c>
      <c r="F6">
        <f t="shared" si="0"/>
        <v>0.97637795275590555</v>
      </c>
    </row>
    <row r="7" spans="1:9" x14ac:dyDescent="0.35">
      <c r="A7" t="str">
        <f t="shared" si="1"/>
        <v>7B</v>
      </c>
      <c r="B7">
        <f t="shared" si="2"/>
        <v>123</v>
      </c>
      <c r="F7">
        <f t="shared" si="0"/>
        <v>0.96850393700787396</v>
      </c>
    </row>
    <row r="8" spans="1:9" x14ac:dyDescent="0.35">
      <c r="A8" t="str">
        <f t="shared" si="1"/>
        <v>7A</v>
      </c>
      <c r="B8">
        <f t="shared" si="2"/>
        <v>122</v>
      </c>
      <c r="F8">
        <f t="shared" si="0"/>
        <v>0.96062992125984248</v>
      </c>
    </row>
    <row r="9" spans="1:9" x14ac:dyDescent="0.35">
      <c r="A9" t="str">
        <f t="shared" si="1"/>
        <v>79</v>
      </c>
      <c r="B9">
        <f t="shared" si="2"/>
        <v>121</v>
      </c>
      <c r="F9">
        <f t="shared" si="0"/>
        <v>0.952755905511811</v>
      </c>
    </row>
    <row r="10" spans="1:9" x14ac:dyDescent="0.35">
      <c r="A10" t="str">
        <f t="shared" si="1"/>
        <v>78</v>
      </c>
      <c r="B10">
        <f t="shared" si="2"/>
        <v>120</v>
      </c>
      <c r="F10">
        <f t="shared" si="0"/>
        <v>0.94488188976377951</v>
      </c>
    </row>
    <row r="11" spans="1:9" x14ac:dyDescent="0.35">
      <c r="A11" t="str">
        <f t="shared" si="1"/>
        <v>77</v>
      </c>
      <c r="B11">
        <f t="shared" si="2"/>
        <v>119</v>
      </c>
      <c r="F11">
        <f t="shared" si="0"/>
        <v>0.93700787401574803</v>
      </c>
    </row>
    <row r="12" spans="1:9" x14ac:dyDescent="0.35">
      <c r="A12" t="str">
        <f t="shared" si="1"/>
        <v>76</v>
      </c>
      <c r="B12">
        <f t="shared" si="2"/>
        <v>118</v>
      </c>
      <c r="F12">
        <f t="shared" si="0"/>
        <v>0.92913385826771655</v>
      </c>
    </row>
    <row r="13" spans="1:9" x14ac:dyDescent="0.35">
      <c r="A13" t="str">
        <f t="shared" si="1"/>
        <v>75</v>
      </c>
      <c r="B13">
        <f t="shared" si="2"/>
        <v>117</v>
      </c>
      <c r="F13">
        <f t="shared" si="0"/>
        <v>0.92125984251968507</v>
      </c>
    </row>
    <row r="14" spans="1:9" x14ac:dyDescent="0.35">
      <c r="A14" t="str">
        <f t="shared" si="1"/>
        <v>74</v>
      </c>
      <c r="B14">
        <f t="shared" si="2"/>
        <v>116</v>
      </c>
      <c r="F14">
        <f t="shared" si="0"/>
        <v>0.91338582677165359</v>
      </c>
    </row>
    <row r="15" spans="1:9" x14ac:dyDescent="0.35">
      <c r="A15" t="str">
        <f t="shared" si="1"/>
        <v>73</v>
      </c>
      <c r="B15">
        <f t="shared" si="2"/>
        <v>115</v>
      </c>
      <c r="F15">
        <f t="shared" si="0"/>
        <v>0.90551181102362199</v>
      </c>
    </row>
    <row r="16" spans="1:9" x14ac:dyDescent="0.35">
      <c r="A16" t="str">
        <f t="shared" si="1"/>
        <v>72</v>
      </c>
      <c r="B16">
        <f t="shared" si="2"/>
        <v>114</v>
      </c>
      <c r="F16">
        <f t="shared" si="0"/>
        <v>0.89763779527559051</v>
      </c>
    </row>
    <row r="17" spans="1:9" x14ac:dyDescent="0.35">
      <c r="A17" t="str">
        <f t="shared" si="1"/>
        <v>71</v>
      </c>
      <c r="B17">
        <f t="shared" si="2"/>
        <v>113</v>
      </c>
      <c r="F17">
        <f t="shared" si="0"/>
        <v>0.88976377952755903</v>
      </c>
    </row>
    <row r="18" spans="1:9" x14ac:dyDescent="0.35">
      <c r="A18" t="str">
        <f t="shared" si="1"/>
        <v>70</v>
      </c>
      <c r="B18">
        <f t="shared" si="2"/>
        <v>112</v>
      </c>
      <c r="F18">
        <f t="shared" si="0"/>
        <v>0.88188976377952755</v>
      </c>
    </row>
    <row r="19" spans="1:9" x14ac:dyDescent="0.35">
      <c r="A19" t="str">
        <f t="shared" si="1"/>
        <v>6F</v>
      </c>
      <c r="B19">
        <f t="shared" si="2"/>
        <v>111</v>
      </c>
      <c r="F19">
        <f t="shared" si="0"/>
        <v>0.87401574803149606</v>
      </c>
    </row>
    <row r="20" spans="1:9" x14ac:dyDescent="0.35">
      <c r="A20" t="str">
        <f t="shared" si="1"/>
        <v>6E</v>
      </c>
      <c r="B20">
        <f t="shared" si="2"/>
        <v>110</v>
      </c>
      <c r="F20">
        <f t="shared" si="0"/>
        <v>0.86614173228346458</v>
      </c>
    </row>
    <row r="21" spans="1:9" x14ac:dyDescent="0.35">
      <c r="A21" t="str">
        <f t="shared" si="1"/>
        <v>6D</v>
      </c>
      <c r="B21">
        <f t="shared" si="2"/>
        <v>109</v>
      </c>
      <c r="F21">
        <f t="shared" si="0"/>
        <v>0.8582677165354331</v>
      </c>
    </row>
    <row r="22" spans="1:9" x14ac:dyDescent="0.35">
      <c r="A22" t="str">
        <f t="shared" si="1"/>
        <v>6C</v>
      </c>
      <c r="B22">
        <f t="shared" si="2"/>
        <v>108</v>
      </c>
      <c r="C22">
        <v>68.8</v>
      </c>
      <c r="D22">
        <v>69</v>
      </c>
      <c r="E22">
        <v>23.2</v>
      </c>
      <c r="F22">
        <f t="shared" si="0"/>
        <v>0.85039370078740162</v>
      </c>
      <c r="G22">
        <f>(C22-C$130)/(C$3-C$130)</f>
        <v>0.84358288770053469</v>
      </c>
      <c r="H22">
        <f>(D22-D$130)/(D$3-D$130)</f>
        <v>0.84674329501915713</v>
      </c>
      <c r="I22">
        <f>(E22-E$130)/(E$3-E$130)</f>
        <v>0.87526881720430094</v>
      </c>
    </row>
    <row r="23" spans="1:9" x14ac:dyDescent="0.35">
      <c r="A23" t="str">
        <f t="shared" si="1"/>
        <v>6B</v>
      </c>
      <c r="B23">
        <f t="shared" si="2"/>
        <v>107</v>
      </c>
      <c r="F23">
        <f t="shared" si="0"/>
        <v>0.84251968503937003</v>
      </c>
    </row>
    <row r="24" spans="1:9" x14ac:dyDescent="0.35">
      <c r="A24" t="str">
        <f t="shared" si="1"/>
        <v>6A</v>
      </c>
      <c r="B24">
        <f t="shared" si="2"/>
        <v>106</v>
      </c>
      <c r="F24">
        <f t="shared" si="0"/>
        <v>0.83464566929133854</v>
      </c>
    </row>
    <row r="25" spans="1:9" x14ac:dyDescent="0.35">
      <c r="A25" t="str">
        <f t="shared" si="1"/>
        <v>69</v>
      </c>
      <c r="B25">
        <f t="shared" si="2"/>
        <v>105</v>
      </c>
      <c r="F25">
        <f t="shared" si="0"/>
        <v>0.82677165354330706</v>
      </c>
    </row>
    <row r="26" spans="1:9" x14ac:dyDescent="0.35">
      <c r="A26" t="str">
        <f t="shared" si="1"/>
        <v>68</v>
      </c>
      <c r="B26">
        <f t="shared" si="2"/>
        <v>104</v>
      </c>
      <c r="F26">
        <f t="shared" si="0"/>
        <v>0.81889763779527558</v>
      </c>
    </row>
    <row r="27" spans="1:9" x14ac:dyDescent="0.35">
      <c r="A27" t="str">
        <f t="shared" si="1"/>
        <v>67</v>
      </c>
      <c r="B27">
        <f t="shared" si="2"/>
        <v>103</v>
      </c>
      <c r="F27">
        <f t="shared" si="0"/>
        <v>0.8110236220472441</v>
      </c>
    </row>
    <row r="28" spans="1:9" x14ac:dyDescent="0.35">
      <c r="A28" t="str">
        <f t="shared" si="1"/>
        <v>66</v>
      </c>
      <c r="B28">
        <f t="shared" si="2"/>
        <v>102</v>
      </c>
      <c r="F28">
        <f t="shared" si="0"/>
        <v>0.80314960629921262</v>
      </c>
    </row>
    <row r="29" spans="1:9" x14ac:dyDescent="0.35">
      <c r="A29" t="str">
        <f t="shared" si="1"/>
        <v>65</v>
      </c>
      <c r="B29">
        <f t="shared" si="2"/>
        <v>101</v>
      </c>
      <c r="F29">
        <f t="shared" si="0"/>
        <v>0.79527559055118113</v>
      </c>
    </row>
    <row r="30" spans="1:9" x14ac:dyDescent="0.35">
      <c r="A30" t="str">
        <f t="shared" si="1"/>
        <v>64</v>
      </c>
      <c r="B30">
        <f t="shared" si="2"/>
        <v>100</v>
      </c>
      <c r="F30">
        <f t="shared" si="0"/>
        <v>0.78740157480314965</v>
      </c>
    </row>
    <row r="31" spans="1:9" x14ac:dyDescent="0.35">
      <c r="A31" t="str">
        <f t="shared" si="1"/>
        <v>63</v>
      </c>
      <c r="B31">
        <f t="shared" si="2"/>
        <v>99</v>
      </c>
      <c r="F31">
        <f t="shared" si="0"/>
        <v>0.77952755905511806</v>
      </c>
    </row>
    <row r="32" spans="1:9" x14ac:dyDescent="0.35">
      <c r="A32" t="str">
        <f t="shared" si="1"/>
        <v>62</v>
      </c>
      <c r="B32">
        <f t="shared" si="2"/>
        <v>98</v>
      </c>
      <c r="F32">
        <f t="shared" si="0"/>
        <v>0.77165354330708658</v>
      </c>
    </row>
    <row r="33" spans="1:9" x14ac:dyDescent="0.35">
      <c r="A33" t="str">
        <f t="shared" si="1"/>
        <v>61</v>
      </c>
      <c r="B33">
        <f t="shared" si="2"/>
        <v>97</v>
      </c>
      <c r="F33">
        <f t="shared" si="0"/>
        <v>0.76377952755905509</v>
      </c>
    </row>
    <row r="34" spans="1:9" x14ac:dyDescent="0.35">
      <c r="A34" t="str">
        <f t="shared" si="1"/>
        <v>60</v>
      </c>
      <c r="B34">
        <f t="shared" si="2"/>
        <v>96</v>
      </c>
      <c r="C34">
        <v>61.1</v>
      </c>
      <c r="D34">
        <v>61.3</v>
      </c>
      <c r="E34">
        <v>19.899999999999999</v>
      </c>
      <c r="F34">
        <f t="shared" si="0"/>
        <v>0.75590551181102361</v>
      </c>
      <c r="G34">
        <f>(C34-C$130)/(C$3-C$130)</f>
        <v>0.74064171122994649</v>
      </c>
      <c r="H34">
        <f>(D34-D$130)/(D$3-D$130)</f>
        <v>0.7484035759897828</v>
      </c>
      <c r="I34">
        <f>(E34-E$130)/(E$3-E$130)</f>
        <v>0.73333333333333317</v>
      </c>
    </row>
    <row r="35" spans="1:9" x14ac:dyDescent="0.35">
      <c r="A35" t="str">
        <f t="shared" si="1"/>
        <v>5F</v>
      </c>
      <c r="B35">
        <f t="shared" si="2"/>
        <v>95</v>
      </c>
      <c r="F35">
        <f t="shared" ref="F35:F66" si="3">B35/127</f>
        <v>0.74803149606299213</v>
      </c>
    </row>
    <row r="36" spans="1:9" x14ac:dyDescent="0.35">
      <c r="A36" t="str">
        <f t="shared" si="1"/>
        <v>5E</v>
      </c>
      <c r="B36">
        <f t="shared" si="2"/>
        <v>94</v>
      </c>
      <c r="F36">
        <f t="shared" si="3"/>
        <v>0.74015748031496065</v>
      </c>
    </row>
    <row r="37" spans="1:9" x14ac:dyDescent="0.35">
      <c r="A37" t="str">
        <f t="shared" si="1"/>
        <v>5D</v>
      </c>
      <c r="B37">
        <f t="shared" si="2"/>
        <v>93</v>
      </c>
      <c r="F37">
        <f t="shared" si="3"/>
        <v>0.73228346456692917</v>
      </c>
    </row>
    <row r="38" spans="1:9" x14ac:dyDescent="0.35">
      <c r="A38" t="str">
        <f t="shared" si="1"/>
        <v>5C</v>
      </c>
      <c r="B38">
        <f t="shared" si="2"/>
        <v>92</v>
      </c>
      <c r="F38">
        <f t="shared" si="3"/>
        <v>0.72440944881889768</v>
      </c>
    </row>
    <row r="39" spans="1:9" x14ac:dyDescent="0.35">
      <c r="A39" t="str">
        <f t="shared" si="1"/>
        <v>5B</v>
      </c>
      <c r="B39">
        <f t="shared" si="2"/>
        <v>91</v>
      </c>
      <c r="F39">
        <f t="shared" si="3"/>
        <v>0.71653543307086609</v>
      </c>
    </row>
    <row r="40" spans="1:9" x14ac:dyDescent="0.35">
      <c r="A40" t="str">
        <f t="shared" si="1"/>
        <v>5A</v>
      </c>
      <c r="B40">
        <f t="shared" si="2"/>
        <v>90</v>
      </c>
      <c r="F40">
        <f t="shared" si="3"/>
        <v>0.70866141732283461</v>
      </c>
    </row>
    <row r="41" spans="1:9" x14ac:dyDescent="0.35">
      <c r="A41" t="str">
        <f t="shared" si="1"/>
        <v>59</v>
      </c>
      <c r="B41">
        <f t="shared" si="2"/>
        <v>89</v>
      </c>
      <c r="F41">
        <f t="shared" si="3"/>
        <v>0.70078740157480313</v>
      </c>
    </row>
    <row r="42" spans="1:9" x14ac:dyDescent="0.35">
      <c r="A42" t="str">
        <f t="shared" si="1"/>
        <v>58</v>
      </c>
      <c r="B42">
        <f t="shared" si="2"/>
        <v>88</v>
      </c>
      <c r="F42">
        <f t="shared" si="3"/>
        <v>0.69291338582677164</v>
      </c>
    </row>
    <row r="43" spans="1:9" x14ac:dyDescent="0.35">
      <c r="A43" t="str">
        <f t="shared" si="1"/>
        <v>57</v>
      </c>
      <c r="B43">
        <f t="shared" si="2"/>
        <v>87</v>
      </c>
      <c r="F43">
        <f t="shared" si="3"/>
        <v>0.68503937007874016</v>
      </c>
    </row>
    <row r="44" spans="1:9" x14ac:dyDescent="0.35">
      <c r="A44" t="str">
        <f t="shared" si="1"/>
        <v>56</v>
      </c>
      <c r="B44">
        <f t="shared" si="2"/>
        <v>86</v>
      </c>
      <c r="F44">
        <f t="shared" si="3"/>
        <v>0.67716535433070868</v>
      </c>
    </row>
    <row r="45" spans="1:9" x14ac:dyDescent="0.35">
      <c r="A45" t="str">
        <f t="shared" si="1"/>
        <v>55</v>
      </c>
      <c r="B45">
        <f t="shared" si="2"/>
        <v>85</v>
      </c>
      <c r="F45">
        <f t="shared" si="3"/>
        <v>0.6692913385826772</v>
      </c>
    </row>
    <row r="46" spans="1:9" x14ac:dyDescent="0.35">
      <c r="A46" t="str">
        <f t="shared" si="1"/>
        <v>54</v>
      </c>
      <c r="B46">
        <f t="shared" si="2"/>
        <v>84</v>
      </c>
      <c r="F46">
        <f t="shared" si="3"/>
        <v>0.66141732283464572</v>
      </c>
    </row>
    <row r="47" spans="1:9" x14ac:dyDescent="0.35">
      <c r="A47" t="str">
        <f t="shared" si="1"/>
        <v>53</v>
      </c>
      <c r="B47">
        <f t="shared" si="2"/>
        <v>83</v>
      </c>
      <c r="F47">
        <f t="shared" si="3"/>
        <v>0.65354330708661412</v>
      </c>
    </row>
    <row r="48" spans="1:9" x14ac:dyDescent="0.35">
      <c r="A48" t="str">
        <f t="shared" si="1"/>
        <v>52</v>
      </c>
      <c r="B48">
        <f t="shared" si="2"/>
        <v>82</v>
      </c>
      <c r="F48">
        <f t="shared" si="3"/>
        <v>0.64566929133858264</v>
      </c>
    </row>
    <row r="49" spans="1:9" x14ac:dyDescent="0.35">
      <c r="A49" t="str">
        <f t="shared" si="1"/>
        <v>51</v>
      </c>
      <c r="B49">
        <f t="shared" si="2"/>
        <v>81</v>
      </c>
      <c r="F49">
        <f t="shared" si="3"/>
        <v>0.63779527559055116</v>
      </c>
    </row>
    <row r="50" spans="1:9" x14ac:dyDescent="0.35">
      <c r="A50" t="str">
        <f t="shared" si="1"/>
        <v>50</v>
      </c>
      <c r="B50">
        <f t="shared" si="2"/>
        <v>80</v>
      </c>
      <c r="F50">
        <f t="shared" si="3"/>
        <v>0.62992125984251968</v>
      </c>
    </row>
    <row r="51" spans="1:9" x14ac:dyDescent="0.35">
      <c r="A51" t="str">
        <f t="shared" si="1"/>
        <v>4F</v>
      </c>
      <c r="B51">
        <f t="shared" si="2"/>
        <v>79</v>
      </c>
      <c r="C51">
        <v>50.5</v>
      </c>
      <c r="D51">
        <v>50.6</v>
      </c>
      <c r="E51">
        <v>16.5</v>
      </c>
      <c r="F51">
        <f t="shared" si="3"/>
        <v>0.62204724409448819</v>
      </c>
      <c r="G51">
        <f>(C51-C$130)/(C$3-C$130)</f>
        <v>0.59893048128342241</v>
      </c>
      <c r="H51">
        <f>(D51-D$130)/(D$3-D$130)</f>
        <v>0.61174968071519797</v>
      </c>
      <c r="I51">
        <f>(E51-E$130)/(E$3-E$130)</f>
        <v>0.58709677419354844</v>
      </c>
    </row>
    <row r="52" spans="1:9" x14ac:dyDescent="0.35">
      <c r="A52" t="str">
        <f t="shared" si="1"/>
        <v>4E</v>
      </c>
      <c r="B52">
        <f t="shared" si="2"/>
        <v>78</v>
      </c>
      <c r="F52">
        <f t="shared" si="3"/>
        <v>0.61417322834645671</v>
      </c>
    </row>
    <row r="53" spans="1:9" x14ac:dyDescent="0.35">
      <c r="A53" t="str">
        <f t="shared" si="1"/>
        <v>4D</v>
      </c>
      <c r="B53">
        <f t="shared" si="2"/>
        <v>77</v>
      </c>
      <c r="F53">
        <f t="shared" si="3"/>
        <v>0.60629921259842523</v>
      </c>
    </row>
    <row r="54" spans="1:9" x14ac:dyDescent="0.35">
      <c r="A54" t="str">
        <f t="shared" si="1"/>
        <v>4C</v>
      </c>
      <c r="B54">
        <f t="shared" si="2"/>
        <v>76</v>
      </c>
      <c r="F54">
        <f t="shared" si="3"/>
        <v>0.59842519685039375</v>
      </c>
    </row>
    <row r="55" spans="1:9" x14ac:dyDescent="0.35">
      <c r="A55" t="str">
        <f t="shared" si="1"/>
        <v>4B</v>
      </c>
      <c r="B55">
        <f t="shared" si="2"/>
        <v>75</v>
      </c>
      <c r="F55">
        <f t="shared" si="3"/>
        <v>0.59055118110236215</v>
      </c>
    </row>
    <row r="56" spans="1:9" x14ac:dyDescent="0.35">
      <c r="A56" t="str">
        <f t="shared" si="1"/>
        <v>4A</v>
      </c>
      <c r="B56">
        <f t="shared" si="2"/>
        <v>74</v>
      </c>
      <c r="F56">
        <f t="shared" si="3"/>
        <v>0.58267716535433067</v>
      </c>
    </row>
    <row r="57" spans="1:9" x14ac:dyDescent="0.35">
      <c r="A57" t="str">
        <f t="shared" si="1"/>
        <v>49</v>
      </c>
      <c r="B57">
        <f t="shared" si="2"/>
        <v>73</v>
      </c>
      <c r="F57">
        <f t="shared" si="3"/>
        <v>0.57480314960629919</v>
      </c>
    </row>
    <row r="58" spans="1:9" x14ac:dyDescent="0.35">
      <c r="A58" t="str">
        <f t="shared" si="1"/>
        <v>48</v>
      </c>
      <c r="B58">
        <f t="shared" si="2"/>
        <v>72</v>
      </c>
      <c r="F58">
        <f t="shared" si="3"/>
        <v>0.56692913385826771</v>
      </c>
    </row>
    <row r="59" spans="1:9" x14ac:dyDescent="0.35">
      <c r="A59" t="str">
        <f t="shared" si="1"/>
        <v>47</v>
      </c>
      <c r="B59">
        <f t="shared" si="2"/>
        <v>71</v>
      </c>
      <c r="F59">
        <f t="shared" si="3"/>
        <v>0.55905511811023623</v>
      </c>
    </row>
    <row r="60" spans="1:9" x14ac:dyDescent="0.35">
      <c r="A60" t="str">
        <f t="shared" si="1"/>
        <v>46</v>
      </c>
      <c r="B60">
        <f t="shared" si="2"/>
        <v>70</v>
      </c>
      <c r="F60">
        <f t="shared" si="3"/>
        <v>0.55118110236220474</v>
      </c>
    </row>
    <row r="61" spans="1:9" x14ac:dyDescent="0.35">
      <c r="A61" t="str">
        <f t="shared" si="1"/>
        <v>45</v>
      </c>
      <c r="B61">
        <f t="shared" si="2"/>
        <v>69</v>
      </c>
      <c r="F61">
        <f t="shared" si="3"/>
        <v>0.54330708661417326</v>
      </c>
    </row>
    <row r="62" spans="1:9" x14ac:dyDescent="0.35">
      <c r="A62" t="str">
        <f t="shared" si="1"/>
        <v>44</v>
      </c>
      <c r="B62">
        <f t="shared" si="2"/>
        <v>68</v>
      </c>
      <c r="F62">
        <f t="shared" si="3"/>
        <v>0.53543307086614178</v>
      </c>
    </row>
    <row r="63" spans="1:9" x14ac:dyDescent="0.35">
      <c r="A63" t="str">
        <f t="shared" si="1"/>
        <v>43</v>
      </c>
      <c r="B63">
        <f t="shared" si="2"/>
        <v>67</v>
      </c>
      <c r="F63">
        <f t="shared" si="3"/>
        <v>0.52755905511811019</v>
      </c>
    </row>
    <row r="64" spans="1:9" x14ac:dyDescent="0.35">
      <c r="A64" t="str">
        <f t="shared" si="1"/>
        <v>42</v>
      </c>
      <c r="B64">
        <f t="shared" si="2"/>
        <v>66</v>
      </c>
      <c r="F64">
        <f t="shared" si="3"/>
        <v>0.51968503937007871</v>
      </c>
    </row>
    <row r="65" spans="1:9" x14ac:dyDescent="0.35">
      <c r="A65" t="str">
        <f t="shared" si="1"/>
        <v>41</v>
      </c>
      <c r="B65">
        <f t="shared" si="2"/>
        <v>65</v>
      </c>
      <c r="F65">
        <f t="shared" si="3"/>
        <v>0.51181102362204722</v>
      </c>
    </row>
    <row r="66" spans="1:9" x14ac:dyDescent="0.35">
      <c r="A66" t="str">
        <f t="shared" si="1"/>
        <v>40</v>
      </c>
      <c r="B66">
        <f t="shared" si="2"/>
        <v>64</v>
      </c>
      <c r="C66">
        <v>41</v>
      </c>
      <c r="D66">
        <v>41.1</v>
      </c>
      <c r="E66">
        <v>13.5</v>
      </c>
      <c r="F66">
        <f t="shared" si="3"/>
        <v>0.50393700787401574</v>
      </c>
      <c r="G66">
        <f>(C66-C$130)/(C$3-C$130)</f>
        <v>0.47192513368983957</v>
      </c>
      <c r="H66">
        <f>(D66-D$130)/(D$3-D$130)</f>
        <v>0.49042145593869729</v>
      </c>
      <c r="I66">
        <f>(E66-E$130)/(E$3-E$130)</f>
        <v>0.45806451612903226</v>
      </c>
    </row>
    <row r="67" spans="1:9" x14ac:dyDescent="0.35">
      <c r="A67" t="str">
        <f t="shared" si="1"/>
        <v>3F</v>
      </c>
      <c r="B67">
        <f t="shared" si="2"/>
        <v>63</v>
      </c>
      <c r="F67">
        <f t="shared" ref="F67:F98" si="4">B67/127</f>
        <v>0.49606299212598426</v>
      </c>
    </row>
    <row r="68" spans="1:9" x14ac:dyDescent="0.35">
      <c r="A68" t="str">
        <f t="shared" ref="A68:A130" si="5">DEC2HEX(B68)</f>
        <v>3E</v>
      </c>
      <c r="B68">
        <f t="shared" si="2"/>
        <v>62</v>
      </c>
      <c r="F68">
        <f t="shared" si="4"/>
        <v>0.48818897637795278</v>
      </c>
    </row>
    <row r="69" spans="1:9" x14ac:dyDescent="0.35">
      <c r="A69" t="str">
        <f t="shared" si="5"/>
        <v>3D</v>
      </c>
      <c r="B69">
        <f t="shared" ref="B69:B130" si="6">B68-1</f>
        <v>61</v>
      </c>
      <c r="F69">
        <f t="shared" si="4"/>
        <v>0.48031496062992124</v>
      </c>
    </row>
    <row r="70" spans="1:9" x14ac:dyDescent="0.35">
      <c r="A70" t="str">
        <f t="shared" si="5"/>
        <v>3C</v>
      </c>
      <c r="B70">
        <f t="shared" si="6"/>
        <v>60</v>
      </c>
      <c r="F70">
        <f t="shared" si="4"/>
        <v>0.47244094488188976</v>
      </c>
    </row>
    <row r="71" spans="1:9" x14ac:dyDescent="0.35">
      <c r="A71" t="str">
        <f t="shared" si="5"/>
        <v>3B</v>
      </c>
      <c r="B71">
        <f t="shared" si="6"/>
        <v>59</v>
      </c>
      <c r="F71">
        <f t="shared" si="4"/>
        <v>0.46456692913385828</v>
      </c>
    </row>
    <row r="72" spans="1:9" x14ac:dyDescent="0.35">
      <c r="A72" t="str">
        <f t="shared" si="5"/>
        <v>3A</v>
      </c>
      <c r="B72">
        <f t="shared" si="6"/>
        <v>58</v>
      </c>
      <c r="F72">
        <f t="shared" si="4"/>
        <v>0.45669291338582679</v>
      </c>
    </row>
    <row r="73" spans="1:9" x14ac:dyDescent="0.35">
      <c r="A73" t="str">
        <f t="shared" si="5"/>
        <v>39</v>
      </c>
      <c r="B73">
        <f t="shared" si="6"/>
        <v>57</v>
      </c>
      <c r="F73">
        <f t="shared" si="4"/>
        <v>0.44881889763779526</v>
      </c>
    </row>
    <row r="74" spans="1:9" x14ac:dyDescent="0.35">
      <c r="A74" t="str">
        <f t="shared" si="5"/>
        <v>38</v>
      </c>
      <c r="B74">
        <f t="shared" si="6"/>
        <v>56</v>
      </c>
      <c r="F74">
        <f t="shared" si="4"/>
        <v>0.44094488188976377</v>
      </c>
    </row>
    <row r="75" spans="1:9" x14ac:dyDescent="0.35">
      <c r="A75" t="str">
        <f t="shared" si="5"/>
        <v>37</v>
      </c>
      <c r="B75">
        <f t="shared" si="6"/>
        <v>55</v>
      </c>
      <c r="F75">
        <f t="shared" si="4"/>
        <v>0.43307086614173229</v>
      </c>
    </row>
    <row r="76" spans="1:9" x14ac:dyDescent="0.35">
      <c r="A76" t="str">
        <f t="shared" si="5"/>
        <v>36</v>
      </c>
      <c r="B76">
        <f t="shared" si="6"/>
        <v>54</v>
      </c>
      <c r="F76">
        <f t="shared" si="4"/>
        <v>0.42519685039370081</v>
      </c>
    </row>
    <row r="77" spans="1:9" x14ac:dyDescent="0.35">
      <c r="A77" t="str">
        <f t="shared" si="5"/>
        <v>35</v>
      </c>
      <c r="B77">
        <f t="shared" si="6"/>
        <v>53</v>
      </c>
      <c r="F77">
        <f t="shared" si="4"/>
        <v>0.41732283464566927</v>
      </c>
    </row>
    <row r="78" spans="1:9" x14ac:dyDescent="0.35">
      <c r="A78" t="str">
        <f t="shared" si="5"/>
        <v>34</v>
      </c>
      <c r="B78">
        <f t="shared" si="6"/>
        <v>52</v>
      </c>
      <c r="F78">
        <f t="shared" si="4"/>
        <v>0.40944881889763779</v>
      </c>
    </row>
    <row r="79" spans="1:9" x14ac:dyDescent="0.35">
      <c r="A79" t="str">
        <f t="shared" si="5"/>
        <v>33</v>
      </c>
      <c r="B79">
        <f t="shared" si="6"/>
        <v>51</v>
      </c>
      <c r="F79">
        <f t="shared" si="4"/>
        <v>0.40157480314960631</v>
      </c>
    </row>
    <row r="80" spans="1:9" x14ac:dyDescent="0.35">
      <c r="A80" t="str">
        <f t="shared" si="5"/>
        <v>32</v>
      </c>
      <c r="B80">
        <f t="shared" si="6"/>
        <v>50</v>
      </c>
      <c r="F80">
        <f t="shared" si="4"/>
        <v>0.39370078740157483</v>
      </c>
    </row>
    <row r="81" spans="1:9" x14ac:dyDescent="0.35">
      <c r="A81" t="str">
        <f t="shared" si="5"/>
        <v>31</v>
      </c>
      <c r="B81">
        <f t="shared" si="6"/>
        <v>49</v>
      </c>
      <c r="F81">
        <f t="shared" si="4"/>
        <v>0.38582677165354329</v>
      </c>
    </row>
    <row r="82" spans="1:9" x14ac:dyDescent="0.35">
      <c r="A82" t="str">
        <f t="shared" si="5"/>
        <v>30</v>
      </c>
      <c r="B82">
        <f t="shared" si="6"/>
        <v>48</v>
      </c>
      <c r="C82">
        <v>30</v>
      </c>
      <c r="D82">
        <v>31</v>
      </c>
      <c r="E82">
        <v>10.1</v>
      </c>
      <c r="F82">
        <f t="shared" si="4"/>
        <v>0.37795275590551181</v>
      </c>
      <c r="G82">
        <f>(C82-C$130)/(C$3-C$130)</f>
        <v>0.32486631016042783</v>
      </c>
      <c r="H82">
        <f>(D82-D$130)/(D$3-D$130)</f>
        <v>0.36143039591315457</v>
      </c>
      <c r="I82">
        <f>(E82-E$130)/(E$3-E$130)</f>
        <v>0.31182795698924731</v>
      </c>
    </row>
    <row r="83" spans="1:9" x14ac:dyDescent="0.35">
      <c r="A83" t="str">
        <f t="shared" si="5"/>
        <v>2F</v>
      </c>
      <c r="B83">
        <f t="shared" si="6"/>
        <v>47</v>
      </c>
      <c r="F83">
        <f t="shared" si="4"/>
        <v>0.37007874015748032</v>
      </c>
    </row>
    <row r="84" spans="1:9" x14ac:dyDescent="0.35">
      <c r="A84" t="str">
        <f t="shared" si="5"/>
        <v>2E</v>
      </c>
      <c r="B84">
        <f t="shared" si="6"/>
        <v>46</v>
      </c>
      <c r="F84">
        <f t="shared" si="4"/>
        <v>0.36220472440944884</v>
      </c>
    </row>
    <row r="85" spans="1:9" x14ac:dyDescent="0.35">
      <c r="A85" t="str">
        <f t="shared" si="5"/>
        <v>2D</v>
      </c>
      <c r="B85">
        <f t="shared" si="6"/>
        <v>45</v>
      </c>
      <c r="F85">
        <f t="shared" si="4"/>
        <v>0.3543307086614173</v>
      </c>
    </row>
    <row r="86" spans="1:9" x14ac:dyDescent="0.35">
      <c r="A86" t="str">
        <f t="shared" si="5"/>
        <v>2C</v>
      </c>
      <c r="B86">
        <f t="shared" si="6"/>
        <v>44</v>
      </c>
      <c r="F86">
        <f t="shared" si="4"/>
        <v>0.34645669291338582</v>
      </c>
    </row>
    <row r="87" spans="1:9" x14ac:dyDescent="0.35">
      <c r="A87" t="str">
        <f t="shared" si="5"/>
        <v>2B</v>
      </c>
      <c r="B87">
        <f t="shared" si="6"/>
        <v>43</v>
      </c>
      <c r="F87">
        <f t="shared" si="4"/>
        <v>0.33858267716535434</v>
      </c>
    </row>
    <row r="88" spans="1:9" x14ac:dyDescent="0.35">
      <c r="A88" t="str">
        <f t="shared" si="5"/>
        <v>2A</v>
      </c>
      <c r="B88">
        <f t="shared" si="6"/>
        <v>42</v>
      </c>
      <c r="F88">
        <f t="shared" si="4"/>
        <v>0.33070866141732286</v>
      </c>
    </row>
    <row r="89" spans="1:9" x14ac:dyDescent="0.35">
      <c r="A89" t="str">
        <f t="shared" si="5"/>
        <v>29</v>
      </c>
      <c r="B89">
        <f t="shared" si="6"/>
        <v>41</v>
      </c>
      <c r="F89">
        <f t="shared" si="4"/>
        <v>0.32283464566929132</v>
      </c>
    </row>
    <row r="90" spans="1:9" x14ac:dyDescent="0.35">
      <c r="A90" t="str">
        <f t="shared" si="5"/>
        <v>28</v>
      </c>
      <c r="B90">
        <f t="shared" si="6"/>
        <v>40</v>
      </c>
      <c r="F90">
        <f t="shared" si="4"/>
        <v>0.31496062992125984</v>
      </c>
    </row>
    <row r="91" spans="1:9" x14ac:dyDescent="0.35">
      <c r="A91" t="str">
        <f t="shared" si="5"/>
        <v>27</v>
      </c>
      <c r="B91">
        <f t="shared" si="6"/>
        <v>39</v>
      </c>
      <c r="F91">
        <f t="shared" si="4"/>
        <v>0.30708661417322836</v>
      </c>
    </row>
    <row r="92" spans="1:9" x14ac:dyDescent="0.35">
      <c r="A92" t="str">
        <f t="shared" si="5"/>
        <v>26</v>
      </c>
      <c r="B92">
        <f t="shared" si="6"/>
        <v>38</v>
      </c>
      <c r="F92">
        <f t="shared" si="4"/>
        <v>0.29921259842519687</v>
      </c>
    </row>
    <row r="93" spans="1:9" x14ac:dyDescent="0.35">
      <c r="A93" t="str">
        <f t="shared" si="5"/>
        <v>25</v>
      </c>
      <c r="B93">
        <f t="shared" si="6"/>
        <v>37</v>
      </c>
      <c r="F93">
        <f t="shared" si="4"/>
        <v>0.29133858267716534</v>
      </c>
    </row>
    <row r="94" spans="1:9" x14ac:dyDescent="0.35">
      <c r="A94" t="str">
        <f t="shared" si="5"/>
        <v>24</v>
      </c>
      <c r="B94">
        <f t="shared" si="6"/>
        <v>36</v>
      </c>
      <c r="F94">
        <f t="shared" si="4"/>
        <v>0.28346456692913385</v>
      </c>
    </row>
    <row r="95" spans="1:9" x14ac:dyDescent="0.35">
      <c r="A95" t="str">
        <f t="shared" si="5"/>
        <v>23</v>
      </c>
      <c r="B95">
        <f t="shared" si="6"/>
        <v>35</v>
      </c>
      <c r="F95">
        <f t="shared" si="4"/>
        <v>0.27559055118110237</v>
      </c>
    </row>
    <row r="96" spans="1:9" x14ac:dyDescent="0.35">
      <c r="A96" t="str">
        <f t="shared" si="5"/>
        <v>22</v>
      </c>
      <c r="B96">
        <f t="shared" si="6"/>
        <v>34</v>
      </c>
      <c r="F96">
        <f t="shared" si="4"/>
        <v>0.26771653543307089</v>
      </c>
    </row>
    <row r="97" spans="1:9" x14ac:dyDescent="0.35">
      <c r="A97" t="str">
        <f t="shared" si="5"/>
        <v>21</v>
      </c>
      <c r="B97">
        <f t="shared" si="6"/>
        <v>33</v>
      </c>
      <c r="F97">
        <f t="shared" si="4"/>
        <v>0.25984251968503935</v>
      </c>
    </row>
    <row r="98" spans="1:9" x14ac:dyDescent="0.35">
      <c r="A98" t="str">
        <f t="shared" si="5"/>
        <v>20</v>
      </c>
      <c r="B98">
        <f t="shared" si="6"/>
        <v>32</v>
      </c>
      <c r="C98">
        <v>21.1</v>
      </c>
      <c r="D98">
        <v>21</v>
      </c>
      <c r="E98">
        <v>7.2</v>
      </c>
      <c r="F98">
        <f t="shared" si="4"/>
        <v>0.25196850393700787</v>
      </c>
      <c r="G98">
        <f>(C98-C$130)/(C$3-C$130)</f>
        <v>0.20588235294117652</v>
      </c>
      <c r="H98">
        <f>(D98-D$130)/(D$3-D$130)</f>
        <v>0.23371647509578547</v>
      </c>
      <c r="I98">
        <f>(E98-E$130)/(E$3-E$130)</f>
        <v>0.18709677419354837</v>
      </c>
    </row>
    <row r="99" spans="1:9" x14ac:dyDescent="0.35">
      <c r="A99" t="str">
        <f t="shared" si="5"/>
        <v>1F</v>
      </c>
      <c r="B99">
        <f t="shared" si="6"/>
        <v>31</v>
      </c>
      <c r="F99">
        <f t="shared" ref="F99:F130" si="7">B99/127</f>
        <v>0.24409448818897639</v>
      </c>
    </row>
    <row r="100" spans="1:9" x14ac:dyDescent="0.35">
      <c r="A100" t="str">
        <f t="shared" si="5"/>
        <v>1E</v>
      </c>
      <c r="B100">
        <f t="shared" si="6"/>
        <v>30</v>
      </c>
      <c r="F100">
        <f t="shared" si="7"/>
        <v>0.23622047244094488</v>
      </c>
    </row>
    <row r="101" spans="1:9" x14ac:dyDescent="0.35">
      <c r="A101" t="str">
        <f t="shared" si="5"/>
        <v>1D</v>
      </c>
      <c r="B101">
        <f t="shared" si="6"/>
        <v>29</v>
      </c>
      <c r="F101">
        <f t="shared" si="7"/>
        <v>0.2283464566929134</v>
      </c>
    </row>
    <row r="102" spans="1:9" x14ac:dyDescent="0.35">
      <c r="A102" t="str">
        <f t="shared" si="5"/>
        <v>1C</v>
      </c>
      <c r="B102">
        <f t="shared" si="6"/>
        <v>28</v>
      </c>
      <c r="F102">
        <f t="shared" si="7"/>
        <v>0.22047244094488189</v>
      </c>
    </row>
    <row r="103" spans="1:9" x14ac:dyDescent="0.35">
      <c r="A103" t="str">
        <f t="shared" si="5"/>
        <v>1B</v>
      </c>
      <c r="B103">
        <f t="shared" si="6"/>
        <v>27</v>
      </c>
      <c r="F103">
        <f t="shared" si="7"/>
        <v>0.2125984251968504</v>
      </c>
    </row>
    <row r="104" spans="1:9" x14ac:dyDescent="0.35">
      <c r="A104" t="str">
        <f t="shared" si="5"/>
        <v>1A</v>
      </c>
      <c r="B104">
        <f t="shared" si="6"/>
        <v>26</v>
      </c>
      <c r="F104">
        <f t="shared" si="7"/>
        <v>0.20472440944881889</v>
      </c>
    </row>
    <row r="105" spans="1:9" x14ac:dyDescent="0.35">
      <c r="A105" t="str">
        <f t="shared" si="5"/>
        <v>19</v>
      </c>
      <c r="B105">
        <f t="shared" si="6"/>
        <v>25</v>
      </c>
      <c r="F105">
        <f t="shared" si="7"/>
        <v>0.19685039370078741</v>
      </c>
    </row>
    <row r="106" spans="1:9" x14ac:dyDescent="0.35">
      <c r="A106" t="str">
        <f t="shared" si="5"/>
        <v>18</v>
      </c>
      <c r="B106">
        <f t="shared" si="6"/>
        <v>24</v>
      </c>
      <c r="F106">
        <f t="shared" si="7"/>
        <v>0.1889763779527559</v>
      </c>
    </row>
    <row r="107" spans="1:9" x14ac:dyDescent="0.35">
      <c r="A107" t="str">
        <f t="shared" si="5"/>
        <v>17</v>
      </c>
      <c r="B107">
        <f t="shared" si="6"/>
        <v>23</v>
      </c>
      <c r="F107">
        <f t="shared" si="7"/>
        <v>0.18110236220472442</v>
      </c>
    </row>
    <row r="108" spans="1:9" x14ac:dyDescent="0.35">
      <c r="A108" t="str">
        <f t="shared" si="5"/>
        <v>16</v>
      </c>
      <c r="B108">
        <f t="shared" si="6"/>
        <v>22</v>
      </c>
      <c r="C108">
        <v>15.1</v>
      </c>
      <c r="F108">
        <f t="shared" si="7"/>
        <v>0.17322834645669291</v>
      </c>
      <c r="G108">
        <f>(C108-C$130)/(C$3-C$130)</f>
        <v>0.12566844919786094</v>
      </c>
    </row>
    <row r="109" spans="1:9" x14ac:dyDescent="0.35">
      <c r="A109" t="str">
        <f t="shared" si="5"/>
        <v>15</v>
      </c>
      <c r="B109">
        <f t="shared" si="6"/>
        <v>21</v>
      </c>
      <c r="F109">
        <f t="shared" si="7"/>
        <v>0.16535433070866143</v>
      </c>
    </row>
    <row r="110" spans="1:9" x14ac:dyDescent="0.35">
      <c r="A110" t="str">
        <f t="shared" si="5"/>
        <v>14</v>
      </c>
      <c r="B110">
        <f t="shared" si="6"/>
        <v>20</v>
      </c>
      <c r="F110">
        <f t="shared" si="7"/>
        <v>0.15748031496062992</v>
      </c>
    </row>
    <row r="111" spans="1:9" x14ac:dyDescent="0.35">
      <c r="A111" t="str">
        <f t="shared" si="5"/>
        <v>13</v>
      </c>
      <c r="B111">
        <f t="shared" si="6"/>
        <v>19</v>
      </c>
      <c r="F111">
        <f t="shared" si="7"/>
        <v>0.14960629921259844</v>
      </c>
    </row>
    <row r="112" spans="1:9" x14ac:dyDescent="0.35">
      <c r="A112" t="str">
        <f t="shared" si="5"/>
        <v>12</v>
      </c>
      <c r="B112">
        <f t="shared" si="6"/>
        <v>18</v>
      </c>
      <c r="F112">
        <f t="shared" si="7"/>
        <v>0.14173228346456693</v>
      </c>
    </row>
    <row r="113" spans="1:9" x14ac:dyDescent="0.35">
      <c r="A113" t="str">
        <f t="shared" si="5"/>
        <v>11</v>
      </c>
      <c r="B113">
        <f t="shared" si="6"/>
        <v>17</v>
      </c>
      <c r="F113">
        <f t="shared" si="7"/>
        <v>0.13385826771653545</v>
      </c>
    </row>
    <row r="114" spans="1:9" x14ac:dyDescent="0.35">
      <c r="A114" t="str">
        <f t="shared" si="5"/>
        <v>10</v>
      </c>
      <c r="B114">
        <f t="shared" si="6"/>
        <v>16</v>
      </c>
      <c r="C114">
        <v>11.8</v>
      </c>
      <c r="D114">
        <v>10.7</v>
      </c>
      <c r="F114">
        <f t="shared" si="7"/>
        <v>0.12598425196850394</v>
      </c>
      <c r="G114">
        <f>(C114-C$130)/(C$3-C$130)</f>
        <v>8.155080213903744E-2</v>
      </c>
      <c r="H114">
        <f>(D114-D$130)/(D$3-D$130)</f>
        <v>0.10217113665389527</v>
      </c>
    </row>
    <row r="115" spans="1:9" x14ac:dyDescent="0.35">
      <c r="A115" t="str">
        <f t="shared" si="5"/>
        <v>F</v>
      </c>
      <c r="B115">
        <f t="shared" si="6"/>
        <v>15</v>
      </c>
      <c r="F115">
        <f t="shared" si="7"/>
        <v>0.11811023622047244</v>
      </c>
    </row>
    <row r="116" spans="1:9" x14ac:dyDescent="0.35">
      <c r="A116" t="str">
        <f t="shared" si="5"/>
        <v>E</v>
      </c>
      <c r="B116">
        <f t="shared" si="6"/>
        <v>14</v>
      </c>
      <c r="F116">
        <f t="shared" si="7"/>
        <v>0.11023622047244094</v>
      </c>
    </row>
    <row r="117" spans="1:9" x14ac:dyDescent="0.35">
      <c r="A117" t="str">
        <f t="shared" si="5"/>
        <v>D</v>
      </c>
      <c r="B117">
        <f t="shared" si="6"/>
        <v>13</v>
      </c>
      <c r="F117">
        <f t="shared" si="7"/>
        <v>0.10236220472440945</v>
      </c>
    </row>
    <row r="118" spans="1:9" x14ac:dyDescent="0.35">
      <c r="A118" t="str">
        <f t="shared" si="5"/>
        <v>C</v>
      </c>
      <c r="B118">
        <f t="shared" si="6"/>
        <v>12</v>
      </c>
      <c r="F118">
        <f t="shared" si="7"/>
        <v>9.4488188976377951E-2</v>
      </c>
    </row>
    <row r="119" spans="1:9" x14ac:dyDescent="0.35">
      <c r="A119" t="str">
        <f t="shared" si="5"/>
        <v>B</v>
      </c>
      <c r="B119">
        <f t="shared" si="6"/>
        <v>11</v>
      </c>
      <c r="F119">
        <f t="shared" si="7"/>
        <v>8.6614173228346455E-2</v>
      </c>
    </row>
    <row r="120" spans="1:9" x14ac:dyDescent="0.35">
      <c r="A120" t="str">
        <f t="shared" si="5"/>
        <v>A</v>
      </c>
      <c r="B120">
        <f t="shared" si="6"/>
        <v>10</v>
      </c>
      <c r="F120">
        <f t="shared" si="7"/>
        <v>7.874015748031496E-2</v>
      </c>
    </row>
    <row r="121" spans="1:9" x14ac:dyDescent="0.35">
      <c r="A121" t="str">
        <f t="shared" si="5"/>
        <v>9</v>
      </c>
      <c r="B121">
        <f t="shared" si="6"/>
        <v>9</v>
      </c>
      <c r="F121">
        <f t="shared" si="7"/>
        <v>7.0866141732283464E-2</v>
      </c>
    </row>
    <row r="122" spans="1:9" x14ac:dyDescent="0.35">
      <c r="A122" t="str">
        <f t="shared" si="5"/>
        <v>8</v>
      </c>
      <c r="B122">
        <f t="shared" si="6"/>
        <v>8</v>
      </c>
      <c r="C122">
        <v>8</v>
      </c>
      <c r="D122">
        <v>6.1</v>
      </c>
      <c r="E122">
        <v>3.6</v>
      </c>
      <c r="F122">
        <f t="shared" si="7"/>
        <v>6.2992125984251968E-2</v>
      </c>
      <c r="G122">
        <f>(C122-C$130)/(C$3-C$130)</f>
        <v>3.0748663101604276E-2</v>
      </c>
      <c r="H122">
        <f>(D122-D$130)/(D$3-D$130)</f>
        <v>4.3422733077905486E-2</v>
      </c>
      <c r="I122">
        <f>(E122-E$130)/(E$3-E$130)</f>
        <v>3.2258064516129031E-2</v>
      </c>
    </row>
    <row r="123" spans="1:9" x14ac:dyDescent="0.35">
      <c r="A123" t="str">
        <f t="shared" si="5"/>
        <v>7</v>
      </c>
      <c r="B123">
        <f t="shared" si="6"/>
        <v>7</v>
      </c>
      <c r="F123">
        <f t="shared" si="7"/>
        <v>5.5118110236220472E-2</v>
      </c>
    </row>
    <row r="124" spans="1:9" x14ac:dyDescent="0.35">
      <c r="A124" t="str">
        <f t="shared" si="5"/>
        <v>6</v>
      </c>
      <c r="B124">
        <f t="shared" si="6"/>
        <v>6</v>
      </c>
      <c r="F124">
        <f t="shared" si="7"/>
        <v>4.7244094488188976E-2</v>
      </c>
    </row>
    <row r="125" spans="1:9" x14ac:dyDescent="0.35">
      <c r="A125" t="str">
        <f t="shared" si="5"/>
        <v>5</v>
      </c>
      <c r="B125">
        <f t="shared" si="6"/>
        <v>5</v>
      </c>
      <c r="F125">
        <f t="shared" si="7"/>
        <v>3.937007874015748E-2</v>
      </c>
    </row>
    <row r="126" spans="1:9" x14ac:dyDescent="0.35">
      <c r="A126" t="str">
        <f t="shared" si="5"/>
        <v>4</v>
      </c>
      <c r="B126">
        <f t="shared" si="6"/>
        <v>4</v>
      </c>
      <c r="F126">
        <f t="shared" si="7"/>
        <v>3.1496062992125984E-2</v>
      </c>
    </row>
    <row r="127" spans="1:9" x14ac:dyDescent="0.35">
      <c r="A127" t="str">
        <f t="shared" si="5"/>
        <v>3</v>
      </c>
      <c r="B127">
        <f t="shared" si="6"/>
        <v>3</v>
      </c>
      <c r="F127">
        <f t="shared" si="7"/>
        <v>2.3622047244094488E-2</v>
      </c>
    </row>
    <row r="128" spans="1:9" x14ac:dyDescent="0.35">
      <c r="A128" t="str">
        <f t="shared" si="5"/>
        <v>2</v>
      </c>
      <c r="B128">
        <f t="shared" si="6"/>
        <v>2</v>
      </c>
      <c r="F128">
        <f t="shared" si="7"/>
        <v>1.5748031496062992E-2</v>
      </c>
    </row>
    <row r="129" spans="1:9" x14ac:dyDescent="0.35">
      <c r="A129" t="str">
        <f t="shared" si="5"/>
        <v>1</v>
      </c>
      <c r="B129">
        <f t="shared" si="6"/>
        <v>1</v>
      </c>
      <c r="F129">
        <f t="shared" si="7"/>
        <v>7.874015748031496E-3</v>
      </c>
    </row>
    <row r="130" spans="1:9" x14ac:dyDescent="0.35">
      <c r="A130" t="str">
        <f t="shared" si="5"/>
        <v>0</v>
      </c>
      <c r="B130">
        <f t="shared" si="6"/>
        <v>0</v>
      </c>
      <c r="C130">
        <v>5.7</v>
      </c>
      <c r="D130">
        <v>2.7</v>
      </c>
      <c r="E130">
        <v>2.85</v>
      </c>
      <c r="F130">
        <f t="shared" si="7"/>
        <v>0</v>
      </c>
      <c r="G130">
        <f>(C130-C$130)/(C$3-C$130)</f>
        <v>0</v>
      </c>
      <c r="H130">
        <f>(D130-D$130)/(D$3-D$130)</f>
        <v>0</v>
      </c>
      <c r="I130">
        <f>(E130-E$130)/(E$3-E$130)</f>
        <v>0</v>
      </c>
    </row>
  </sheetData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2"/>
  <sheetViews>
    <sheetView topLeftCell="E1" workbookViewId="0">
      <selection activeCell="C3" sqref="C3"/>
    </sheetView>
  </sheetViews>
  <sheetFormatPr defaultRowHeight="14.5" x14ac:dyDescent="0.35"/>
  <sheetData>
    <row r="1" spans="1:4" ht="14.4" x14ac:dyDescent="0.3">
      <c r="A1" t="s">
        <v>164</v>
      </c>
    </row>
    <row r="2" spans="1:4" ht="14.4" x14ac:dyDescent="0.3">
      <c r="B2" t="s">
        <v>168</v>
      </c>
      <c r="C2" t="s">
        <v>169</v>
      </c>
      <c r="D2" t="s">
        <v>170</v>
      </c>
    </row>
    <row r="3" spans="1:4" ht="14.4" x14ac:dyDescent="0.3">
      <c r="B3">
        <v>0.8</v>
      </c>
      <c r="C3">
        <f xml:space="preserve"> POWER(1/$B$3-1,2)</f>
        <v>6.25E-2</v>
      </c>
      <c r="D3">
        <f>1/($C$3-1)</f>
        <v>-1.0666666666666667</v>
      </c>
    </row>
    <row r="4" spans="1:4" ht="14.4" x14ac:dyDescent="0.3">
      <c r="B4" t="s">
        <v>166</v>
      </c>
      <c r="C4" t="s">
        <v>165</v>
      </c>
      <c r="D4" t="s">
        <v>167</v>
      </c>
    </row>
    <row r="5" spans="1:4" ht="14.4" x14ac:dyDescent="0.3">
      <c r="A5">
        <v>127</v>
      </c>
      <c r="B5">
        <f>A5/127</f>
        <v>1</v>
      </c>
      <c r="C5">
        <f>POWER(B5,0.35)</f>
        <v>1</v>
      </c>
      <c r="D5">
        <f>$D$3*POWER($C$3,B5)-$D$3</f>
        <v>1</v>
      </c>
    </row>
    <row r="6" spans="1:4" ht="14.4" x14ac:dyDescent="0.3">
      <c r="A6">
        <f>A5-1</f>
        <v>126</v>
      </c>
      <c r="B6">
        <f t="shared" ref="B6:B69" si="0">A6/127</f>
        <v>0.99212598425196852</v>
      </c>
      <c r="C6">
        <f t="shared" ref="C6:C69" si="1">POWER(B6,0.35)</f>
        <v>0.99723701127145314</v>
      </c>
      <c r="D6">
        <f t="shared" ref="D6:D69" si="2">$D$3*POWER($C$3,B6)-$D$3</f>
        <v>0.9985285695920868</v>
      </c>
    </row>
    <row r="7" spans="1:4" ht="14.4" x14ac:dyDescent="0.3">
      <c r="A7">
        <f t="shared" ref="A7:A70" si="3">A6-1</f>
        <v>125</v>
      </c>
      <c r="B7">
        <f t="shared" si="0"/>
        <v>0.98425196850393704</v>
      </c>
      <c r="C7">
        <f t="shared" si="1"/>
        <v>0.99445973200201154</v>
      </c>
      <c r="D7">
        <f t="shared" si="2"/>
        <v>0.99702466257249367</v>
      </c>
    </row>
    <row r="8" spans="1:4" ht="14.4" x14ac:dyDescent="0.3">
      <c r="A8">
        <f t="shared" si="3"/>
        <v>124</v>
      </c>
      <c r="B8">
        <f t="shared" si="0"/>
        <v>0.97637795275590555</v>
      </c>
      <c r="C8">
        <f t="shared" si="1"/>
        <v>0.99166797306120169</v>
      </c>
      <c r="D8">
        <f t="shared" si="2"/>
        <v>0.99548756213511091</v>
      </c>
    </row>
    <row r="9" spans="1:4" ht="14.4" x14ac:dyDescent="0.3">
      <c r="A9">
        <f t="shared" si="3"/>
        <v>123</v>
      </c>
      <c r="B9">
        <f t="shared" si="0"/>
        <v>0.96850393700787396</v>
      </c>
      <c r="C9">
        <f t="shared" si="1"/>
        <v>0.98886154126591963</v>
      </c>
      <c r="D9">
        <f t="shared" si="2"/>
        <v>0.99391653565287441</v>
      </c>
    </row>
    <row r="10" spans="1:4" ht="14.4" x14ac:dyDescent="0.3">
      <c r="A10">
        <f t="shared" si="3"/>
        <v>122</v>
      </c>
      <c r="B10">
        <f t="shared" si="0"/>
        <v>0.96062992125984248</v>
      </c>
      <c r="C10">
        <f t="shared" si="1"/>
        <v>0.98604023925984763</v>
      </c>
      <c r="D10">
        <f t="shared" si="2"/>
        <v>0.99231083432857403</v>
      </c>
    </row>
    <row r="11" spans="1:4" ht="14.4" x14ac:dyDescent="0.3">
      <c r="A11">
        <f t="shared" si="3"/>
        <v>121</v>
      </c>
      <c r="B11">
        <f t="shared" si="0"/>
        <v>0.952755905511811</v>
      </c>
      <c r="C11">
        <f t="shared" si="1"/>
        <v>0.9832038653882611</v>
      </c>
      <c r="D11">
        <f t="shared" si="2"/>
        <v>0.99066969283795447</v>
      </c>
    </row>
    <row r="12" spans="1:4" ht="14.4" x14ac:dyDescent="0.3">
      <c r="A12">
        <f t="shared" si="3"/>
        <v>120</v>
      </c>
      <c r="B12">
        <f t="shared" si="0"/>
        <v>0.94488188976377951</v>
      </c>
      <c r="C12">
        <f t="shared" si="1"/>
        <v>0.98035221356801294</v>
      </c>
      <c r="D12">
        <f t="shared" si="2"/>
        <v>0.98899232896494027</v>
      </c>
    </row>
    <row r="13" spans="1:4" ht="14.4" x14ac:dyDescent="0.3">
      <c r="A13">
        <f t="shared" si="3"/>
        <v>119</v>
      </c>
      <c r="B13">
        <f t="shared" si="0"/>
        <v>0.93700787401574803</v>
      </c>
      <c r="C13">
        <f t="shared" si="1"/>
        <v>0.97748507315246469</v>
      </c>
      <c r="D13">
        <f t="shared" si="2"/>
        <v>0.98727794322880769</v>
      </c>
    </row>
    <row r="14" spans="1:4" ht="14.4" x14ac:dyDescent="0.3">
      <c r="A14">
        <f t="shared" si="3"/>
        <v>118</v>
      </c>
      <c r="B14">
        <f t="shared" si="0"/>
        <v>0.92913385826771655</v>
      </c>
      <c r="C14">
        <f t="shared" si="1"/>
        <v>0.97460222879112524</v>
      </c>
      <c r="D14">
        <f t="shared" si="2"/>
        <v>0.98552571850312953</v>
      </c>
    </row>
    <row r="15" spans="1:4" ht="14.4" x14ac:dyDescent="0.3">
      <c r="A15">
        <f t="shared" si="3"/>
        <v>117</v>
      </c>
      <c r="B15">
        <f t="shared" si="0"/>
        <v>0.92125984251968507</v>
      </c>
      <c r="C15">
        <f t="shared" si="1"/>
        <v>0.97170346028374333</v>
      </c>
      <c r="D15">
        <f t="shared" si="2"/>
        <v>0.98373481962630849</v>
      </c>
    </row>
    <row r="16" spans="1:4" ht="14.4" x14ac:dyDescent="0.3">
      <c r="A16">
        <f t="shared" si="3"/>
        <v>116</v>
      </c>
      <c r="B16">
        <f t="shared" si="0"/>
        <v>0.91338582677165359</v>
      </c>
      <c r="C16">
        <f t="shared" si="1"/>
        <v>0.96878854242858436</v>
      </c>
      <c r="D16">
        <f t="shared" si="2"/>
        <v>0.98190439300351462</v>
      </c>
    </row>
    <row r="17" spans="1:4" ht="14.4" x14ac:dyDescent="0.3">
      <c r="A17">
        <f t="shared" si="3"/>
        <v>115</v>
      </c>
      <c r="B17">
        <f t="shared" si="0"/>
        <v>0.90551181102362199</v>
      </c>
      <c r="C17">
        <f t="shared" si="1"/>
        <v>0.96585724486460789</v>
      </c>
      <c r="D17">
        <f t="shared" si="2"/>
        <v>0.98003356619983728</v>
      </c>
    </row>
    <row r="18" spans="1:4" ht="14.4" x14ac:dyDescent="0.3">
      <c r="A18">
        <f t="shared" si="3"/>
        <v>114</v>
      </c>
      <c r="B18">
        <f t="shared" si="0"/>
        <v>0.89763779527559051</v>
      </c>
      <c r="C18">
        <f t="shared" si="1"/>
        <v>0.96290933190724526</v>
      </c>
      <c r="D18">
        <f t="shared" si="2"/>
        <v>0.97812144752445684</v>
      </c>
    </row>
    <row r="19" spans="1:4" ht="14.4" x14ac:dyDescent="0.3">
      <c r="A19">
        <f t="shared" si="3"/>
        <v>113</v>
      </c>
      <c r="B19">
        <f t="shared" si="0"/>
        <v>0.88976377952755903</v>
      </c>
      <c r="C19">
        <f t="shared" si="1"/>
        <v>0.95994456237745895</v>
      </c>
      <c r="D19">
        <f t="shared" si="2"/>
        <v>0.97616712560563912</v>
      </c>
    </row>
    <row r="20" spans="1:4" ht="14.4" x14ac:dyDescent="0.3">
      <c r="A20">
        <f t="shared" si="3"/>
        <v>112</v>
      </c>
      <c r="B20">
        <f t="shared" si="0"/>
        <v>0.88188976377952755</v>
      </c>
      <c r="C20">
        <f t="shared" si="1"/>
        <v>0.95696268942374763</v>
      </c>
      <c r="D20">
        <f t="shared" si="2"/>
        <v>0.97416966895634838</v>
      </c>
    </row>
    <row r="21" spans="1:4" ht="14.4" x14ac:dyDescent="0.3">
      <c r="A21">
        <f t="shared" si="3"/>
        <v>111</v>
      </c>
      <c r="B21">
        <f t="shared" si="0"/>
        <v>0.87401574803149606</v>
      </c>
      <c r="C21">
        <f t="shared" si="1"/>
        <v>0.95396346033673862</v>
      </c>
      <c r="D21">
        <f t="shared" si="2"/>
        <v>0.97212812553027383</v>
      </c>
    </row>
    <row r="22" spans="1:4" ht="14.4" x14ac:dyDescent="0.3">
      <c r="A22">
        <f t="shared" si="3"/>
        <v>110</v>
      </c>
      <c r="B22">
        <f t="shared" si="0"/>
        <v>0.86614173228346458</v>
      </c>
      <c r="C22">
        <f t="shared" si="1"/>
        <v>0.95094661635599054</v>
      </c>
      <c r="D22">
        <f t="shared" si="2"/>
        <v>0.97004152226805618</v>
      </c>
    </row>
    <row r="23" spans="1:4" x14ac:dyDescent="0.35">
      <c r="A23">
        <f t="shared" si="3"/>
        <v>109</v>
      </c>
      <c r="B23">
        <f t="shared" si="0"/>
        <v>0.8582677165354331</v>
      </c>
      <c r="C23">
        <f t="shared" si="1"/>
        <v>0.94791189246860441</v>
      </c>
      <c r="D23">
        <f t="shared" si="2"/>
        <v>0.96790886463349934</v>
      </c>
    </row>
    <row r="24" spans="1:4" x14ac:dyDescent="0.35">
      <c r="A24">
        <f t="shared" si="3"/>
        <v>108</v>
      </c>
      <c r="B24">
        <f t="shared" si="0"/>
        <v>0.85039370078740162</v>
      </c>
      <c r="C24">
        <f t="shared" si="1"/>
        <v>0.94485901719921683</v>
      </c>
      <c r="D24">
        <f t="shared" si="2"/>
        <v>0.96572913613954525</v>
      </c>
    </row>
    <row r="25" spans="1:4" x14ac:dyDescent="0.35">
      <c r="A25">
        <f t="shared" si="3"/>
        <v>107</v>
      </c>
      <c r="B25">
        <f t="shared" si="0"/>
        <v>0.84251968503937003</v>
      </c>
      <c r="C25">
        <f t="shared" si="1"/>
        <v>0.94178771239092396</v>
      </c>
      <c r="D25">
        <f t="shared" si="2"/>
        <v>0.96350129786378613</v>
      </c>
    </row>
    <row r="26" spans="1:4" x14ac:dyDescent="0.35">
      <c r="A26">
        <f t="shared" si="3"/>
        <v>106</v>
      </c>
      <c r="B26">
        <f t="shared" si="0"/>
        <v>0.83464566929133854</v>
      </c>
      <c r="C26">
        <f t="shared" si="1"/>
        <v>0.93869769297665473</v>
      </c>
      <c r="D26">
        <f t="shared" si="2"/>
        <v>0.96122428795328407</v>
      </c>
    </row>
    <row r="27" spans="1:4" x14ac:dyDescent="0.35">
      <c r="A27">
        <f t="shared" si="3"/>
        <v>105</v>
      </c>
      <c r="B27">
        <f t="shared" si="0"/>
        <v>0.82677165354330706</v>
      </c>
      <c r="C27">
        <f t="shared" si="1"/>
        <v>0.9355886667404838</v>
      </c>
      <c r="D27">
        <f t="shared" si="2"/>
        <v>0.95889702111846054</v>
      </c>
    </row>
    <row r="28" spans="1:4" x14ac:dyDescent="0.35">
      <c r="A28">
        <f t="shared" si="3"/>
        <v>104</v>
      </c>
      <c r="B28">
        <f t="shared" si="0"/>
        <v>0.81889763779527558</v>
      </c>
      <c r="C28">
        <f t="shared" si="1"/>
        <v>0.93246033406834061</v>
      </c>
      <c r="D28">
        <f t="shared" si="2"/>
        <v>0.95651838811581569</v>
      </c>
    </row>
    <row r="29" spans="1:4" x14ac:dyDescent="0.35">
      <c r="A29">
        <f t="shared" si="3"/>
        <v>103</v>
      </c>
      <c r="B29">
        <f t="shared" si="0"/>
        <v>0.8110236220472441</v>
      </c>
      <c r="C29">
        <f t="shared" si="1"/>
        <v>0.92931238768753632</v>
      </c>
      <c r="D29">
        <f t="shared" si="2"/>
        <v>0.95408725521923043</v>
      </c>
    </row>
    <row r="30" spans="1:4" x14ac:dyDescent="0.35">
      <c r="A30">
        <f t="shared" si="3"/>
        <v>102</v>
      </c>
      <c r="B30">
        <f t="shared" si="0"/>
        <v>0.80314960629921262</v>
      </c>
      <c r="C30">
        <f t="shared" si="1"/>
        <v>0.9261445123944938</v>
      </c>
      <c r="D30">
        <f t="shared" si="2"/>
        <v>0.95160246367959944</v>
      </c>
    </row>
    <row r="31" spans="1:4" x14ac:dyDescent="0.35">
      <c r="A31">
        <f t="shared" si="3"/>
        <v>101</v>
      </c>
      <c r="B31">
        <f t="shared" si="0"/>
        <v>0.79527559055118113</v>
      </c>
      <c r="C31">
        <f t="shared" si="1"/>
        <v>0.9229563847700254</v>
      </c>
      <c r="D31">
        <f t="shared" si="2"/>
        <v>0.94906282917253748</v>
      </c>
    </row>
    <row r="32" spans="1:4" x14ac:dyDescent="0.35">
      <c r="A32">
        <f t="shared" si="3"/>
        <v>100</v>
      </c>
      <c r="B32">
        <f t="shared" si="0"/>
        <v>0.78740157480314965</v>
      </c>
      <c r="C32">
        <f t="shared" si="1"/>
        <v>0.91974767288145798</v>
      </c>
      <c r="D32">
        <f t="shared" si="2"/>
        <v>0.9464671412338953</v>
      </c>
    </row>
    <row r="33" spans="1:4" x14ac:dyDescent="0.35">
      <c r="A33">
        <f t="shared" si="3"/>
        <v>99</v>
      </c>
      <c r="B33">
        <f t="shared" si="0"/>
        <v>0.77952755905511806</v>
      </c>
      <c r="C33">
        <f t="shared" si="1"/>
        <v>0.91651803597086157</v>
      </c>
      <c r="D33">
        <f t="shared" si="2"/>
        <v>0.94381416268281759</v>
      </c>
    </row>
    <row r="34" spans="1:4" x14ac:dyDescent="0.35">
      <c r="A34">
        <f t="shared" si="3"/>
        <v>98</v>
      </c>
      <c r="B34">
        <f t="shared" si="0"/>
        <v>0.77165354330708658</v>
      </c>
      <c r="C34">
        <f t="shared" si="1"/>
        <v>0.91326712412858513</v>
      </c>
      <c r="D34">
        <f t="shared" si="2"/>
        <v>0.94110262903206587</v>
      </c>
    </row>
    <row r="35" spans="1:4" x14ac:dyDescent="0.35">
      <c r="A35">
        <f t="shared" si="3"/>
        <v>97</v>
      </c>
      <c r="B35">
        <f t="shared" si="0"/>
        <v>0.76377952755905509</v>
      </c>
      <c r="C35">
        <f t="shared" si="1"/>
        <v>0.90999457795124883</v>
      </c>
      <c r="D35">
        <f t="shared" si="2"/>
        <v>0.93833124788532718</v>
      </c>
    </row>
    <row r="36" spans="1:4" x14ac:dyDescent="0.35">
      <c r="A36">
        <f t="shared" si="3"/>
        <v>96</v>
      </c>
      <c r="B36">
        <f t="shared" si="0"/>
        <v>0.75590551181102361</v>
      </c>
      <c r="C36">
        <f t="shared" si="1"/>
        <v>0.9067000281832851</v>
      </c>
      <c r="D36">
        <f t="shared" si="2"/>
        <v>0.93549869832122012</v>
      </c>
    </row>
    <row r="37" spans="1:4" x14ac:dyDescent="0.35">
      <c r="A37">
        <f t="shared" si="3"/>
        <v>95</v>
      </c>
      <c r="B37">
        <f t="shared" si="0"/>
        <v>0.74803149606299213</v>
      </c>
      <c r="C37">
        <f t="shared" si="1"/>
        <v>0.90338309534105676</v>
      </c>
      <c r="D37">
        <f t="shared" si="2"/>
        <v>0.93260363026370485</v>
      </c>
    </row>
    <row r="38" spans="1:4" x14ac:dyDescent="0.35">
      <c r="A38">
        <f t="shared" si="3"/>
        <v>94</v>
      </c>
      <c r="B38">
        <f t="shared" si="0"/>
        <v>0.74015748031496065</v>
      </c>
      <c r="C38">
        <f t="shared" si="1"/>
        <v>0.90004338931851224</v>
      </c>
      <c r="D38">
        <f t="shared" si="2"/>
        <v>0.92964466383859756</v>
      </c>
    </row>
    <row r="39" spans="1:4" x14ac:dyDescent="0.35">
      <c r="A39">
        <f t="shared" si="3"/>
        <v>93</v>
      </c>
      <c r="B39">
        <f t="shared" si="0"/>
        <v>0.73228346456692917</v>
      </c>
      <c r="C39">
        <f t="shared" si="1"/>
        <v>0.89668050897326446</v>
      </c>
      <c r="D39">
        <f t="shared" si="2"/>
        <v>0.9266203887158817</v>
      </c>
    </row>
    <row r="40" spans="1:4" x14ac:dyDescent="0.35">
      <c r="A40">
        <f t="shared" si="3"/>
        <v>92</v>
      </c>
      <c r="B40">
        <f t="shared" si="0"/>
        <v>0.72440944881889768</v>
      </c>
      <c r="C40">
        <f t="shared" si="1"/>
        <v>0.89329404169189908</v>
      </c>
      <c r="D40">
        <f t="shared" si="2"/>
        <v>0.92352936343750403</v>
      </c>
    </row>
    <row r="41" spans="1:4" x14ac:dyDescent="0.35">
      <c r="A41">
        <f t="shared" si="3"/>
        <v>91</v>
      </c>
      <c r="B41">
        <f t="shared" si="0"/>
        <v>0.71653543307086609</v>
      </c>
      <c r="C41">
        <f t="shared" si="1"/>
        <v>0.88988356293323267</v>
      </c>
      <c r="D41">
        <f t="shared" si="2"/>
        <v>0.9203701147303327</v>
      </c>
    </row>
    <row r="42" spans="1:4" x14ac:dyDescent="0.35">
      <c r="A42">
        <f t="shared" si="3"/>
        <v>90</v>
      </c>
      <c r="B42">
        <f t="shared" si="0"/>
        <v>0.70866141732283461</v>
      </c>
      <c r="C42">
        <f t="shared" si="1"/>
        <v>0.88644863574814692</v>
      </c>
      <c r="D42">
        <f t="shared" si="2"/>
        <v>0.91714113680395304</v>
      </c>
    </row>
    <row r="43" spans="1:4" x14ac:dyDescent="0.35">
      <c r="A43">
        <f t="shared" si="3"/>
        <v>89</v>
      </c>
      <c r="B43">
        <f t="shared" si="0"/>
        <v>0.70078740157480313</v>
      </c>
      <c r="C43">
        <f t="shared" si="1"/>
        <v>0.88298881027452147</v>
      </c>
      <c r="D43">
        <f t="shared" si="2"/>
        <v>0.91384089063296314</v>
      </c>
    </row>
    <row r="44" spans="1:4" x14ac:dyDescent="0.35">
      <c r="A44">
        <f t="shared" si="3"/>
        <v>88</v>
      </c>
      <c r="B44">
        <f t="shared" si="0"/>
        <v>0.69291338582677164</v>
      </c>
      <c r="C44">
        <f t="shared" si="1"/>
        <v>0.87950362320568021</v>
      </c>
      <c r="D44">
        <f t="shared" si="2"/>
        <v>0.91046780322342935</v>
      </c>
    </row>
    <row r="45" spans="1:4" x14ac:dyDescent="0.35">
      <c r="A45">
        <f t="shared" si="3"/>
        <v>87</v>
      </c>
      <c r="B45">
        <f t="shared" si="0"/>
        <v>0.68503937007874016</v>
      </c>
      <c r="C45">
        <f t="shared" si="1"/>
        <v>0.87599259723064371</v>
      </c>
      <c r="D45">
        <f t="shared" si="2"/>
        <v>0.9070202668631514</v>
      </c>
    </row>
    <row r="46" spans="1:4" x14ac:dyDescent="0.35">
      <c r="A46">
        <f t="shared" si="3"/>
        <v>86</v>
      </c>
      <c r="B46">
        <f t="shared" si="0"/>
        <v>0.67716535433070868</v>
      </c>
      <c r="C46">
        <f t="shared" si="1"/>
        <v>0.87245524044434897</v>
      </c>
      <c r="D46">
        <f t="shared" si="2"/>
        <v>0.90349663835537997</v>
      </c>
    </row>
    <row r="47" spans="1:4" x14ac:dyDescent="0.35">
      <c r="A47">
        <f t="shared" si="3"/>
        <v>85</v>
      </c>
      <c r="B47">
        <f t="shared" si="0"/>
        <v>0.6692913385826772</v>
      </c>
      <c r="C47">
        <f t="shared" si="1"/>
        <v>0.86889104572585574</v>
      </c>
      <c r="D47">
        <f t="shared" si="2"/>
        <v>0.89989523823562068</v>
      </c>
    </row>
    <row r="48" spans="1:4" x14ac:dyDescent="0.35">
      <c r="A48">
        <f t="shared" si="3"/>
        <v>84</v>
      </c>
      <c r="B48">
        <f t="shared" si="0"/>
        <v>0.66141732283464572</v>
      </c>
      <c r="C48">
        <f t="shared" si="1"/>
        <v>0.86529949008240514</v>
      </c>
      <c r="D48">
        <f t="shared" si="2"/>
        <v>0.89621434997115235</v>
      </c>
    </row>
    <row r="49" spans="1:4" x14ac:dyDescent="0.35">
      <c r="A49">
        <f t="shared" si="3"/>
        <v>83</v>
      </c>
      <c r="B49">
        <f t="shared" si="0"/>
        <v>0.65354330708661412</v>
      </c>
      <c r="C49">
        <f t="shared" si="1"/>
        <v>0.8616800339570212</v>
      </c>
      <c r="D49">
        <f t="shared" si="2"/>
        <v>0.89245221914287687</v>
      </c>
    </row>
    <row r="50" spans="1:4" x14ac:dyDescent="0.35">
      <c r="A50">
        <f t="shared" si="3"/>
        <v>82</v>
      </c>
      <c r="B50">
        <f t="shared" si="0"/>
        <v>0.64566929133858264</v>
      </c>
      <c r="C50">
        <f t="shared" si="1"/>
        <v>0.85803212049716637</v>
      </c>
      <c r="D50">
        <f t="shared" si="2"/>
        <v>0.88860705260911232</v>
      </c>
    </row>
    <row r="51" spans="1:4" x14ac:dyDescent="0.35">
      <c r="A51">
        <f t="shared" si="3"/>
        <v>81</v>
      </c>
      <c r="B51">
        <f t="shared" si="0"/>
        <v>0.63779527559055116</v>
      </c>
      <c r="C51">
        <f t="shared" si="1"/>
        <v>0.8543551747817556</v>
      </c>
      <c r="D51">
        <f t="shared" si="2"/>
        <v>0.88467701765092865</v>
      </c>
    </row>
    <row r="52" spans="1:4" x14ac:dyDescent="0.35">
      <c r="A52">
        <f t="shared" si="3"/>
        <v>80</v>
      </c>
      <c r="B52">
        <f t="shared" si="0"/>
        <v>0.62992125984251968</v>
      </c>
      <c r="C52">
        <f t="shared" si="1"/>
        <v>0.85064860300361189</v>
      </c>
      <c r="D52">
        <f t="shared" si="2"/>
        <v>0.88066024109862062</v>
      </c>
    </row>
    <row r="53" spans="1:4" x14ac:dyDescent="0.35">
      <c r="A53">
        <f t="shared" si="3"/>
        <v>79</v>
      </c>
      <c r="B53">
        <f t="shared" si="0"/>
        <v>0.62204724409448819</v>
      </c>
      <c r="C53">
        <f t="shared" si="1"/>
        <v>0.84691179160420382</v>
      </c>
      <c r="D53">
        <f t="shared" si="2"/>
        <v>0.87655480843889966</v>
      </c>
    </row>
    <row r="54" spans="1:4" x14ac:dyDescent="0.35">
      <c r="A54">
        <f t="shared" si="3"/>
        <v>78</v>
      </c>
      <c r="B54">
        <f t="shared" si="0"/>
        <v>0.61417322834645671</v>
      </c>
      <c r="C54">
        <f t="shared" si="1"/>
        <v>0.84314410635723747</v>
      </c>
      <c r="D54">
        <f t="shared" si="2"/>
        <v>0.87235876290238135</v>
      </c>
    </row>
    <row r="55" spans="1:4" x14ac:dyDescent="0.35">
      <c r="A55">
        <f t="shared" si="3"/>
        <v>77</v>
      </c>
      <c r="B55">
        <f t="shared" si="0"/>
        <v>0.60629921259842523</v>
      </c>
      <c r="C55">
        <f t="shared" si="1"/>
        <v>0.83934489139738222</v>
      </c>
      <c r="D55">
        <f t="shared" si="2"/>
        <v>0.8680701045309317</v>
      </c>
    </row>
    <row r="56" spans="1:4" x14ac:dyDescent="0.35">
      <c r="A56">
        <f t="shared" si="3"/>
        <v>76</v>
      </c>
      <c r="B56">
        <f t="shared" si="0"/>
        <v>0.59842519685039375</v>
      </c>
      <c r="C56">
        <f t="shared" si="1"/>
        <v>0.83551346819008709</v>
      </c>
      <c r="D56">
        <f t="shared" si="2"/>
        <v>0.86368678922442865</v>
      </c>
    </row>
    <row r="57" spans="1:4" x14ac:dyDescent="0.35">
      <c r="A57">
        <f t="shared" si="3"/>
        <v>75</v>
      </c>
      <c r="B57">
        <f t="shared" si="0"/>
        <v>0.59055118110236215</v>
      </c>
      <c r="C57">
        <f t="shared" si="1"/>
        <v>0.83164913443808774</v>
      </c>
      <c r="D57">
        <f t="shared" si="2"/>
        <v>0.85920672776648344</v>
      </c>
    </row>
    <row r="58" spans="1:4" x14ac:dyDescent="0.35">
      <c r="A58">
        <f t="shared" si="3"/>
        <v>74</v>
      </c>
      <c r="B58">
        <f t="shared" si="0"/>
        <v>0.58267716535433067</v>
      </c>
      <c r="C58">
        <f t="shared" si="1"/>
        <v>0.82775116291981565</v>
      </c>
      <c r="D58">
        <f t="shared" si="2"/>
        <v>0.85462778482866031</v>
      </c>
    </row>
    <row r="59" spans="1:4" x14ac:dyDescent="0.35">
      <c r="A59">
        <f t="shared" si="3"/>
        <v>73</v>
      </c>
      <c r="B59">
        <f t="shared" si="0"/>
        <v>0.57480314960629919</v>
      </c>
      <c r="C59">
        <f t="shared" si="1"/>
        <v>0.82381880025448373</v>
      </c>
      <c r="D59">
        <f t="shared" si="2"/>
        <v>0.84994777795271503</v>
      </c>
    </row>
    <row r="60" spans="1:4" x14ac:dyDescent="0.35">
      <c r="A60">
        <f t="shared" si="3"/>
        <v>72</v>
      </c>
      <c r="B60">
        <f t="shared" si="0"/>
        <v>0.56692913385826771</v>
      </c>
      <c r="C60">
        <f t="shared" si="1"/>
        <v>0.81985126558814969</v>
      </c>
      <c r="D60">
        <f t="shared" si="2"/>
        <v>0.84516447651037208</v>
      </c>
    </row>
    <row r="61" spans="1:4" x14ac:dyDescent="0.35">
      <c r="A61">
        <f t="shared" si="3"/>
        <v>71</v>
      </c>
      <c r="B61">
        <f t="shared" si="0"/>
        <v>0.55905511811023623</v>
      </c>
      <c r="C61">
        <f t="shared" si="1"/>
        <v>0.81584774919452552</v>
      </c>
      <c r="D61">
        <f t="shared" si="2"/>
        <v>0.84027560064014195</v>
      </c>
    </row>
    <row r="62" spans="1:4" x14ac:dyDescent="0.35">
      <c r="A62">
        <f t="shared" si="3"/>
        <v>70</v>
      </c>
      <c r="B62">
        <f t="shared" si="0"/>
        <v>0.55118110236220474</v>
      </c>
      <c r="C62">
        <f t="shared" si="1"/>
        <v>0.81180741098371667</v>
      </c>
      <c r="D62">
        <f t="shared" si="2"/>
        <v>0.83527882016067223</v>
      </c>
    </row>
    <row r="63" spans="1:4" x14ac:dyDescent="0.35">
      <c r="A63">
        <f t="shared" si="3"/>
        <v>69</v>
      </c>
      <c r="B63">
        <f t="shared" si="0"/>
        <v>0.54330708661417326</v>
      </c>
      <c r="C63">
        <f t="shared" si="1"/>
        <v>0.80772937891142549</v>
      </c>
      <c r="D63">
        <f t="shared" si="2"/>
        <v>0.83017175346011518</v>
      </c>
    </row>
    <row r="64" spans="1:4" x14ac:dyDescent="0.35">
      <c r="A64">
        <f t="shared" si="3"/>
        <v>68</v>
      </c>
      <c r="B64">
        <f t="shared" si="0"/>
        <v>0.53543307086614178</v>
      </c>
      <c r="C64">
        <f t="shared" si="1"/>
        <v>0.80361274728042564</v>
      </c>
      <c r="D64">
        <f t="shared" si="2"/>
        <v>0.82495196636098145</v>
      </c>
    </row>
    <row r="65" spans="1:4" x14ac:dyDescent="0.35">
      <c r="A65">
        <f t="shared" si="3"/>
        <v>67</v>
      </c>
      <c r="B65">
        <f t="shared" si="0"/>
        <v>0.52755905511811019</v>
      </c>
      <c r="C65">
        <f t="shared" si="1"/>
        <v>0.79945657492531563</v>
      </c>
      <c r="D65">
        <f t="shared" si="2"/>
        <v>0.81961697095994024</v>
      </c>
    </row>
    <row r="66" spans="1:4" x14ac:dyDescent="0.35">
      <c r="A66">
        <f t="shared" si="3"/>
        <v>66</v>
      </c>
      <c r="B66">
        <f t="shared" si="0"/>
        <v>0.51968503937007871</v>
      </c>
      <c r="C66">
        <f t="shared" si="1"/>
        <v>0.79525988327065622</v>
      </c>
      <c r="D66">
        <f t="shared" si="2"/>
        <v>0.81416422444201153</v>
      </c>
    </row>
    <row r="67" spans="1:4" x14ac:dyDescent="0.35">
      <c r="A67">
        <f t="shared" si="3"/>
        <v>65</v>
      </c>
      <c r="B67">
        <f t="shared" si="0"/>
        <v>0.51181102362204722</v>
      </c>
      <c r="C67">
        <f t="shared" si="1"/>
        <v>0.79102165425159809</v>
      </c>
      <c r="D67">
        <f t="shared" si="2"/>
        <v>0.808591127868586</v>
      </c>
    </row>
    <row r="68" spans="1:4" x14ac:dyDescent="0.35">
      <c r="A68">
        <f t="shared" si="3"/>
        <v>64</v>
      </c>
      <c r="B68">
        <f t="shared" si="0"/>
        <v>0.50393700787401574</v>
      </c>
      <c r="C68">
        <f t="shared" si="1"/>
        <v>0.78674082808498536</v>
      </c>
      <c r="D68">
        <f t="shared" si="2"/>
        <v>0.8028950249386948</v>
      </c>
    </row>
    <row r="69" spans="1:4" x14ac:dyDescent="0.35">
      <c r="A69">
        <f t="shared" si="3"/>
        <v>63</v>
      </c>
      <c r="B69">
        <f t="shared" si="0"/>
        <v>0.49606299212598426</v>
      </c>
      <c r="C69">
        <f t="shared" si="1"/>
        <v>0.78241630087766489</v>
      </c>
      <c r="D69">
        <f t="shared" si="2"/>
        <v>0.79707320072293897</v>
      </c>
    </row>
    <row r="70" spans="1:4" x14ac:dyDescent="0.35">
      <c r="A70">
        <f t="shared" si="3"/>
        <v>62</v>
      </c>
      <c r="B70">
        <f t="shared" ref="B70:B132" si="4">A70/127</f>
        <v>0.48818897637795278</v>
      </c>
      <c r="C70">
        <f t="shared" ref="C70:C132" si="5">POWER(B70,0.35)</f>
        <v>0.77804692205732218</v>
      </c>
      <c r="D70">
        <f t="shared" ref="D70:D132" si="6">$D$3*POWER($C$3,B70)-$D$3</f>
        <v>0.79112288036947431</v>
      </c>
    </row>
    <row r="71" spans="1:4" x14ac:dyDescent="0.35">
      <c r="A71">
        <f t="shared" ref="A71:A132" si="7">A70-1</f>
        <v>61</v>
      </c>
      <c r="B71">
        <f t="shared" si="4"/>
        <v>0.48031496062992124</v>
      </c>
      <c r="C71">
        <f t="shared" si="5"/>
        <v>0.77363149160958378</v>
      </c>
      <c r="D71">
        <f t="shared" si="6"/>
        <v>0.78504122778143592</v>
      </c>
    </row>
    <row r="72" spans="1:4" x14ac:dyDescent="0.35">
      <c r="A72">
        <f t="shared" si="7"/>
        <v>60</v>
      </c>
      <c r="B72">
        <f t="shared" si="4"/>
        <v>0.47244094488188976</v>
      </c>
      <c r="C72">
        <f t="shared" si="5"/>
        <v>0.7691687571033422</v>
      </c>
      <c r="D72">
        <f t="shared" si="6"/>
        <v>0.77882534426517147</v>
      </c>
    </row>
    <row r="73" spans="1:4" x14ac:dyDescent="0.35">
      <c r="A73">
        <f t="shared" si="7"/>
        <v>59</v>
      </c>
      <c r="B73">
        <f t="shared" si="4"/>
        <v>0.46456692913385828</v>
      </c>
      <c r="C73">
        <f t="shared" si="5"/>
        <v>0.76465741048424762</v>
      </c>
      <c r="D73">
        <f t="shared" si="6"/>
        <v>0.77247226714863881</v>
      </c>
    </row>
    <row r="74" spans="1:4" x14ac:dyDescent="0.35">
      <c r="A74">
        <f t="shared" si="7"/>
        <v>58</v>
      </c>
      <c r="B74">
        <f t="shared" si="4"/>
        <v>0.45669291338582679</v>
      </c>
      <c r="C74">
        <f t="shared" si="5"/>
        <v>0.76009608461403888</v>
      </c>
      <c r="D74">
        <f t="shared" si="6"/>
        <v>0.76597896836931001</v>
      </c>
    </row>
    <row r="75" spans="1:4" x14ac:dyDescent="0.35">
      <c r="A75">
        <f t="shared" si="7"/>
        <v>57</v>
      </c>
      <c r="B75">
        <f t="shared" si="4"/>
        <v>0.44881889763779526</v>
      </c>
      <c r="C75">
        <f t="shared" si="5"/>
        <v>0.75548334953080898</v>
      </c>
      <c r="D75">
        <f t="shared" si="6"/>
        <v>0.75934235303090758</v>
      </c>
    </row>
    <row r="76" spans="1:4" x14ac:dyDescent="0.35">
      <c r="A76">
        <f t="shared" si="7"/>
        <v>56</v>
      </c>
      <c r="B76">
        <f t="shared" si="4"/>
        <v>0.44094488188976377</v>
      </c>
      <c r="C76">
        <f t="shared" si="5"/>
        <v>0.75081770840237949</v>
      </c>
      <c r="D76">
        <f t="shared" si="6"/>
        <v>0.75255925792828693</v>
      </c>
    </row>
    <row r="77" spans="1:4" x14ac:dyDescent="0.35">
      <c r="A77">
        <f t="shared" si="7"/>
        <v>55</v>
      </c>
      <c r="B77">
        <f t="shared" si="4"/>
        <v>0.43307086614173229</v>
      </c>
      <c r="C77">
        <f t="shared" si="5"/>
        <v>0.74609759314163226</v>
      </c>
      <c r="D77">
        <f t="shared" si="6"/>
        <v>0.74562645003975991</v>
      </c>
    </row>
    <row r="78" spans="1:4" x14ac:dyDescent="0.35">
      <c r="A78">
        <f t="shared" si="7"/>
        <v>54</v>
      </c>
      <c r="B78">
        <f t="shared" si="4"/>
        <v>0.42519685039370081</v>
      </c>
      <c r="C78">
        <f t="shared" si="5"/>
        <v>0.74132135964885804</v>
      </c>
      <c r="D78">
        <f t="shared" si="6"/>
        <v>0.73854062498614192</v>
      </c>
    </row>
    <row r="79" spans="1:4" x14ac:dyDescent="0.35">
      <c r="A79">
        <f t="shared" si="7"/>
        <v>53</v>
      </c>
      <c r="B79">
        <f t="shared" si="4"/>
        <v>0.41732283464566927</v>
      </c>
      <c r="C79">
        <f t="shared" si="5"/>
        <v>0.73648728264184971</v>
      </c>
      <c r="D79">
        <f t="shared" si="6"/>
        <v>0.73129840545578806</v>
      </c>
    </row>
    <row r="80" spans="1:4" x14ac:dyDescent="0.35">
      <c r="A80">
        <f t="shared" si="7"/>
        <v>52</v>
      </c>
      <c r="B80">
        <f t="shared" si="4"/>
        <v>0.40944881889763779</v>
      </c>
      <c r="C80">
        <f t="shared" si="5"/>
        <v>0.73159355002951187</v>
      </c>
      <c r="D80">
        <f t="shared" si="6"/>
        <v>0.7238963395948681</v>
      </c>
    </row>
    <row r="81" spans="1:4" x14ac:dyDescent="0.35">
      <c r="A81">
        <f t="shared" si="7"/>
        <v>51</v>
      </c>
      <c r="B81">
        <f t="shared" si="4"/>
        <v>0.40157480314960631</v>
      </c>
      <c r="C81">
        <f t="shared" si="5"/>
        <v>0.72663825677906002</v>
      </c>
      <c r="D81">
        <f t="shared" si="6"/>
        <v>0.71633089936211114</v>
      </c>
    </row>
    <row r="82" spans="1:4" x14ac:dyDescent="0.35">
      <c r="A82">
        <f t="shared" si="7"/>
        <v>50</v>
      </c>
      <c r="B82">
        <f t="shared" si="4"/>
        <v>0.39370078740157483</v>
      </c>
      <c r="C82">
        <f t="shared" si="5"/>
        <v>0.7216193982203345</v>
      </c>
      <c r="D82">
        <f t="shared" si="6"/>
        <v>0.70859847884723837</v>
      </c>
    </row>
    <row r="83" spans="1:4" x14ac:dyDescent="0.35">
      <c r="A83">
        <f t="shared" si="7"/>
        <v>49</v>
      </c>
      <c r="B83">
        <f t="shared" si="4"/>
        <v>0.38582677165354329</v>
      </c>
      <c r="C83">
        <f t="shared" si="5"/>
        <v>0.71653486272318589</v>
      </c>
      <c r="D83">
        <f t="shared" si="6"/>
        <v>0.70069539255228008</v>
      </c>
    </row>
    <row r="84" spans="1:4" x14ac:dyDescent="0.35">
      <c r="A84">
        <f t="shared" si="7"/>
        <v>48</v>
      </c>
      <c r="B84">
        <f t="shared" si="4"/>
        <v>0.37795275590551181</v>
      </c>
      <c r="C84">
        <f t="shared" si="5"/>
        <v>0.71138242367514126</v>
      </c>
      <c r="D84">
        <f t="shared" si="6"/>
        <v>0.69261787363496041</v>
      </c>
    </row>
    <row r="85" spans="1:4" x14ac:dyDescent="0.35">
      <c r="A85">
        <f t="shared" si="7"/>
        <v>47</v>
      </c>
      <c r="B85">
        <f t="shared" si="4"/>
        <v>0.37007874015748032</v>
      </c>
      <c r="C85">
        <f t="shared" si="5"/>
        <v>0.70615973067639892</v>
      </c>
      <c r="D85">
        <f t="shared" si="6"/>
        <v>0.68436207211330924</v>
      </c>
    </row>
    <row r="86" spans="1:4" x14ac:dyDescent="0.35">
      <c r="A86">
        <f t="shared" si="7"/>
        <v>46</v>
      </c>
      <c r="B86">
        <f t="shared" si="4"/>
        <v>0.36220472440944884</v>
      </c>
      <c r="C86">
        <f t="shared" si="5"/>
        <v>0.70086429985738108</v>
      </c>
      <c r="D86">
        <f t="shared" si="6"/>
        <v>0.67592405303064806</v>
      </c>
    </row>
    <row r="87" spans="1:4" x14ac:dyDescent="0.35">
      <c r="A87">
        <f t="shared" si="7"/>
        <v>45</v>
      </c>
      <c r="B87">
        <f t="shared" si="4"/>
        <v>0.3543307086614173</v>
      </c>
      <c r="C87">
        <f t="shared" si="5"/>
        <v>0.69549350321026526</v>
      </c>
      <c r="D87">
        <f t="shared" si="6"/>
        <v>0.66729979458007538</v>
      </c>
    </row>
    <row r="88" spans="1:4" x14ac:dyDescent="0.35">
      <c r="A88">
        <f t="shared" si="7"/>
        <v>44</v>
      </c>
      <c r="B88">
        <f t="shared" si="4"/>
        <v>0.34645669291338582</v>
      </c>
      <c r="C88">
        <f t="shared" si="5"/>
        <v>0.6900445568097523</v>
      </c>
      <c r="D88">
        <f t="shared" si="6"/>
        <v>0.65848518618755447</v>
      </c>
    </row>
    <row r="89" spans="1:4" x14ac:dyDescent="0.35">
      <c r="A89">
        <f t="shared" si="7"/>
        <v>43</v>
      </c>
      <c r="B89">
        <f t="shared" si="4"/>
        <v>0.33858267716535434</v>
      </c>
      <c r="C89">
        <f t="shared" si="5"/>
        <v>0.68451450777932232</v>
      </c>
      <c r="D89">
        <f t="shared" si="6"/>
        <v>0.64947602655269454</v>
      </c>
    </row>
    <row r="90" spans="1:4" x14ac:dyDescent="0.35">
      <c r="A90">
        <f t="shared" si="7"/>
        <v>42</v>
      </c>
      <c r="B90">
        <f t="shared" si="4"/>
        <v>0.33070866141732286</v>
      </c>
      <c r="C90">
        <f t="shared" si="5"/>
        <v>0.67890021983682225</v>
      </c>
      <c r="D90">
        <f t="shared" si="6"/>
        <v>0.64026802164628749</v>
      </c>
    </row>
    <row r="91" spans="1:4" x14ac:dyDescent="0.35">
      <c r="A91">
        <f t="shared" si="7"/>
        <v>41</v>
      </c>
      <c r="B91">
        <f t="shared" si="4"/>
        <v>0.32283464566929132</v>
      </c>
      <c r="C91">
        <f t="shared" si="5"/>
        <v>0.6731983572267054</v>
      </c>
      <c r="D91">
        <f t="shared" si="6"/>
        <v>0.63085678266364797</v>
      </c>
    </row>
    <row r="92" spans="1:4" x14ac:dyDescent="0.35">
      <c r="A92">
        <f t="shared" si="7"/>
        <v>40</v>
      </c>
      <c r="B92">
        <f t="shared" si="4"/>
        <v>0.31496062992125984</v>
      </c>
      <c r="C92">
        <f t="shared" si="5"/>
        <v>0.66740536681472007</v>
      </c>
      <c r="D92">
        <f t="shared" si="6"/>
        <v>0.62123782393278049</v>
      </c>
    </row>
    <row r="93" spans="1:4" x14ac:dyDescent="0.35">
      <c r="A93">
        <f t="shared" si="7"/>
        <v>39</v>
      </c>
      <c r="B93">
        <f t="shared" si="4"/>
        <v>0.30708661417322836</v>
      </c>
      <c r="C93">
        <f t="shared" si="5"/>
        <v>0.66151745808325524</v>
      </c>
      <c r="D93">
        <f t="shared" si="6"/>
        <v>0.61140656077637701</v>
      </c>
    </row>
    <row r="94" spans="1:4" x14ac:dyDescent="0.35">
      <c r="A94">
        <f t="shared" si="7"/>
        <v>38</v>
      </c>
      <c r="B94">
        <f t="shared" si="4"/>
        <v>0.29921259842519687</v>
      </c>
      <c r="C94">
        <f t="shared" si="5"/>
        <v>0.65553058072050507</v>
      </c>
      <c r="D94">
        <f t="shared" si="6"/>
        <v>0.60135830732662576</v>
      </c>
    </row>
    <row r="95" spans="1:4" x14ac:dyDescent="0.35">
      <c r="A95">
        <f t="shared" si="7"/>
        <v>37</v>
      </c>
      <c r="B95">
        <f t="shared" si="4"/>
        <v>0.29133858267716534</v>
      </c>
      <c r="C95">
        <f t="shared" si="5"/>
        <v>0.64944039944242993</v>
      </c>
      <c r="D95">
        <f t="shared" si="6"/>
        <v>0.59108827429178867</v>
      </c>
    </row>
    <row r="96" spans="1:4" x14ac:dyDescent="0.35">
      <c r="A96">
        <f t="shared" si="7"/>
        <v>36</v>
      </c>
      <c r="B96">
        <f t="shared" si="4"/>
        <v>0.28346456692913385</v>
      </c>
      <c r="C96">
        <f t="shared" si="5"/>
        <v>0.64324226562098785</v>
      </c>
      <c r="D96">
        <f t="shared" si="6"/>
        <v>0.58059156667348555</v>
      </c>
    </row>
    <row r="97" spans="1:4" x14ac:dyDescent="0.35">
      <c r="A97">
        <f t="shared" si="7"/>
        <v>35</v>
      </c>
      <c r="B97">
        <f t="shared" si="4"/>
        <v>0.27559055118110237</v>
      </c>
      <c r="C97">
        <f t="shared" si="5"/>
        <v>0.63693118521255621</v>
      </c>
      <c r="D97">
        <f t="shared" si="6"/>
        <v>0.56986318143359438</v>
      </c>
    </row>
    <row r="98" spans="1:4" x14ac:dyDescent="0.35">
      <c r="A98">
        <f t="shared" si="7"/>
        <v>34</v>
      </c>
      <c r="B98">
        <f t="shared" si="4"/>
        <v>0.26771653543307089</v>
      </c>
      <c r="C98">
        <f t="shared" si="5"/>
        <v>0.63050178238334231</v>
      </c>
      <c r="D98">
        <f t="shared" si="6"/>
        <v>0.55889800510965648</v>
      </c>
    </row>
    <row r="99" spans="1:4" x14ac:dyDescent="0.35">
      <c r="A99">
        <f t="shared" si="7"/>
        <v>33</v>
      </c>
      <c r="B99">
        <f t="shared" si="4"/>
        <v>0.25984251968503935</v>
      </c>
      <c r="C99">
        <f t="shared" si="5"/>
        <v>0.62394825810938315</v>
      </c>
      <c r="D99">
        <f t="shared" si="6"/>
        <v>0.54769081137765085</v>
      </c>
    </row>
    <row r="100" spans="1:4" x14ac:dyDescent="0.35">
      <c r="A100">
        <f t="shared" si="7"/>
        <v>32</v>
      </c>
      <c r="B100">
        <f t="shared" si="4"/>
        <v>0.25196850393700787</v>
      </c>
      <c r="C100">
        <f t="shared" si="5"/>
        <v>0.61726434288160092</v>
      </c>
      <c r="D100">
        <f t="shared" si="6"/>
        <v>0.53623625856097568</v>
      </c>
    </row>
    <row r="101" spans="1:4" x14ac:dyDescent="0.35">
      <c r="A101">
        <f t="shared" si="7"/>
        <v>31</v>
      </c>
      <c r="B101">
        <f t="shared" si="4"/>
        <v>0.24409448818897639</v>
      </c>
      <c r="C101">
        <f t="shared" si="5"/>
        <v>0.61044324246368775</v>
      </c>
      <c r="D101">
        <f t="shared" si="6"/>
        <v>0.52452888708444778</v>
      </c>
    </row>
    <row r="102" spans="1:4" x14ac:dyDescent="0.35">
      <c r="A102">
        <f t="shared" si="7"/>
        <v>30</v>
      </c>
      <c r="B102">
        <f t="shared" si="4"/>
        <v>0.23622047244094488</v>
      </c>
      <c r="C102">
        <f t="shared" si="5"/>
        <v>0.60347757542229075</v>
      </c>
      <c r="D102">
        <f t="shared" si="6"/>
        <v>0.51256311687211042</v>
      </c>
    </row>
    <row r="103" spans="1:4" x14ac:dyDescent="0.35">
      <c r="A103">
        <f t="shared" si="7"/>
        <v>29</v>
      </c>
      <c r="B103">
        <f t="shared" si="4"/>
        <v>0.2283464566929134</v>
      </c>
      <c r="C103">
        <f t="shared" si="5"/>
        <v>0.59635930086175803</v>
      </c>
      <c r="D103">
        <f t="shared" si="6"/>
        <v>0.50033324468760509</v>
      </c>
    </row>
    <row r="104" spans="1:4" x14ac:dyDescent="0.35">
      <c r="A104">
        <f t="shared" si="7"/>
        <v>28</v>
      </c>
      <c r="B104">
        <f t="shared" si="4"/>
        <v>0.22047244094488189</v>
      </c>
      <c r="C104">
        <f t="shared" si="5"/>
        <v>0.58907963443178657</v>
      </c>
      <c r="D104">
        <f t="shared" si="6"/>
        <v>0.48783344141584228</v>
      </c>
    </row>
    <row r="105" spans="1:4" x14ac:dyDescent="0.35">
      <c r="A105">
        <f t="shared" si="7"/>
        <v>27</v>
      </c>
      <c r="B105">
        <f t="shared" si="4"/>
        <v>0.2125984251968504</v>
      </c>
      <c r="C105">
        <f t="shared" si="5"/>
        <v>0.58162895021169203</v>
      </c>
      <c r="D105">
        <f t="shared" si="6"/>
        <v>0.47505774928467426</v>
      </c>
    </row>
    <row r="106" spans="1:4" x14ac:dyDescent="0.35">
      <c r="A106">
        <f t="shared" si="7"/>
        <v>26</v>
      </c>
      <c r="B106">
        <f t="shared" si="4"/>
        <v>0.20472440944881889</v>
      </c>
      <c r="C106">
        <f t="shared" si="5"/>
        <v>0.57399666547698591</v>
      </c>
      <c r="D106">
        <f t="shared" si="6"/>
        <v>0.46200007902524709</v>
      </c>
    </row>
    <row r="107" spans="1:4" x14ac:dyDescent="0.35">
      <c r="A107">
        <f t="shared" si="7"/>
        <v>25</v>
      </c>
      <c r="B107">
        <f t="shared" si="4"/>
        <v>0.19685039370078741</v>
      </c>
      <c r="C107">
        <f t="shared" si="5"/>
        <v>0.56617110457749731</v>
      </c>
      <c r="D107">
        <f t="shared" si="6"/>
        <v>0.44865420696967673</v>
      </c>
    </row>
    <row r="108" spans="1:4" x14ac:dyDescent="0.35">
      <c r="A108">
        <f t="shared" si="7"/>
        <v>24</v>
      </c>
      <c r="B108">
        <f t="shared" si="4"/>
        <v>0.1889763779527559</v>
      </c>
      <c r="C108">
        <f t="shared" si="5"/>
        <v>0.55813933713876485</v>
      </c>
      <c r="D108">
        <f t="shared" si="6"/>
        <v>0.43501377208466607</v>
      </c>
    </row>
    <row r="109" spans="1:4" x14ac:dyDescent="0.35">
      <c r="A109">
        <f t="shared" si="7"/>
        <v>23</v>
      </c>
      <c r="B109">
        <f t="shared" si="4"/>
        <v>0.18110236220472442</v>
      </c>
      <c r="C109">
        <f t="shared" si="5"/>
        <v>0.54988698445164119</v>
      </c>
      <c r="D109">
        <f t="shared" si="6"/>
        <v>0.42107227293965088</v>
      </c>
    </row>
    <row r="110" spans="1:4" x14ac:dyDescent="0.35">
      <c r="A110">
        <f t="shared" si="7"/>
        <v>22</v>
      </c>
      <c r="B110">
        <f t="shared" si="4"/>
        <v>0.17322834645669291</v>
      </c>
      <c r="C110">
        <f t="shared" si="5"/>
        <v>0.54139798611314272</v>
      </c>
      <c r="D110">
        <f t="shared" si="6"/>
        <v>0.40682306460802753</v>
      </c>
    </row>
    <row r="111" spans="1:4" x14ac:dyDescent="0.35">
      <c r="A111">
        <f t="shared" si="7"/>
        <v>21</v>
      </c>
      <c r="B111">
        <f t="shared" si="4"/>
        <v>0.16535433070866143</v>
      </c>
      <c r="C111">
        <f t="shared" si="5"/>
        <v>0.532654316542579</v>
      </c>
      <c r="D111">
        <f t="shared" si="6"/>
        <v>0.39225935549998669</v>
      </c>
    </row>
    <row r="112" spans="1:4" x14ac:dyDescent="0.35">
      <c r="A112">
        <f t="shared" si="7"/>
        <v>20</v>
      </c>
      <c r="B112">
        <f t="shared" si="4"/>
        <v>0.15748031496062992</v>
      </c>
      <c r="C112">
        <f t="shared" si="5"/>
        <v>0.52363563765377719</v>
      </c>
      <c r="D112">
        <f t="shared" si="6"/>
        <v>0.3773742041254422</v>
      </c>
    </row>
    <row r="113" spans="1:4" x14ac:dyDescent="0.35">
      <c r="A113">
        <f t="shared" si="7"/>
        <v>19</v>
      </c>
      <c r="B113">
        <f t="shared" si="4"/>
        <v>0.14960629921259844</v>
      </c>
      <c r="C113">
        <f t="shared" si="5"/>
        <v>0.5143188693183306</v>
      </c>
      <c r="D113">
        <f t="shared" si="6"/>
        <v>0.36216051578551445</v>
      </c>
    </row>
    <row r="114" spans="1:4" x14ac:dyDescent="0.35">
      <c r="A114">
        <f t="shared" si="7"/>
        <v>18</v>
      </c>
      <c r="B114">
        <f t="shared" si="4"/>
        <v>0.14173228346456693</v>
      </c>
      <c r="C114">
        <f t="shared" si="5"/>
        <v>0.50467765270130494</v>
      </c>
      <c r="D114">
        <f t="shared" si="6"/>
        <v>0.34661103919098812</v>
      </c>
    </row>
    <row r="115" spans="1:4" x14ac:dyDescent="0.35">
      <c r="A115">
        <f t="shared" si="7"/>
        <v>17</v>
      </c>
      <c r="B115">
        <f t="shared" si="4"/>
        <v>0.13385826771653545</v>
      </c>
      <c r="C115">
        <f t="shared" si="5"/>
        <v>0.4946816721535281</v>
      </c>
      <c r="D115">
        <f t="shared" si="6"/>
        <v>0.33071836300613711</v>
      </c>
    </row>
    <row r="116" spans="1:4" x14ac:dyDescent="0.35">
      <c r="A116">
        <f t="shared" si="7"/>
        <v>16</v>
      </c>
      <c r="B116">
        <f t="shared" si="4"/>
        <v>0.12598425196850394</v>
      </c>
      <c r="C116">
        <f t="shared" si="5"/>
        <v>0.48429578762359149</v>
      </c>
      <c r="D116">
        <f t="shared" si="6"/>
        <v>0.31447491231626368</v>
      </c>
    </row>
    <row r="117" spans="1:4" x14ac:dyDescent="0.35">
      <c r="A117">
        <f t="shared" si="7"/>
        <v>15</v>
      </c>
      <c r="B117">
        <f t="shared" si="4"/>
        <v>0.11811023622047244</v>
      </c>
      <c r="C117">
        <f t="shared" si="5"/>
        <v>0.47347890911361634</v>
      </c>
      <c r="D117">
        <f t="shared" si="6"/>
        <v>0.29787294501727213</v>
      </c>
    </row>
    <row r="118" spans="1:4" x14ac:dyDescent="0.35">
      <c r="A118">
        <f t="shared" si="7"/>
        <v>14</v>
      </c>
      <c r="B118">
        <f t="shared" si="4"/>
        <v>0.11023622047244094</v>
      </c>
      <c r="C118">
        <f t="shared" si="5"/>
        <v>0.46218251357001094</v>
      </c>
      <c r="D118">
        <f t="shared" si="6"/>
        <v>0.2809045481255571</v>
      </c>
    </row>
    <row r="119" spans="1:4" x14ac:dyDescent="0.35">
      <c r="A119">
        <f t="shared" si="7"/>
        <v>13</v>
      </c>
      <c r="B119">
        <f t="shared" si="4"/>
        <v>0.10236220472440945</v>
      </c>
      <c r="C119">
        <f t="shared" si="5"/>
        <v>0.45034865597900403</v>
      </c>
      <c r="D119">
        <f t="shared" si="6"/>
        <v>0.26356163400644184</v>
      </c>
    </row>
    <row r="120" spans="1:4" x14ac:dyDescent="0.35">
      <c r="A120">
        <f t="shared" si="7"/>
        <v>12</v>
      </c>
      <c r="B120">
        <f t="shared" si="4"/>
        <v>9.4488188976377951E-2</v>
      </c>
      <c r="C120">
        <f t="shared" si="5"/>
        <v>0.43790724832970823</v>
      </c>
      <c r="D120">
        <f t="shared" si="6"/>
        <v>0.24583593651937619</v>
      </c>
    </row>
    <row r="121" spans="1:4" x14ac:dyDescent="0.35">
      <c r="A121">
        <f t="shared" si="7"/>
        <v>11</v>
      </c>
      <c r="B121">
        <f t="shared" si="4"/>
        <v>8.6614173228346455E-2</v>
      </c>
      <c r="C121">
        <f t="shared" si="5"/>
        <v>0.42477225053769774</v>
      </c>
      <c r="D121">
        <f t="shared" si="6"/>
        <v>0.22771900707805137</v>
      </c>
    </row>
    <row r="122" spans="1:4" x14ac:dyDescent="0.35">
      <c r="A122">
        <f t="shared" si="7"/>
        <v>10</v>
      </c>
      <c r="B122">
        <f t="shared" si="4"/>
        <v>7.874015748031496E-2</v>
      </c>
      <c r="C122">
        <f t="shared" si="5"/>
        <v>0.4108361943951786</v>
      </c>
      <c r="D122">
        <f t="shared" si="6"/>
        <v>0.20920221062355693</v>
      </c>
    </row>
    <row r="123" spans="1:4" x14ac:dyDescent="0.35">
      <c r="A123">
        <f t="shared" si="7"/>
        <v>9</v>
      </c>
      <c r="B123">
        <f t="shared" si="4"/>
        <v>7.0866141732283464E-2</v>
      </c>
      <c r="C123">
        <f t="shared" si="5"/>
        <v>0.39596206087330293</v>
      </c>
      <c r="D123">
        <f t="shared" si="6"/>
        <v>0.19027672150865815</v>
      </c>
    </row>
    <row r="124" spans="1:4" x14ac:dyDescent="0.35">
      <c r="A124">
        <f t="shared" si="7"/>
        <v>8</v>
      </c>
      <c r="B124">
        <f t="shared" si="4"/>
        <v>6.2992125984251968E-2</v>
      </c>
      <c r="C124">
        <f t="shared" si="5"/>
        <v>0.37997077364785192</v>
      </c>
      <c r="D124">
        <f t="shared" si="6"/>
        <v>0.17093351929123513</v>
      </c>
    </row>
    <row r="125" spans="1:4" x14ac:dyDescent="0.35">
      <c r="A125">
        <f t="shared" si="7"/>
        <v>7</v>
      </c>
      <c r="B125">
        <f t="shared" si="4"/>
        <v>5.5118110236220472E-2</v>
      </c>
      <c r="C125">
        <f t="shared" si="5"/>
        <v>0.36262105047297977</v>
      </c>
      <c r="D125">
        <f t="shared" si="6"/>
        <v>0.15116338443487509</v>
      </c>
    </row>
    <row r="126" spans="1:4" x14ac:dyDescent="0.35">
      <c r="A126">
        <f t="shared" si="7"/>
        <v>6</v>
      </c>
      <c r="B126">
        <f t="shared" si="4"/>
        <v>4.7244094488188976E-2</v>
      </c>
      <c r="C126">
        <f t="shared" si="5"/>
        <v>0.34357506339321253</v>
      </c>
      <c r="D126">
        <f t="shared" si="6"/>
        <v>0.1309568939145721</v>
      </c>
    </row>
    <row r="127" spans="1:4" x14ac:dyDescent="0.35">
      <c r="A127">
        <f t="shared" si="7"/>
        <v>5</v>
      </c>
      <c r="B127">
        <f t="shared" si="4"/>
        <v>3.937007874015748E-2</v>
      </c>
      <c r="C127">
        <f t="shared" si="5"/>
        <v>0.32233554496287536</v>
      </c>
      <c r="D127">
        <f t="shared" si="6"/>
        <v>0.11030441672543734</v>
      </c>
    </row>
    <row r="128" spans="1:4" x14ac:dyDescent="0.35">
      <c r="A128">
        <f t="shared" si="7"/>
        <v>4</v>
      </c>
      <c r="B128">
        <f t="shared" si="4"/>
        <v>3.1496062992125984E-2</v>
      </c>
      <c r="C128">
        <f t="shared" si="5"/>
        <v>0.29811902666963036</v>
      </c>
      <c r="D128">
        <f t="shared" si="6"/>
        <v>8.9196109292280168E-2</v>
      </c>
    </row>
    <row r="129" spans="1:4" x14ac:dyDescent="0.35">
      <c r="A129">
        <f t="shared" si="7"/>
        <v>3</v>
      </c>
      <c r="B129">
        <f t="shared" si="4"/>
        <v>2.3622047244094488E-2</v>
      </c>
      <c r="C129">
        <f t="shared" si="5"/>
        <v>0.26956353117218257</v>
      </c>
      <c r="D129">
        <f t="shared" si="6"/>
        <v>6.7621910777872163E-2</v>
      </c>
    </row>
    <row r="130" spans="1:4" x14ac:dyDescent="0.35">
      <c r="A130">
        <f t="shared" si="7"/>
        <v>2</v>
      </c>
      <c r="B130">
        <f t="shared" si="4"/>
        <v>1.5748031496062992E-2</v>
      </c>
      <c r="C130">
        <f t="shared" si="5"/>
        <v>0.23389944760544931</v>
      </c>
      <c r="D130">
        <f t="shared" si="6"/>
        <v>4.5571538287657365E-2</v>
      </c>
    </row>
    <row r="131" spans="1:4" x14ac:dyDescent="0.35">
      <c r="A131">
        <f t="shared" si="7"/>
        <v>1</v>
      </c>
      <c r="B131">
        <f t="shared" si="4"/>
        <v>7.874015748031496E-3</v>
      </c>
      <c r="C131">
        <f t="shared" si="5"/>
        <v>0.18351378709806976</v>
      </c>
      <c r="D131">
        <f t="shared" si="6"/>
        <v>2.3034481968623677E-2</v>
      </c>
    </row>
    <row r="132" spans="1:4" x14ac:dyDescent="0.35">
      <c r="A132">
        <f t="shared" si="7"/>
        <v>0</v>
      </c>
      <c r="B132">
        <f t="shared" si="4"/>
        <v>0</v>
      </c>
      <c r="C132">
        <f t="shared" si="5"/>
        <v>0</v>
      </c>
      <c r="D132">
        <f t="shared" si="6"/>
        <v>0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0"/>
  <sheetViews>
    <sheetView workbookViewId="0">
      <selection activeCell="B2" sqref="B2:C130"/>
    </sheetView>
  </sheetViews>
  <sheetFormatPr defaultRowHeight="14.5" x14ac:dyDescent="0.35"/>
  <sheetData>
    <row r="1" spans="1:3" ht="14.4" x14ac:dyDescent="0.3">
      <c r="C1" t="s">
        <v>171</v>
      </c>
    </row>
    <row r="2" spans="1:3" ht="14.4" x14ac:dyDescent="0.3">
      <c r="B2" t="s">
        <v>166</v>
      </c>
      <c r="C2" t="s">
        <v>172</v>
      </c>
    </row>
    <row r="3" spans="1:3" ht="14.4" x14ac:dyDescent="0.3">
      <c r="A3">
        <v>127</v>
      </c>
      <c r="B3">
        <f>A3/127</f>
        <v>1</v>
      </c>
      <c r="C3">
        <f>POWER(B3,3)</f>
        <v>1</v>
      </c>
    </row>
    <row r="4" spans="1:3" ht="14.4" x14ac:dyDescent="0.3">
      <c r="A4">
        <f>A3-1</f>
        <v>126</v>
      </c>
      <c r="B4">
        <f t="shared" ref="B4:B67" si="0">A4/127</f>
        <v>0.99212598425196852</v>
      </c>
      <c r="C4">
        <f t="shared" ref="C4:C67" si="1">POWER(B4,3)</f>
        <v>0.97656346493795354</v>
      </c>
    </row>
    <row r="5" spans="1:3" ht="14.4" x14ac:dyDescent="0.3">
      <c r="A5">
        <f t="shared" ref="A5:A68" si="2">A4-1</f>
        <v>125</v>
      </c>
      <c r="B5">
        <f t="shared" si="0"/>
        <v>0.98425196850393704</v>
      </c>
      <c r="C5">
        <f t="shared" si="1"/>
        <v>0.95349600148019209</v>
      </c>
    </row>
    <row r="6" spans="1:3" ht="14.4" x14ac:dyDescent="0.3">
      <c r="A6">
        <f t="shared" si="2"/>
        <v>124</v>
      </c>
      <c r="B6">
        <f t="shared" si="0"/>
        <v>0.97637795275590555</v>
      </c>
      <c r="C6">
        <f t="shared" si="1"/>
        <v>0.93079468048699887</v>
      </c>
    </row>
    <row r="7" spans="1:3" ht="14.4" x14ac:dyDescent="0.3">
      <c r="A7">
        <f t="shared" si="2"/>
        <v>123</v>
      </c>
      <c r="B7">
        <f t="shared" si="0"/>
        <v>0.96850393700787396</v>
      </c>
      <c r="C7">
        <f t="shared" si="1"/>
        <v>0.90845657281865733</v>
      </c>
    </row>
    <row r="8" spans="1:3" ht="14.4" x14ac:dyDescent="0.3">
      <c r="A8">
        <f t="shared" si="2"/>
        <v>122</v>
      </c>
      <c r="B8">
        <f t="shared" si="0"/>
        <v>0.96062992125984248</v>
      </c>
      <c r="C8">
        <f t="shared" si="1"/>
        <v>0.88647874933545134</v>
      </c>
    </row>
    <row r="9" spans="1:3" ht="14.4" x14ac:dyDescent="0.3">
      <c r="A9">
        <f t="shared" si="2"/>
        <v>121</v>
      </c>
      <c r="B9">
        <f t="shared" si="0"/>
        <v>0.952755905511811</v>
      </c>
      <c r="C9">
        <f t="shared" si="1"/>
        <v>0.86485828089766414</v>
      </c>
    </row>
    <row r="10" spans="1:3" ht="14.4" x14ac:dyDescent="0.3">
      <c r="A10">
        <f t="shared" si="2"/>
        <v>120</v>
      </c>
      <c r="B10">
        <f t="shared" si="0"/>
        <v>0.94488188976377951</v>
      </c>
      <c r="C10">
        <f t="shared" si="1"/>
        <v>0.84359223836557906</v>
      </c>
    </row>
    <row r="11" spans="1:3" ht="14.4" x14ac:dyDescent="0.3">
      <c r="A11">
        <f t="shared" si="2"/>
        <v>119</v>
      </c>
      <c r="B11">
        <f t="shared" si="0"/>
        <v>0.93700787401574803</v>
      </c>
      <c r="C11">
        <f t="shared" si="1"/>
        <v>0.82267769259947976</v>
      </c>
    </row>
    <row r="12" spans="1:3" ht="14.4" x14ac:dyDescent="0.3">
      <c r="A12">
        <f t="shared" si="2"/>
        <v>118</v>
      </c>
      <c r="B12">
        <f t="shared" si="0"/>
        <v>0.92913385826771655</v>
      </c>
      <c r="C12">
        <f t="shared" si="1"/>
        <v>0.80211171445964935</v>
      </c>
    </row>
    <row r="13" spans="1:3" ht="14.4" x14ac:dyDescent="0.3">
      <c r="A13">
        <f t="shared" si="2"/>
        <v>117</v>
      </c>
      <c r="B13">
        <f t="shared" si="0"/>
        <v>0.92125984251968507</v>
      </c>
      <c r="C13">
        <f t="shared" si="1"/>
        <v>0.78189137480637172</v>
      </c>
    </row>
    <row r="14" spans="1:3" ht="14.4" x14ac:dyDescent="0.3">
      <c r="A14">
        <f t="shared" si="2"/>
        <v>116</v>
      </c>
      <c r="B14">
        <f t="shared" si="0"/>
        <v>0.91338582677165359</v>
      </c>
      <c r="C14">
        <f t="shared" si="1"/>
        <v>0.76201374449993009</v>
      </c>
    </row>
    <row r="15" spans="1:3" ht="14.4" x14ac:dyDescent="0.3">
      <c r="A15">
        <f t="shared" si="2"/>
        <v>115</v>
      </c>
      <c r="B15">
        <f t="shared" si="0"/>
        <v>0.90551181102362199</v>
      </c>
      <c r="C15">
        <f t="shared" si="1"/>
        <v>0.74247589440060757</v>
      </c>
    </row>
    <row r="16" spans="1:3" ht="14.4" x14ac:dyDescent="0.3">
      <c r="A16">
        <f t="shared" si="2"/>
        <v>114</v>
      </c>
      <c r="B16">
        <f t="shared" si="0"/>
        <v>0.89763779527559051</v>
      </c>
      <c r="C16">
        <f t="shared" si="1"/>
        <v>0.72327489536868828</v>
      </c>
    </row>
    <row r="17" spans="1:3" ht="14.4" x14ac:dyDescent="0.3">
      <c r="A17">
        <f t="shared" si="2"/>
        <v>113</v>
      </c>
      <c r="B17">
        <f t="shared" si="0"/>
        <v>0.88976377952755903</v>
      </c>
      <c r="C17">
        <f t="shared" si="1"/>
        <v>0.70440781826445531</v>
      </c>
    </row>
    <row r="18" spans="1:3" ht="14.4" x14ac:dyDescent="0.3">
      <c r="A18">
        <f t="shared" si="2"/>
        <v>112</v>
      </c>
      <c r="B18">
        <f t="shared" si="0"/>
        <v>0.88188976377952755</v>
      </c>
      <c r="C18">
        <f t="shared" si="1"/>
        <v>0.68587173394819234</v>
      </c>
    </row>
    <row r="19" spans="1:3" ht="14.4" x14ac:dyDescent="0.3">
      <c r="A19">
        <f t="shared" si="2"/>
        <v>111</v>
      </c>
      <c r="B19">
        <f t="shared" si="0"/>
        <v>0.87401574803149606</v>
      </c>
      <c r="C19">
        <f t="shared" si="1"/>
        <v>0.66766371328018248</v>
      </c>
    </row>
    <row r="20" spans="1:3" ht="14.4" x14ac:dyDescent="0.3">
      <c r="A20">
        <f t="shared" si="2"/>
        <v>110</v>
      </c>
      <c r="B20">
        <f t="shared" si="0"/>
        <v>0.86614173228346458</v>
      </c>
      <c r="C20">
        <f t="shared" si="1"/>
        <v>0.64978082712070939</v>
      </c>
    </row>
    <row r="21" spans="1:3" ht="14.4" x14ac:dyDescent="0.3">
      <c r="A21">
        <f t="shared" si="2"/>
        <v>109</v>
      </c>
      <c r="B21">
        <f t="shared" si="0"/>
        <v>0.8582677165354331</v>
      </c>
      <c r="C21">
        <f t="shared" si="1"/>
        <v>0.63222014633005652</v>
      </c>
    </row>
    <row r="22" spans="1:3" ht="14.4" x14ac:dyDescent="0.3">
      <c r="A22">
        <f t="shared" si="2"/>
        <v>108</v>
      </c>
      <c r="B22">
        <f t="shared" si="0"/>
        <v>0.85039370078740162</v>
      </c>
      <c r="C22">
        <f t="shared" si="1"/>
        <v>0.61497874176850731</v>
      </c>
    </row>
    <row r="23" spans="1:3" x14ac:dyDescent="0.35">
      <c r="A23">
        <f t="shared" si="2"/>
        <v>107</v>
      </c>
      <c r="B23">
        <f t="shared" si="0"/>
        <v>0.84251968503937003</v>
      </c>
      <c r="C23">
        <f t="shared" si="1"/>
        <v>0.59805368429634487</v>
      </c>
    </row>
    <row r="24" spans="1:3" x14ac:dyDescent="0.35">
      <c r="A24">
        <f t="shared" si="2"/>
        <v>106</v>
      </c>
      <c r="B24">
        <f t="shared" si="0"/>
        <v>0.83464566929133854</v>
      </c>
      <c r="C24">
        <f t="shared" si="1"/>
        <v>0.58144204477385319</v>
      </c>
    </row>
    <row r="25" spans="1:3" x14ac:dyDescent="0.35">
      <c r="A25">
        <f t="shared" si="2"/>
        <v>105</v>
      </c>
      <c r="B25">
        <f t="shared" si="0"/>
        <v>0.82677165354330706</v>
      </c>
      <c r="C25">
        <f t="shared" si="1"/>
        <v>0.56514089406131562</v>
      </c>
    </row>
    <row r="26" spans="1:3" x14ac:dyDescent="0.35">
      <c r="A26">
        <f t="shared" si="2"/>
        <v>104</v>
      </c>
      <c r="B26">
        <f t="shared" si="0"/>
        <v>0.81889763779527558</v>
      </c>
      <c r="C26">
        <f t="shared" si="1"/>
        <v>0.54914730301901549</v>
      </c>
    </row>
    <row r="27" spans="1:3" x14ac:dyDescent="0.35">
      <c r="A27">
        <f t="shared" si="2"/>
        <v>103</v>
      </c>
      <c r="B27">
        <f t="shared" si="0"/>
        <v>0.8110236220472441</v>
      </c>
      <c r="C27">
        <f t="shared" si="1"/>
        <v>0.53345834250723623</v>
      </c>
    </row>
    <row r="28" spans="1:3" x14ac:dyDescent="0.35">
      <c r="A28">
        <f t="shared" si="2"/>
        <v>102</v>
      </c>
      <c r="B28">
        <f t="shared" si="0"/>
        <v>0.80314960629921262</v>
      </c>
      <c r="C28">
        <f t="shared" si="1"/>
        <v>0.51807108338626129</v>
      </c>
    </row>
    <row r="29" spans="1:3" x14ac:dyDescent="0.35">
      <c r="A29">
        <f t="shared" si="2"/>
        <v>101</v>
      </c>
      <c r="B29">
        <f t="shared" si="0"/>
        <v>0.79527559055118113</v>
      </c>
      <c r="C29">
        <f t="shared" si="1"/>
        <v>0.50298259651637423</v>
      </c>
    </row>
    <row r="30" spans="1:3" x14ac:dyDescent="0.35">
      <c r="A30">
        <f t="shared" si="2"/>
        <v>100</v>
      </c>
      <c r="B30">
        <f t="shared" si="0"/>
        <v>0.78740157480314965</v>
      </c>
      <c r="C30">
        <f t="shared" si="1"/>
        <v>0.48818995275785831</v>
      </c>
    </row>
    <row r="31" spans="1:3" x14ac:dyDescent="0.35">
      <c r="A31">
        <f t="shared" si="2"/>
        <v>99</v>
      </c>
      <c r="B31">
        <f t="shared" si="0"/>
        <v>0.77952755905511806</v>
      </c>
      <c r="C31">
        <f t="shared" si="1"/>
        <v>0.473690222970997</v>
      </c>
    </row>
    <row r="32" spans="1:3" x14ac:dyDescent="0.35">
      <c r="A32">
        <f t="shared" si="2"/>
        <v>98</v>
      </c>
      <c r="B32">
        <f t="shared" si="0"/>
        <v>0.77165354330708658</v>
      </c>
      <c r="C32">
        <f t="shared" si="1"/>
        <v>0.45948047801607411</v>
      </c>
    </row>
    <row r="33" spans="1:3" x14ac:dyDescent="0.35">
      <c r="A33">
        <f t="shared" si="2"/>
        <v>97</v>
      </c>
      <c r="B33">
        <f t="shared" si="0"/>
        <v>0.76377952755905509</v>
      </c>
      <c r="C33">
        <f t="shared" si="1"/>
        <v>0.44555778875337276</v>
      </c>
    </row>
    <row r="34" spans="1:3" x14ac:dyDescent="0.35">
      <c r="A34">
        <f t="shared" si="2"/>
        <v>96</v>
      </c>
      <c r="B34">
        <f t="shared" si="0"/>
        <v>0.75590551181102361</v>
      </c>
      <c r="C34">
        <f t="shared" si="1"/>
        <v>0.43191922604317645</v>
      </c>
    </row>
    <row r="35" spans="1:3" x14ac:dyDescent="0.35">
      <c r="A35">
        <f t="shared" si="2"/>
        <v>95</v>
      </c>
      <c r="B35">
        <f t="shared" si="0"/>
        <v>0.74803149606299213</v>
      </c>
      <c r="C35">
        <f t="shared" si="1"/>
        <v>0.41856186074576873</v>
      </c>
    </row>
    <row r="36" spans="1:3" x14ac:dyDescent="0.35">
      <c r="A36">
        <f t="shared" si="2"/>
        <v>94</v>
      </c>
      <c r="B36">
        <f t="shared" si="0"/>
        <v>0.74015748031496065</v>
      </c>
      <c r="C36">
        <f t="shared" si="1"/>
        <v>0.40548276372143294</v>
      </c>
    </row>
    <row r="37" spans="1:3" x14ac:dyDescent="0.35">
      <c r="A37">
        <f t="shared" si="2"/>
        <v>93</v>
      </c>
      <c r="B37">
        <f t="shared" si="0"/>
        <v>0.73228346456692917</v>
      </c>
      <c r="C37">
        <f t="shared" si="1"/>
        <v>0.39267900583045262</v>
      </c>
    </row>
    <row r="38" spans="1:3" x14ac:dyDescent="0.35">
      <c r="A38">
        <f t="shared" si="2"/>
        <v>92</v>
      </c>
      <c r="B38">
        <f t="shared" si="0"/>
        <v>0.72440944881889768</v>
      </c>
      <c r="C38">
        <f t="shared" si="1"/>
        <v>0.38014765793311117</v>
      </c>
    </row>
    <row r="39" spans="1:3" x14ac:dyDescent="0.35">
      <c r="A39">
        <f t="shared" si="2"/>
        <v>91</v>
      </c>
      <c r="B39">
        <f t="shared" si="0"/>
        <v>0.71653543307086609</v>
      </c>
      <c r="C39">
        <f t="shared" si="1"/>
        <v>0.36788579088969192</v>
      </c>
    </row>
    <row r="40" spans="1:3" x14ac:dyDescent="0.35">
      <c r="A40">
        <f t="shared" si="2"/>
        <v>90</v>
      </c>
      <c r="B40">
        <f t="shared" si="0"/>
        <v>0.70866141732283461</v>
      </c>
      <c r="C40">
        <f t="shared" si="1"/>
        <v>0.35589047556047865</v>
      </c>
    </row>
    <row r="41" spans="1:3" x14ac:dyDescent="0.35">
      <c r="A41">
        <f t="shared" si="2"/>
        <v>89</v>
      </c>
      <c r="B41">
        <f t="shared" si="0"/>
        <v>0.70078740157480313</v>
      </c>
      <c r="C41">
        <f t="shared" si="1"/>
        <v>0.34415878280575457</v>
      </c>
    </row>
    <row r="42" spans="1:3" x14ac:dyDescent="0.35">
      <c r="A42">
        <f t="shared" si="2"/>
        <v>88</v>
      </c>
      <c r="B42">
        <f t="shared" si="0"/>
        <v>0.69291338582677164</v>
      </c>
      <c r="C42">
        <f t="shared" si="1"/>
        <v>0.33268778348580319</v>
      </c>
    </row>
    <row r="43" spans="1:3" x14ac:dyDescent="0.35">
      <c r="A43">
        <f t="shared" si="2"/>
        <v>87</v>
      </c>
      <c r="B43">
        <f t="shared" si="0"/>
        <v>0.68503937007874016</v>
      </c>
      <c r="C43">
        <f t="shared" si="1"/>
        <v>0.32147454846090795</v>
      </c>
    </row>
    <row r="44" spans="1:3" x14ac:dyDescent="0.35">
      <c r="A44">
        <f t="shared" si="2"/>
        <v>86</v>
      </c>
      <c r="B44">
        <f t="shared" si="0"/>
        <v>0.67716535433070868</v>
      </c>
      <c r="C44">
        <f t="shared" si="1"/>
        <v>0.31051614859135235</v>
      </c>
    </row>
    <row r="45" spans="1:3" x14ac:dyDescent="0.35">
      <c r="A45">
        <f t="shared" si="2"/>
        <v>85</v>
      </c>
      <c r="B45">
        <f t="shared" si="0"/>
        <v>0.6692913385826772</v>
      </c>
      <c r="C45">
        <f t="shared" si="1"/>
        <v>0.29980965473741972</v>
      </c>
    </row>
    <row r="46" spans="1:3" x14ac:dyDescent="0.35">
      <c r="A46">
        <f t="shared" si="2"/>
        <v>84</v>
      </c>
      <c r="B46">
        <f t="shared" si="0"/>
        <v>0.66141732283464572</v>
      </c>
      <c r="C46">
        <f t="shared" si="1"/>
        <v>0.28935213775939367</v>
      </c>
    </row>
    <row r="47" spans="1:3" x14ac:dyDescent="0.35">
      <c r="A47">
        <f t="shared" si="2"/>
        <v>83</v>
      </c>
      <c r="B47">
        <f t="shared" si="0"/>
        <v>0.65354330708661412</v>
      </c>
      <c r="C47">
        <f t="shared" si="1"/>
        <v>0.27914066851755742</v>
      </c>
    </row>
    <row r="48" spans="1:3" x14ac:dyDescent="0.35">
      <c r="A48">
        <f t="shared" si="2"/>
        <v>82</v>
      </c>
      <c r="B48">
        <f t="shared" si="0"/>
        <v>0.64566929133858264</v>
      </c>
      <c r="C48">
        <f t="shared" si="1"/>
        <v>0.26917231787219476</v>
      </c>
    </row>
    <row r="49" spans="1:3" x14ac:dyDescent="0.35">
      <c r="A49">
        <f t="shared" si="2"/>
        <v>81</v>
      </c>
      <c r="B49">
        <f t="shared" si="0"/>
        <v>0.63779527559055116</v>
      </c>
      <c r="C49">
        <f t="shared" si="1"/>
        <v>0.25944415668358894</v>
      </c>
    </row>
    <row r="50" spans="1:3" x14ac:dyDescent="0.35">
      <c r="A50">
        <f t="shared" si="2"/>
        <v>80</v>
      </c>
      <c r="B50">
        <f t="shared" si="0"/>
        <v>0.62992125984251968</v>
      </c>
      <c r="C50">
        <f t="shared" si="1"/>
        <v>0.24995325581202343</v>
      </c>
    </row>
    <row r="51" spans="1:3" x14ac:dyDescent="0.35">
      <c r="A51">
        <f t="shared" si="2"/>
        <v>79</v>
      </c>
      <c r="B51">
        <f t="shared" si="0"/>
        <v>0.62204724409448819</v>
      </c>
      <c r="C51">
        <f t="shared" si="1"/>
        <v>0.24069668611778169</v>
      </c>
    </row>
    <row r="52" spans="1:3" x14ac:dyDescent="0.35">
      <c r="A52">
        <f t="shared" si="2"/>
        <v>78</v>
      </c>
      <c r="B52">
        <f t="shared" si="0"/>
        <v>0.61417322834645671</v>
      </c>
      <c r="C52">
        <f t="shared" si="1"/>
        <v>0.23167151846114717</v>
      </c>
    </row>
    <row r="53" spans="1:3" x14ac:dyDescent="0.35">
      <c r="A53">
        <f t="shared" si="2"/>
        <v>77</v>
      </c>
      <c r="B53">
        <f t="shared" si="0"/>
        <v>0.60629921259842523</v>
      </c>
      <c r="C53">
        <f t="shared" si="1"/>
        <v>0.22287482370240336</v>
      </c>
    </row>
    <row r="54" spans="1:3" x14ac:dyDescent="0.35">
      <c r="A54">
        <f t="shared" si="2"/>
        <v>76</v>
      </c>
      <c r="B54">
        <f t="shared" si="0"/>
        <v>0.59842519685039375</v>
      </c>
      <c r="C54">
        <f t="shared" si="1"/>
        <v>0.21430367270183365</v>
      </c>
    </row>
    <row r="55" spans="1:3" x14ac:dyDescent="0.35">
      <c r="A55">
        <f t="shared" si="2"/>
        <v>75</v>
      </c>
      <c r="B55">
        <f t="shared" si="0"/>
        <v>0.59055118110236215</v>
      </c>
      <c r="C55">
        <f t="shared" si="1"/>
        <v>0.2059551363197214</v>
      </c>
    </row>
    <row r="56" spans="1:3" x14ac:dyDescent="0.35">
      <c r="A56">
        <f t="shared" si="2"/>
        <v>74</v>
      </c>
      <c r="B56">
        <f t="shared" si="0"/>
        <v>0.58267716535433067</v>
      </c>
      <c r="C56">
        <f t="shared" si="1"/>
        <v>0.19782628541635033</v>
      </c>
    </row>
    <row r="57" spans="1:3" x14ac:dyDescent="0.35">
      <c r="A57">
        <f t="shared" si="2"/>
        <v>73</v>
      </c>
      <c r="B57">
        <f t="shared" si="0"/>
        <v>0.57480314960629919</v>
      </c>
      <c r="C57">
        <f t="shared" si="1"/>
        <v>0.18991419085200373</v>
      </c>
    </row>
    <row r="58" spans="1:3" x14ac:dyDescent="0.35">
      <c r="A58">
        <f t="shared" si="2"/>
        <v>72</v>
      </c>
      <c r="B58">
        <f t="shared" si="0"/>
        <v>0.56692913385826771</v>
      </c>
      <c r="C58">
        <f t="shared" si="1"/>
        <v>0.18221592348696508</v>
      </c>
    </row>
    <row r="59" spans="1:3" x14ac:dyDescent="0.35">
      <c r="A59">
        <f t="shared" si="2"/>
        <v>71</v>
      </c>
      <c r="B59">
        <f t="shared" si="0"/>
        <v>0.55905511811023623</v>
      </c>
      <c r="C59">
        <f t="shared" si="1"/>
        <v>0.17472855418151781</v>
      </c>
    </row>
    <row r="60" spans="1:3" x14ac:dyDescent="0.35">
      <c r="A60">
        <f t="shared" si="2"/>
        <v>70</v>
      </c>
      <c r="B60">
        <f t="shared" si="0"/>
        <v>0.55118110236220474</v>
      </c>
      <c r="C60">
        <f t="shared" si="1"/>
        <v>0.16744915379594541</v>
      </c>
    </row>
    <row r="61" spans="1:3" x14ac:dyDescent="0.35">
      <c r="A61">
        <f t="shared" si="2"/>
        <v>69</v>
      </c>
      <c r="B61">
        <f t="shared" si="0"/>
        <v>0.54330708661417326</v>
      </c>
      <c r="C61">
        <f t="shared" si="1"/>
        <v>0.16037479319053127</v>
      </c>
    </row>
    <row r="62" spans="1:3" x14ac:dyDescent="0.35">
      <c r="A62">
        <f t="shared" si="2"/>
        <v>68</v>
      </c>
      <c r="B62">
        <f t="shared" si="0"/>
        <v>0.53543307086614178</v>
      </c>
      <c r="C62">
        <f t="shared" si="1"/>
        <v>0.15350254322555895</v>
      </c>
    </row>
    <row r="63" spans="1:3" x14ac:dyDescent="0.35">
      <c r="A63">
        <f t="shared" si="2"/>
        <v>67</v>
      </c>
      <c r="B63">
        <f t="shared" si="0"/>
        <v>0.52755905511811019</v>
      </c>
      <c r="C63">
        <f t="shared" si="1"/>
        <v>0.1468294747613117</v>
      </c>
    </row>
    <row r="64" spans="1:3" x14ac:dyDescent="0.35">
      <c r="A64">
        <f t="shared" si="2"/>
        <v>66</v>
      </c>
      <c r="B64">
        <f t="shared" si="0"/>
        <v>0.51968503937007871</v>
      </c>
      <c r="C64">
        <f t="shared" si="1"/>
        <v>0.1403526586580732</v>
      </c>
    </row>
    <row r="65" spans="1:3" x14ac:dyDescent="0.35">
      <c r="A65">
        <f t="shared" si="2"/>
        <v>65</v>
      </c>
      <c r="B65">
        <f t="shared" si="0"/>
        <v>0.51181102362204722</v>
      </c>
      <c r="C65">
        <f t="shared" si="1"/>
        <v>0.13406916577612682</v>
      </c>
    </row>
    <row r="66" spans="1:3" x14ac:dyDescent="0.35">
      <c r="A66">
        <f t="shared" si="2"/>
        <v>64</v>
      </c>
      <c r="B66">
        <f t="shared" si="0"/>
        <v>0.50393700787401574</v>
      </c>
      <c r="C66">
        <f t="shared" si="1"/>
        <v>0.12797606697575598</v>
      </c>
    </row>
    <row r="67" spans="1:3" x14ac:dyDescent="0.35">
      <c r="A67">
        <f t="shared" si="2"/>
        <v>63</v>
      </c>
      <c r="B67">
        <f t="shared" si="0"/>
        <v>0.49606299212598426</v>
      </c>
      <c r="C67">
        <f t="shared" si="1"/>
        <v>0.12207043311724419</v>
      </c>
    </row>
    <row r="68" spans="1:3" x14ac:dyDescent="0.35">
      <c r="A68">
        <f t="shared" si="2"/>
        <v>62</v>
      </c>
      <c r="B68">
        <f t="shared" ref="B68:B130" si="3">A68/127</f>
        <v>0.48818897637795278</v>
      </c>
      <c r="C68">
        <f t="shared" ref="C68:C130" si="4">POWER(B68,3)</f>
        <v>0.11634933506087486</v>
      </c>
    </row>
    <row r="69" spans="1:3" x14ac:dyDescent="0.35">
      <c r="A69">
        <f t="shared" ref="A69:A130" si="5">A68-1</f>
        <v>61</v>
      </c>
      <c r="B69">
        <f t="shared" si="3"/>
        <v>0.48031496062992124</v>
      </c>
      <c r="C69">
        <f t="shared" si="4"/>
        <v>0.11080984366693142</v>
      </c>
    </row>
    <row r="70" spans="1:3" x14ac:dyDescent="0.35">
      <c r="A70">
        <f t="shared" si="5"/>
        <v>60</v>
      </c>
      <c r="B70">
        <f t="shared" si="3"/>
        <v>0.47244094488188976</v>
      </c>
      <c r="C70">
        <f t="shared" si="4"/>
        <v>0.10544902979569738</v>
      </c>
    </row>
    <row r="71" spans="1:3" x14ac:dyDescent="0.35">
      <c r="A71">
        <f t="shared" si="5"/>
        <v>59</v>
      </c>
      <c r="B71">
        <f t="shared" si="3"/>
        <v>0.46456692913385828</v>
      </c>
      <c r="C71">
        <f t="shared" si="4"/>
        <v>0.10026396430745617</v>
      </c>
    </row>
    <row r="72" spans="1:3" x14ac:dyDescent="0.35">
      <c r="A72">
        <f t="shared" si="5"/>
        <v>58</v>
      </c>
      <c r="B72">
        <f t="shared" si="3"/>
        <v>0.45669291338582679</v>
      </c>
      <c r="C72">
        <f t="shared" si="4"/>
        <v>9.5251718062491261E-2</v>
      </c>
    </row>
    <row r="73" spans="1:3" x14ac:dyDescent="0.35">
      <c r="A73">
        <f t="shared" si="5"/>
        <v>57</v>
      </c>
      <c r="B73">
        <f t="shared" si="3"/>
        <v>0.44881889763779526</v>
      </c>
      <c r="C73">
        <f t="shared" si="4"/>
        <v>9.0409361921086034E-2</v>
      </c>
    </row>
    <row r="74" spans="1:3" x14ac:dyDescent="0.35">
      <c r="A74">
        <f t="shared" si="5"/>
        <v>56</v>
      </c>
      <c r="B74">
        <f t="shared" si="3"/>
        <v>0.44094488188976377</v>
      </c>
      <c r="C74">
        <f t="shared" si="4"/>
        <v>8.5733966743524043E-2</v>
      </c>
    </row>
    <row r="75" spans="1:3" x14ac:dyDescent="0.35">
      <c r="A75">
        <f t="shared" si="5"/>
        <v>55</v>
      </c>
      <c r="B75">
        <f t="shared" si="3"/>
        <v>0.43307086614173229</v>
      </c>
      <c r="C75">
        <f t="shared" si="4"/>
        <v>8.1222603390088674E-2</v>
      </c>
    </row>
    <row r="76" spans="1:3" x14ac:dyDescent="0.35">
      <c r="A76">
        <f t="shared" si="5"/>
        <v>54</v>
      </c>
      <c r="B76">
        <f t="shared" si="3"/>
        <v>0.42519685039370081</v>
      </c>
      <c r="C76">
        <f t="shared" si="4"/>
        <v>7.6872342721063414E-2</v>
      </c>
    </row>
    <row r="77" spans="1:3" x14ac:dyDescent="0.35">
      <c r="A77">
        <f t="shared" si="5"/>
        <v>53</v>
      </c>
      <c r="B77">
        <f t="shared" si="3"/>
        <v>0.41732283464566927</v>
      </c>
      <c r="C77">
        <f t="shared" si="4"/>
        <v>7.2680255596731649E-2</v>
      </c>
    </row>
    <row r="78" spans="1:3" x14ac:dyDescent="0.35">
      <c r="A78">
        <f t="shared" si="5"/>
        <v>52</v>
      </c>
      <c r="B78">
        <f t="shared" si="3"/>
        <v>0.40944881889763779</v>
      </c>
      <c r="C78">
        <f t="shared" si="4"/>
        <v>6.8643412877376936E-2</v>
      </c>
    </row>
    <row r="79" spans="1:3" x14ac:dyDescent="0.35">
      <c r="A79">
        <f t="shared" si="5"/>
        <v>51</v>
      </c>
      <c r="B79">
        <f t="shared" si="3"/>
        <v>0.40157480314960631</v>
      </c>
      <c r="C79">
        <f t="shared" si="4"/>
        <v>6.4758885423282661E-2</v>
      </c>
    </row>
    <row r="80" spans="1:3" x14ac:dyDescent="0.35">
      <c r="A80">
        <f t="shared" si="5"/>
        <v>50</v>
      </c>
      <c r="B80">
        <f t="shared" si="3"/>
        <v>0.39370078740157483</v>
      </c>
      <c r="C80">
        <f t="shared" si="4"/>
        <v>6.1023744094732289E-2</v>
      </c>
    </row>
    <row r="81" spans="1:3" x14ac:dyDescent="0.35">
      <c r="A81">
        <f t="shared" si="5"/>
        <v>49</v>
      </c>
      <c r="B81">
        <f t="shared" si="3"/>
        <v>0.38582677165354329</v>
      </c>
      <c r="C81">
        <f t="shared" si="4"/>
        <v>5.7435059752009264E-2</v>
      </c>
    </row>
    <row r="82" spans="1:3" x14ac:dyDescent="0.35">
      <c r="A82">
        <f t="shared" si="5"/>
        <v>48</v>
      </c>
      <c r="B82">
        <f t="shared" si="3"/>
        <v>0.37795275590551181</v>
      </c>
      <c r="C82">
        <f t="shared" si="4"/>
        <v>5.3989903255397056E-2</v>
      </c>
    </row>
    <row r="83" spans="1:3" x14ac:dyDescent="0.35">
      <c r="A83">
        <f t="shared" si="5"/>
        <v>47</v>
      </c>
      <c r="B83">
        <f t="shared" si="3"/>
        <v>0.37007874015748032</v>
      </c>
      <c r="C83">
        <f t="shared" si="4"/>
        <v>5.0685345465179117E-2</v>
      </c>
    </row>
    <row r="84" spans="1:3" x14ac:dyDescent="0.35">
      <c r="A84">
        <f t="shared" si="5"/>
        <v>46</v>
      </c>
      <c r="B84">
        <f t="shared" si="3"/>
        <v>0.36220472440944884</v>
      </c>
      <c r="C84">
        <f t="shared" si="4"/>
        <v>4.7518457241638896E-2</v>
      </c>
    </row>
    <row r="85" spans="1:3" x14ac:dyDescent="0.35">
      <c r="A85">
        <f t="shared" si="5"/>
        <v>45</v>
      </c>
      <c r="B85">
        <f t="shared" si="3"/>
        <v>0.3543307086614173</v>
      </c>
      <c r="C85">
        <f t="shared" si="4"/>
        <v>4.4486309445059831E-2</v>
      </c>
    </row>
    <row r="86" spans="1:3" x14ac:dyDescent="0.35">
      <c r="A86">
        <f t="shared" si="5"/>
        <v>44</v>
      </c>
      <c r="B86">
        <f t="shared" si="3"/>
        <v>0.34645669291338582</v>
      </c>
      <c r="C86">
        <f t="shared" si="4"/>
        <v>4.1585972935725399E-2</v>
      </c>
    </row>
    <row r="87" spans="1:3" x14ac:dyDescent="0.35">
      <c r="A87">
        <f t="shared" si="5"/>
        <v>43</v>
      </c>
      <c r="B87">
        <f t="shared" si="3"/>
        <v>0.33858267716535434</v>
      </c>
      <c r="C87">
        <f t="shared" si="4"/>
        <v>3.8814518573919043E-2</v>
      </c>
    </row>
    <row r="88" spans="1:3" x14ac:dyDescent="0.35">
      <c r="A88">
        <f t="shared" si="5"/>
        <v>42</v>
      </c>
      <c r="B88">
        <f t="shared" si="3"/>
        <v>0.33070866141732286</v>
      </c>
      <c r="C88">
        <f t="shared" si="4"/>
        <v>3.6169017219924209E-2</v>
      </c>
    </row>
    <row r="89" spans="1:3" x14ac:dyDescent="0.35">
      <c r="A89">
        <f t="shared" si="5"/>
        <v>41</v>
      </c>
      <c r="B89">
        <f t="shared" si="3"/>
        <v>0.32283464566929132</v>
      </c>
      <c r="C89">
        <f t="shared" si="4"/>
        <v>3.3646539734024344E-2</v>
      </c>
    </row>
    <row r="90" spans="1:3" x14ac:dyDescent="0.35">
      <c r="A90">
        <f t="shared" si="5"/>
        <v>40</v>
      </c>
      <c r="B90">
        <f t="shared" si="3"/>
        <v>0.31496062992125984</v>
      </c>
      <c r="C90">
        <f t="shared" si="4"/>
        <v>3.1244156976502929E-2</v>
      </c>
    </row>
    <row r="91" spans="1:3" x14ac:dyDescent="0.35">
      <c r="A91">
        <f t="shared" si="5"/>
        <v>39</v>
      </c>
      <c r="B91">
        <f t="shared" si="3"/>
        <v>0.30708661417322836</v>
      </c>
      <c r="C91">
        <f t="shared" si="4"/>
        <v>2.8958939807643396E-2</v>
      </c>
    </row>
    <row r="92" spans="1:3" x14ac:dyDescent="0.35">
      <c r="A92">
        <f t="shared" si="5"/>
        <v>38</v>
      </c>
      <c r="B92">
        <f t="shared" si="3"/>
        <v>0.29921259842519687</v>
      </c>
      <c r="C92">
        <f t="shared" si="4"/>
        <v>2.6787959087729206E-2</v>
      </c>
    </row>
    <row r="93" spans="1:3" x14ac:dyDescent="0.35">
      <c r="A93">
        <f t="shared" si="5"/>
        <v>37</v>
      </c>
      <c r="B93">
        <f t="shared" si="3"/>
        <v>0.29133858267716534</v>
      </c>
      <c r="C93">
        <f t="shared" si="4"/>
        <v>2.4728285677043792E-2</v>
      </c>
    </row>
    <row r="94" spans="1:3" x14ac:dyDescent="0.35">
      <c r="A94">
        <f t="shared" si="5"/>
        <v>36</v>
      </c>
      <c r="B94">
        <f t="shared" si="3"/>
        <v>0.28346456692913385</v>
      </c>
      <c r="C94">
        <f t="shared" si="4"/>
        <v>2.2776990435870635E-2</v>
      </c>
    </row>
    <row r="95" spans="1:3" x14ac:dyDescent="0.35">
      <c r="A95">
        <f t="shared" si="5"/>
        <v>35</v>
      </c>
      <c r="B95">
        <f t="shared" si="3"/>
        <v>0.27559055118110237</v>
      </c>
      <c r="C95">
        <f t="shared" si="4"/>
        <v>2.0931144224493176E-2</v>
      </c>
    </row>
    <row r="96" spans="1:3" x14ac:dyDescent="0.35">
      <c r="A96">
        <f t="shared" si="5"/>
        <v>34</v>
      </c>
      <c r="B96">
        <f t="shared" si="3"/>
        <v>0.26771653543307089</v>
      </c>
      <c r="C96">
        <f t="shared" si="4"/>
        <v>1.9187817903194869E-2</v>
      </c>
    </row>
    <row r="97" spans="1:3" x14ac:dyDescent="0.35">
      <c r="A97">
        <f t="shared" si="5"/>
        <v>33</v>
      </c>
      <c r="B97">
        <f t="shared" si="3"/>
        <v>0.25984251968503935</v>
      </c>
      <c r="C97">
        <f t="shared" si="4"/>
        <v>1.754408233225915E-2</v>
      </c>
    </row>
    <row r="98" spans="1:3" x14ac:dyDescent="0.35">
      <c r="A98">
        <f t="shared" si="5"/>
        <v>32</v>
      </c>
      <c r="B98">
        <f t="shared" si="3"/>
        <v>0.25196850393700787</v>
      </c>
      <c r="C98">
        <f t="shared" si="4"/>
        <v>1.5997008371969497E-2</v>
      </c>
    </row>
    <row r="99" spans="1:3" x14ac:dyDescent="0.35">
      <c r="A99">
        <f t="shared" si="5"/>
        <v>31</v>
      </c>
      <c r="B99">
        <f t="shared" si="3"/>
        <v>0.24409448818897639</v>
      </c>
      <c r="C99">
        <f t="shared" si="4"/>
        <v>1.4543666882609357E-2</v>
      </c>
    </row>
    <row r="100" spans="1:3" x14ac:dyDescent="0.35">
      <c r="A100">
        <f t="shared" si="5"/>
        <v>30</v>
      </c>
      <c r="B100">
        <f t="shared" si="3"/>
        <v>0.23622047244094488</v>
      </c>
      <c r="C100">
        <f t="shared" si="4"/>
        <v>1.3181128724462173E-2</v>
      </c>
    </row>
    <row r="101" spans="1:3" x14ac:dyDescent="0.35">
      <c r="A101">
        <f t="shared" si="5"/>
        <v>29</v>
      </c>
      <c r="B101">
        <f t="shared" si="3"/>
        <v>0.2283464566929134</v>
      </c>
      <c r="C101">
        <f t="shared" si="4"/>
        <v>1.1906464757811408E-2</v>
      </c>
    </row>
    <row r="102" spans="1:3" x14ac:dyDescent="0.35">
      <c r="A102">
        <f t="shared" si="5"/>
        <v>28</v>
      </c>
      <c r="B102">
        <f t="shared" si="3"/>
        <v>0.22047244094488189</v>
      </c>
      <c r="C102">
        <f t="shared" si="4"/>
        <v>1.0716745842940505E-2</v>
      </c>
    </row>
    <row r="103" spans="1:3" x14ac:dyDescent="0.35">
      <c r="A103">
        <f t="shared" si="5"/>
        <v>27</v>
      </c>
      <c r="B103">
        <f t="shared" si="3"/>
        <v>0.2125984251968504</v>
      </c>
      <c r="C103">
        <f t="shared" si="4"/>
        <v>9.6090428401329267E-3</v>
      </c>
    </row>
    <row r="104" spans="1:3" x14ac:dyDescent="0.35">
      <c r="A104">
        <f t="shared" si="5"/>
        <v>26</v>
      </c>
      <c r="B104">
        <f t="shared" si="3"/>
        <v>0.20472440944881889</v>
      </c>
      <c r="C104">
        <f t="shared" si="4"/>
        <v>8.580426609672117E-3</v>
      </c>
    </row>
    <row r="105" spans="1:3" x14ac:dyDescent="0.35">
      <c r="A105">
        <f t="shared" si="5"/>
        <v>25</v>
      </c>
      <c r="B105">
        <f t="shared" si="3"/>
        <v>0.19685039370078741</v>
      </c>
      <c r="C105">
        <f t="shared" si="4"/>
        <v>7.6279680118415362E-3</v>
      </c>
    </row>
    <row r="106" spans="1:3" x14ac:dyDescent="0.35">
      <c r="A106">
        <f t="shared" si="5"/>
        <v>24</v>
      </c>
      <c r="B106">
        <f t="shared" si="3"/>
        <v>0.1889763779527559</v>
      </c>
      <c r="C106">
        <f t="shared" si="4"/>
        <v>6.7487379069246321E-3</v>
      </c>
    </row>
    <row r="107" spans="1:3" x14ac:dyDescent="0.35">
      <c r="A107">
        <f t="shared" si="5"/>
        <v>23</v>
      </c>
      <c r="B107">
        <f t="shared" si="3"/>
        <v>0.18110236220472442</v>
      </c>
      <c r="C107">
        <f t="shared" si="4"/>
        <v>5.9398071552048621E-3</v>
      </c>
    </row>
    <row r="108" spans="1:3" x14ac:dyDescent="0.35">
      <c r="A108">
        <f t="shared" si="5"/>
        <v>22</v>
      </c>
      <c r="B108">
        <f t="shared" si="3"/>
        <v>0.17322834645669291</v>
      </c>
      <c r="C108">
        <f t="shared" si="4"/>
        <v>5.1982466169656748E-3</v>
      </c>
    </row>
    <row r="109" spans="1:3" x14ac:dyDescent="0.35">
      <c r="A109">
        <f t="shared" si="5"/>
        <v>21</v>
      </c>
      <c r="B109">
        <f t="shared" si="3"/>
        <v>0.16535433070866143</v>
      </c>
      <c r="C109">
        <f t="shared" si="4"/>
        <v>4.5211271524905261E-3</v>
      </c>
    </row>
    <row r="110" spans="1:3" x14ac:dyDescent="0.35">
      <c r="A110">
        <f t="shared" si="5"/>
        <v>20</v>
      </c>
      <c r="B110">
        <f t="shared" si="3"/>
        <v>0.15748031496062992</v>
      </c>
      <c r="C110">
        <f t="shared" si="4"/>
        <v>3.9055196220628662E-3</v>
      </c>
    </row>
    <row r="111" spans="1:3" x14ac:dyDescent="0.35">
      <c r="A111">
        <f t="shared" si="5"/>
        <v>19</v>
      </c>
      <c r="B111">
        <f t="shared" si="3"/>
        <v>0.14960629921259844</v>
      </c>
      <c r="C111">
        <f t="shared" si="4"/>
        <v>3.3484948859661507E-3</v>
      </c>
    </row>
    <row r="112" spans="1:3" x14ac:dyDescent="0.35">
      <c r="A112">
        <f t="shared" si="5"/>
        <v>18</v>
      </c>
      <c r="B112">
        <f t="shared" si="3"/>
        <v>0.14173228346456693</v>
      </c>
      <c r="C112">
        <f t="shared" si="4"/>
        <v>2.8471238044838294E-3</v>
      </c>
    </row>
    <row r="113" spans="1:3" x14ac:dyDescent="0.35">
      <c r="A113">
        <f t="shared" si="5"/>
        <v>17</v>
      </c>
      <c r="B113">
        <f t="shared" si="3"/>
        <v>0.13385826771653545</v>
      </c>
      <c r="C113">
        <f t="shared" si="4"/>
        <v>2.3984772378993586E-3</v>
      </c>
    </row>
    <row r="114" spans="1:3" x14ac:dyDescent="0.35">
      <c r="A114">
        <f t="shared" si="5"/>
        <v>16</v>
      </c>
      <c r="B114">
        <f t="shared" si="3"/>
        <v>0.12598425196850394</v>
      </c>
      <c r="C114">
        <f t="shared" si="4"/>
        <v>1.9996260464961871E-3</v>
      </c>
    </row>
    <row r="115" spans="1:3" x14ac:dyDescent="0.35">
      <c r="A115">
        <f t="shared" si="5"/>
        <v>15</v>
      </c>
      <c r="B115">
        <f t="shared" si="3"/>
        <v>0.11811023622047244</v>
      </c>
      <c r="C115">
        <f t="shared" si="4"/>
        <v>1.6476410905577716E-3</v>
      </c>
    </row>
    <row r="116" spans="1:3" x14ac:dyDescent="0.35">
      <c r="A116">
        <f t="shared" si="5"/>
        <v>14</v>
      </c>
      <c r="B116">
        <f t="shared" si="3"/>
        <v>0.11023622047244094</v>
      </c>
      <c r="C116">
        <f t="shared" si="4"/>
        <v>1.3395932303675632E-3</v>
      </c>
    </row>
    <row r="117" spans="1:3" x14ac:dyDescent="0.35">
      <c r="A117">
        <f t="shared" si="5"/>
        <v>13</v>
      </c>
      <c r="B117">
        <f t="shared" si="3"/>
        <v>0.10236220472440945</v>
      </c>
      <c r="C117">
        <f t="shared" si="4"/>
        <v>1.0725533262090146E-3</v>
      </c>
    </row>
    <row r="118" spans="1:3" x14ac:dyDescent="0.35">
      <c r="A118">
        <f t="shared" si="5"/>
        <v>12</v>
      </c>
      <c r="B118">
        <f t="shared" si="3"/>
        <v>9.4488188976377951E-2</v>
      </c>
      <c r="C118">
        <f t="shared" si="4"/>
        <v>8.4359223836557901E-4</v>
      </c>
    </row>
    <row r="119" spans="1:3" x14ac:dyDescent="0.35">
      <c r="A119">
        <f t="shared" si="5"/>
        <v>11</v>
      </c>
      <c r="B119">
        <f t="shared" si="3"/>
        <v>8.6614173228346455E-2</v>
      </c>
      <c r="C119">
        <f t="shared" si="4"/>
        <v>6.4978082712070936E-4</v>
      </c>
    </row>
    <row r="120" spans="1:3" x14ac:dyDescent="0.35">
      <c r="A120">
        <f t="shared" si="5"/>
        <v>10</v>
      </c>
      <c r="B120">
        <f t="shared" si="3"/>
        <v>7.874015748031496E-2</v>
      </c>
      <c r="C120">
        <f t="shared" si="4"/>
        <v>4.8818995275785827E-4</v>
      </c>
    </row>
    <row r="121" spans="1:3" x14ac:dyDescent="0.35">
      <c r="A121">
        <f t="shared" si="5"/>
        <v>9</v>
      </c>
      <c r="B121">
        <f t="shared" si="3"/>
        <v>7.0866141732283464E-2</v>
      </c>
      <c r="C121">
        <f t="shared" si="4"/>
        <v>3.5589047556047867E-4</v>
      </c>
    </row>
    <row r="122" spans="1:3" x14ac:dyDescent="0.35">
      <c r="A122">
        <f t="shared" si="5"/>
        <v>8</v>
      </c>
      <c r="B122">
        <f t="shared" si="3"/>
        <v>6.2992125984251968E-2</v>
      </c>
      <c r="C122">
        <f t="shared" si="4"/>
        <v>2.4995325581202339E-4</v>
      </c>
    </row>
    <row r="123" spans="1:3" x14ac:dyDescent="0.35">
      <c r="A123">
        <f t="shared" si="5"/>
        <v>7</v>
      </c>
      <c r="B123">
        <f t="shared" si="3"/>
        <v>5.5118110236220472E-2</v>
      </c>
      <c r="C123">
        <f t="shared" si="4"/>
        <v>1.674491537959454E-4</v>
      </c>
    </row>
    <row r="124" spans="1:3" x14ac:dyDescent="0.35">
      <c r="A124">
        <f t="shared" si="5"/>
        <v>6</v>
      </c>
      <c r="B124">
        <f t="shared" si="3"/>
        <v>4.7244094488188976E-2</v>
      </c>
      <c r="C124">
        <f t="shared" si="4"/>
        <v>1.0544902979569738E-4</v>
      </c>
    </row>
    <row r="125" spans="1:3" x14ac:dyDescent="0.35">
      <c r="A125">
        <f t="shared" si="5"/>
        <v>5</v>
      </c>
      <c r="B125">
        <f t="shared" si="3"/>
        <v>3.937007874015748E-2</v>
      </c>
      <c r="C125">
        <f t="shared" si="4"/>
        <v>6.1023744094732284E-5</v>
      </c>
    </row>
    <row r="126" spans="1:3" x14ac:dyDescent="0.35">
      <c r="A126">
        <f t="shared" si="5"/>
        <v>4</v>
      </c>
      <c r="B126">
        <f t="shared" si="3"/>
        <v>3.1496062992125984E-2</v>
      </c>
      <c r="C126">
        <f t="shared" si="4"/>
        <v>3.1244156976502924E-5</v>
      </c>
    </row>
    <row r="127" spans="1:3" x14ac:dyDescent="0.35">
      <c r="A127">
        <f t="shared" si="5"/>
        <v>3</v>
      </c>
      <c r="B127">
        <f t="shared" si="3"/>
        <v>2.3622047244094488E-2</v>
      </c>
      <c r="C127">
        <f t="shared" si="4"/>
        <v>1.3181128724462172E-5</v>
      </c>
    </row>
    <row r="128" spans="1:3" x14ac:dyDescent="0.35">
      <c r="A128">
        <f t="shared" si="5"/>
        <v>2</v>
      </c>
      <c r="B128">
        <f t="shared" si="3"/>
        <v>1.5748031496062992E-2</v>
      </c>
      <c r="C128">
        <f t="shared" si="4"/>
        <v>3.9055196220628655E-6</v>
      </c>
    </row>
    <row r="129" spans="1:4" x14ac:dyDescent="0.35">
      <c r="A129">
        <f t="shared" si="5"/>
        <v>1</v>
      </c>
      <c r="B129">
        <f t="shared" si="3"/>
        <v>7.874015748031496E-3</v>
      </c>
      <c r="C129">
        <f t="shared" si="4"/>
        <v>4.8818995275785818E-7</v>
      </c>
    </row>
    <row r="130" spans="1:4" x14ac:dyDescent="0.35">
      <c r="A130">
        <f t="shared" si="5"/>
        <v>0</v>
      </c>
      <c r="B130">
        <f t="shared" si="3"/>
        <v>0</v>
      </c>
      <c r="C130">
        <f t="shared" si="4"/>
        <v>0</v>
      </c>
      <c r="D130">
        <v>0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5"/>
  <sheetViews>
    <sheetView workbookViewId="0">
      <selection activeCell="K8" sqref="K8"/>
    </sheetView>
  </sheetViews>
  <sheetFormatPr defaultRowHeight="14.5" x14ac:dyDescent="0.35"/>
  <cols>
    <col min="1" max="1" width="9.36328125" bestFit="1" customWidth="1"/>
    <col min="2" max="2" width="2" bestFit="1" customWidth="1"/>
    <col min="3" max="3" width="2.36328125" bestFit="1" customWidth="1"/>
    <col min="4" max="5" width="3" bestFit="1" customWidth="1"/>
    <col min="6" max="7" width="2" bestFit="1" customWidth="1"/>
    <col min="8" max="8" width="2.1796875" bestFit="1" customWidth="1"/>
    <col min="9" max="9" width="2" bestFit="1" customWidth="1"/>
    <col min="10" max="10" width="5.08984375" bestFit="1" customWidth="1"/>
    <col min="11" max="11" width="3.6328125" bestFit="1" customWidth="1"/>
  </cols>
  <sheetData>
    <row r="2" spans="1:11" x14ac:dyDescent="0.3">
      <c r="A2" s="16" t="s">
        <v>173</v>
      </c>
      <c r="B2">
        <v>2</v>
      </c>
      <c r="C2" t="s">
        <v>174</v>
      </c>
      <c r="D2">
        <v>93</v>
      </c>
      <c r="E2">
        <v>37</v>
      </c>
      <c r="F2">
        <v>1</v>
      </c>
      <c r="G2">
        <v>4</v>
      </c>
      <c r="H2" t="s">
        <v>175</v>
      </c>
      <c r="I2">
        <v>3</v>
      </c>
      <c r="J2" t="s">
        <v>176</v>
      </c>
      <c r="K2" t="s">
        <v>177</v>
      </c>
    </row>
    <row r="3" spans="1:11" x14ac:dyDescent="0.3">
      <c r="A3" s="16" t="s">
        <v>178</v>
      </c>
      <c r="B3">
        <v>2</v>
      </c>
      <c r="C3" t="s">
        <v>174</v>
      </c>
      <c r="D3">
        <v>93</v>
      </c>
      <c r="E3">
        <v>37</v>
      </c>
      <c r="F3">
        <v>0</v>
      </c>
      <c r="G3">
        <v>4</v>
      </c>
      <c r="H3" t="s">
        <v>175</v>
      </c>
      <c r="I3">
        <v>3</v>
      </c>
      <c r="J3" t="s">
        <v>176</v>
      </c>
      <c r="K3" t="s">
        <v>179</v>
      </c>
    </row>
    <row r="4" spans="1:11" x14ac:dyDescent="0.3">
      <c r="A4" s="16" t="s">
        <v>180</v>
      </c>
      <c r="B4">
        <v>2</v>
      </c>
      <c r="C4" t="s">
        <v>174</v>
      </c>
      <c r="D4">
        <v>93</v>
      </c>
      <c r="E4">
        <v>37</v>
      </c>
      <c r="F4">
        <v>1</v>
      </c>
      <c r="G4">
        <v>4</v>
      </c>
      <c r="H4" t="s">
        <v>175</v>
      </c>
      <c r="I4">
        <v>3</v>
      </c>
      <c r="J4" t="s">
        <v>176</v>
      </c>
      <c r="K4" t="s">
        <v>177</v>
      </c>
    </row>
    <row r="5" spans="1:11" x14ac:dyDescent="0.3">
      <c r="A5" s="16" t="s">
        <v>181</v>
      </c>
      <c r="B5">
        <v>2</v>
      </c>
      <c r="C5" t="s">
        <v>174</v>
      </c>
      <c r="D5">
        <v>93</v>
      </c>
      <c r="E5">
        <v>37</v>
      </c>
      <c r="F5">
        <v>0</v>
      </c>
      <c r="G5">
        <v>4</v>
      </c>
      <c r="H5" t="s">
        <v>175</v>
      </c>
      <c r="I5">
        <v>3</v>
      </c>
      <c r="J5" t="s">
        <v>176</v>
      </c>
      <c r="K5" t="s">
        <v>179</v>
      </c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4"/>
  <sheetViews>
    <sheetView tabSelected="1" workbookViewId="0">
      <selection activeCell="C3" sqref="C3"/>
    </sheetView>
  </sheetViews>
  <sheetFormatPr defaultRowHeight="14.5" x14ac:dyDescent="0.35"/>
  <sheetData>
    <row r="2" spans="1:3" x14ac:dyDescent="0.35">
      <c r="A2" t="s">
        <v>189</v>
      </c>
      <c r="C2" t="s">
        <v>190</v>
      </c>
    </row>
    <row r="3" spans="1:3" x14ac:dyDescent="0.35">
      <c r="A3" s="9">
        <v>0.5</v>
      </c>
      <c r="B3">
        <v>127</v>
      </c>
      <c r="C3">
        <v>5.3879999999999999</v>
      </c>
    </row>
    <row r="4" spans="1:3" x14ac:dyDescent="0.35">
      <c r="A4" s="9">
        <v>-0.5</v>
      </c>
      <c r="B4">
        <v>0</v>
      </c>
      <c r="C4">
        <v>-5.3879999999999999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16"/>
  <sheetViews>
    <sheetView topLeftCell="A41" workbookViewId="0">
      <selection activeCell="D3" sqref="D3"/>
    </sheetView>
  </sheetViews>
  <sheetFormatPr defaultRowHeight="14.5" x14ac:dyDescent="0.35"/>
  <sheetData>
    <row r="1" spans="1:8" x14ac:dyDescent="0.35">
      <c r="A1" t="s">
        <v>196</v>
      </c>
      <c r="B1" t="s">
        <v>195</v>
      </c>
      <c r="D1" t="s">
        <v>203</v>
      </c>
      <c r="F1" t="s">
        <v>197</v>
      </c>
      <c r="G1" t="s">
        <v>200</v>
      </c>
      <c r="H1" t="s">
        <v>198</v>
      </c>
    </row>
    <row r="2" spans="1:8" x14ac:dyDescent="0.35">
      <c r="A2">
        <v>0.4</v>
      </c>
      <c r="B2">
        <f>0.5</f>
        <v>0.5</v>
      </c>
      <c r="D2">
        <v>1</v>
      </c>
      <c r="F2">
        <f>$B$2+1</f>
        <v>1.5</v>
      </c>
      <c r="G2">
        <v>2</v>
      </c>
      <c r="H2">
        <v>0.5</v>
      </c>
    </row>
    <row r="3" spans="1:8" x14ac:dyDescent="0.35">
      <c r="B3" t="s">
        <v>193</v>
      </c>
      <c r="C3" t="s">
        <v>201</v>
      </c>
      <c r="D3" t="s">
        <v>202</v>
      </c>
      <c r="F3" t="s">
        <v>194</v>
      </c>
      <c r="G3" t="s">
        <v>199</v>
      </c>
    </row>
    <row r="4" spans="1:8" x14ac:dyDescent="0.35">
      <c r="A4">
        <v>-1</v>
      </c>
      <c r="B4">
        <f t="shared" ref="B4:B67" si="0">TANH(A4/$A$2)</f>
        <v>-0.98661429815143042</v>
      </c>
      <c r="C4">
        <f>$A4^2</f>
        <v>1</v>
      </c>
      <c r="D4">
        <f>$C4*$A4</f>
        <v>-1</v>
      </c>
      <c r="E4">
        <f>$A4*$B$2</f>
        <v>-0.5</v>
      </c>
      <c r="F4">
        <f>($A4+$E4-$B$2*$D4)*$D$2</f>
        <v>-1</v>
      </c>
      <c r="G4">
        <f>(A4- SIGN(A4)*A4^2*$H$2)*$G$2</f>
        <v>-1</v>
      </c>
    </row>
    <row r="5" spans="1:8" x14ac:dyDescent="0.35">
      <c r="A5">
        <f>A4+1/256</f>
        <v>-0.99609375</v>
      </c>
      <c r="B5">
        <f t="shared" si="0"/>
        <v>-0.98635209042644623</v>
      </c>
      <c r="C5">
        <f t="shared" ref="C5:C68" si="1">$A5^2</f>
        <v>0.9922027587890625</v>
      </c>
      <c r="D5">
        <f t="shared" ref="D5:D68" si="2">$C5*$A5</f>
        <v>-0.98832696676254272</v>
      </c>
      <c r="E5">
        <f t="shared" ref="E5:E68" si="3">$A5*$B$2</f>
        <v>-0.498046875</v>
      </c>
      <c r="F5">
        <f t="shared" ref="F5:F68" si="4">($A5+$E5-$B$2*$D5)*$D$2</f>
        <v>-0.99997714161872864</v>
      </c>
      <c r="G5">
        <f t="shared" ref="G5:G68" si="5">(A5- SIGN(A5)*A5^2*$H$2)*$G$2</f>
        <v>-0.9999847412109375</v>
      </c>
    </row>
    <row r="6" spans="1:8" x14ac:dyDescent="0.35">
      <c r="A6">
        <f t="shared" ref="A6:A69" si="6">A5+1/256</f>
        <v>-0.9921875</v>
      </c>
      <c r="B6">
        <f t="shared" si="0"/>
        <v>-0.98608478238524722</v>
      </c>
      <c r="C6">
        <f t="shared" si="1"/>
        <v>0.98443603515625</v>
      </c>
      <c r="D6">
        <f t="shared" si="2"/>
        <v>-0.9767451286315918</v>
      </c>
      <c r="E6">
        <f t="shared" si="3"/>
        <v>-0.49609375</v>
      </c>
      <c r="F6">
        <f t="shared" si="4"/>
        <v>-0.9999086856842041</v>
      </c>
      <c r="G6">
        <f t="shared" si="5"/>
        <v>-0.99993896484375</v>
      </c>
    </row>
    <row r="7" spans="1:8" x14ac:dyDescent="0.35">
      <c r="A7">
        <f t="shared" si="6"/>
        <v>-0.98828125</v>
      </c>
      <c r="B7">
        <f t="shared" si="0"/>
        <v>-0.98581227624217693</v>
      </c>
      <c r="C7">
        <f t="shared" si="1"/>
        <v>0.9766998291015625</v>
      </c>
      <c r="D7">
        <f t="shared" si="2"/>
        <v>-0.96525412797927856</v>
      </c>
      <c r="E7">
        <f t="shared" si="3"/>
        <v>-0.494140625</v>
      </c>
      <c r="F7">
        <f t="shared" si="4"/>
        <v>-0.99979481101036072</v>
      </c>
      <c r="G7">
        <f t="shared" si="5"/>
        <v>-0.9998626708984375</v>
      </c>
    </row>
    <row r="8" spans="1:8" x14ac:dyDescent="0.35">
      <c r="A8">
        <f t="shared" si="6"/>
        <v>-0.984375</v>
      </c>
      <c r="B8">
        <f t="shared" si="0"/>
        <v>-0.98553447239304193</v>
      </c>
      <c r="C8">
        <f t="shared" si="1"/>
        <v>0.968994140625</v>
      </c>
      <c r="D8">
        <f t="shared" si="2"/>
        <v>-0.95385360717773438</v>
      </c>
      <c r="E8">
        <f t="shared" si="3"/>
        <v>-0.4921875</v>
      </c>
      <c r="F8">
        <f t="shared" si="4"/>
        <v>-0.99963569641113281</v>
      </c>
      <c r="G8">
        <f t="shared" si="5"/>
        <v>-0.999755859375</v>
      </c>
    </row>
    <row r="9" spans="1:8" x14ac:dyDescent="0.35">
      <c r="A9">
        <f t="shared" si="6"/>
        <v>-0.98046875</v>
      </c>
      <c r="B9">
        <f t="shared" si="0"/>
        <v>-0.98525126938352436</v>
      </c>
      <c r="C9">
        <f t="shared" si="1"/>
        <v>0.9613189697265625</v>
      </c>
      <c r="D9">
        <f t="shared" si="2"/>
        <v>-0.94254320859909058</v>
      </c>
      <c r="E9">
        <f t="shared" si="3"/>
        <v>-0.490234375</v>
      </c>
      <c r="F9">
        <f t="shared" si="4"/>
        <v>-0.99943152070045471</v>
      </c>
      <c r="G9">
        <f t="shared" si="5"/>
        <v>-0.9996185302734375</v>
      </c>
    </row>
    <row r="10" spans="1:8" x14ac:dyDescent="0.35">
      <c r="A10">
        <f t="shared" si="6"/>
        <v>-0.9765625</v>
      </c>
      <c r="B10">
        <f t="shared" si="0"/>
        <v>-0.98496256387713566</v>
      </c>
      <c r="C10">
        <f t="shared" si="1"/>
        <v>0.95367431640625</v>
      </c>
      <c r="D10">
        <f t="shared" si="2"/>
        <v>-0.93132257461547852</v>
      </c>
      <c r="E10">
        <f t="shared" si="3"/>
        <v>-0.48828125</v>
      </c>
      <c r="F10">
        <f t="shared" si="4"/>
        <v>-0.99918246269226074</v>
      </c>
      <c r="G10">
        <f t="shared" si="5"/>
        <v>-0.99945068359375</v>
      </c>
    </row>
    <row r="11" spans="1:8" x14ac:dyDescent="0.35">
      <c r="A11">
        <f t="shared" si="6"/>
        <v>-0.97265625</v>
      </c>
      <c r="B11">
        <f t="shared" si="0"/>
        <v>-0.98466825062270802</v>
      </c>
      <c r="C11">
        <f t="shared" si="1"/>
        <v>0.9460601806640625</v>
      </c>
      <c r="D11">
        <f t="shared" si="2"/>
        <v>-0.92019134759902954</v>
      </c>
      <c r="E11">
        <f t="shared" si="3"/>
        <v>-0.486328125</v>
      </c>
      <c r="F11">
        <f t="shared" si="4"/>
        <v>-0.99888870120048523</v>
      </c>
      <c r="G11">
        <f t="shared" si="5"/>
        <v>-0.9992523193359375</v>
      </c>
    </row>
    <row r="12" spans="1:8" x14ac:dyDescent="0.35">
      <c r="A12">
        <f t="shared" si="6"/>
        <v>-0.96875</v>
      </c>
      <c r="B12">
        <f t="shared" si="0"/>
        <v>-0.98436822242142286</v>
      </c>
      <c r="C12">
        <f t="shared" si="1"/>
        <v>0.9384765625</v>
      </c>
      <c r="D12">
        <f t="shared" si="2"/>
        <v>-0.909149169921875</v>
      </c>
      <c r="E12">
        <f t="shared" si="3"/>
        <v>-0.484375</v>
      </c>
      <c r="F12">
        <f t="shared" si="4"/>
        <v>-0.9985504150390625</v>
      </c>
      <c r="G12">
        <f t="shared" si="5"/>
        <v>-0.9990234375</v>
      </c>
    </row>
    <row r="13" spans="1:8" x14ac:dyDescent="0.35">
      <c r="A13">
        <f t="shared" si="6"/>
        <v>-0.96484375</v>
      </c>
      <c r="B13">
        <f t="shared" si="0"/>
        <v>-0.98406237009336928</v>
      </c>
      <c r="C13">
        <f t="shared" si="1"/>
        <v>0.9309234619140625</v>
      </c>
      <c r="D13">
        <f t="shared" si="2"/>
        <v>-0.89819568395614624</v>
      </c>
      <c r="E13">
        <f t="shared" si="3"/>
        <v>-0.482421875</v>
      </c>
      <c r="F13">
        <f t="shared" si="4"/>
        <v>-0.99816778302192688</v>
      </c>
      <c r="G13">
        <f t="shared" si="5"/>
        <v>-0.9987640380859375</v>
      </c>
    </row>
    <row r="14" spans="1:8" x14ac:dyDescent="0.35">
      <c r="A14">
        <f t="shared" si="6"/>
        <v>-0.9609375</v>
      </c>
      <c r="B14">
        <f t="shared" si="0"/>
        <v>-0.98375058244363811</v>
      </c>
      <c r="C14">
        <f t="shared" si="1"/>
        <v>0.92340087890625</v>
      </c>
      <c r="D14">
        <f t="shared" si="2"/>
        <v>-0.88733053207397461</v>
      </c>
      <c r="E14">
        <f t="shared" si="3"/>
        <v>-0.48046875</v>
      </c>
      <c r="F14">
        <f t="shared" si="4"/>
        <v>-0.9977409839630127</v>
      </c>
      <c r="G14">
        <f t="shared" si="5"/>
        <v>-0.99847412109375</v>
      </c>
    </row>
    <row r="15" spans="1:8" x14ac:dyDescent="0.35">
      <c r="A15">
        <f t="shared" si="6"/>
        <v>-0.95703125</v>
      </c>
      <c r="B15">
        <f t="shared" si="0"/>
        <v>-0.98343274622793886</v>
      </c>
      <c r="C15">
        <f t="shared" si="1"/>
        <v>0.9159088134765625</v>
      </c>
      <c r="D15">
        <f t="shared" si="2"/>
        <v>-0.87655335664749146</v>
      </c>
      <c r="E15">
        <f t="shared" si="3"/>
        <v>-0.478515625</v>
      </c>
      <c r="F15">
        <f t="shared" si="4"/>
        <v>-0.99727019667625427</v>
      </c>
      <c r="G15">
        <f t="shared" si="5"/>
        <v>-0.9981536865234375</v>
      </c>
    </row>
    <row r="16" spans="1:8" x14ac:dyDescent="0.35">
      <c r="A16">
        <f t="shared" si="6"/>
        <v>-0.953125</v>
      </c>
      <c r="B16">
        <f t="shared" si="0"/>
        <v>-0.98310874611774801</v>
      </c>
      <c r="C16">
        <f t="shared" si="1"/>
        <v>0.908447265625</v>
      </c>
      <c r="D16">
        <f t="shared" si="2"/>
        <v>-0.86586380004882813</v>
      </c>
      <c r="E16">
        <f t="shared" si="3"/>
        <v>-0.4765625</v>
      </c>
      <c r="F16">
        <f t="shared" si="4"/>
        <v>-0.99675559997558594</v>
      </c>
      <c r="G16">
        <f t="shared" si="5"/>
        <v>-0.997802734375</v>
      </c>
    </row>
    <row r="17" spans="1:13" x14ac:dyDescent="0.35">
      <c r="A17">
        <f t="shared" si="6"/>
        <v>-0.94921875</v>
      </c>
      <c r="B17">
        <f t="shared" si="0"/>
        <v>-0.98277846466497853</v>
      </c>
      <c r="C17">
        <f t="shared" si="1"/>
        <v>0.9010162353515625</v>
      </c>
      <c r="D17">
        <f t="shared" si="2"/>
        <v>-0.85526150465011597</v>
      </c>
      <c r="E17">
        <f t="shared" si="3"/>
        <v>-0.474609375</v>
      </c>
      <c r="F17">
        <f t="shared" si="4"/>
        <v>-0.99619737267494202</v>
      </c>
      <c r="G17">
        <f t="shared" si="5"/>
        <v>-0.9974212646484375</v>
      </c>
    </row>
    <row r="18" spans="1:13" x14ac:dyDescent="0.35">
      <c r="A18">
        <f t="shared" si="6"/>
        <v>-0.9453125</v>
      </c>
      <c r="B18">
        <f t="shared" si="0"/>
        <v>-0.98244178226617629</v>
      </c>
      <c r="C18">
        <f t="shared" si="1"/>
        <v>0.89361572265625</v>
      </c>
      <c r="D18">
        <f t="shared" si="2"/>
        <v>-0.84474611282348633</v>
      </c>
      <c r="E18">
        <f t="shared" si="3"/>
        <v>-0.47265625</v>
      </c>
      <c r="F18">
        <f t="shared" si="4"/>
        <v>-0.99559569358825684</v>
      </c>
      <c r="G18">
        <f t="shared" si="5"/>
        <v>-0.99700927734375</v>
      </c>
    </row>
    <row r="19" spans="1:13" x14ac:dyDescent="0.35">
      <c r="A19">
        <f t="shared" si="6"/>
        <v>-0.94140625</v>
      </c>
      <c r="B19">
        <f t="shared" si="0"/>
        <v>-0.98209857712623605</v>
      </c>
      <c r="C19">
        <f t="shared" si="1"/>
        <v>0.8862457275390625</v>
      </c>
      <c r="D19">
        <f t="shared" si="2"/>
        <v>-0.83431726694107056</v>
      </c>
      <c r="E19">
        <f t="shared" si="3"/>
        <v>-0.470703125</v>
      </c>
      <c r="F19">
        <f t="shared" si="4"/>
        <v>-0.99495074152946472</v>
      </c>
      <c r="G19">
        <f t="shared" si="5"/>
        <v>-0.9965667724609375</v>
      </c>
    </row>
    <row r="20" spans="1:13" x14ac:dyDescent="0.35">
      <c r="A20">
        <f t="shared" si="6"/>
        <v>-0.9375</v>
      </c>
      <c r="B20">
        <f t="shared" si="0"/>
        <v>-0.98174872522163892</v>
      </c>
      <c r="C20">
        <f t="shared" si="1"/>
        <v>0.87890625</v>
      </c>
      <c r="D20">
        <f t="shared" si="2"/>
        <v>-0.823974609375</v>
      </c>
      <c r="E20">
        <f t="shared" si="3"/>
        <v>-0.46875</v>
      </c>
      <c r="F20">
        <f t="shared" si="4"/>
        <v>-0.9942626953125</v>
      </c>
      <c r="G20">
        <f t="shared" si="5"/>
        <v>-0.99609375</v>
      </c>
    </row>
    <row r="21" spans="1:13" x14ac:dyDescent="0.35">
      <c r="A21">
        <f t="shared" si="6"/>
        <v>-0.93359375</v>
      </c>
      <c r="B21">
        <f t="shared" si="0"/>
        <v>-0.98139210026321255</v>
      </c>
      <c r="C21">
        <f t="shared" si="1"/>
        <v>0.8715972900390625</v>
      </c>
      <c r="D21">
        <f t="shared" si="2"/>
        <v>-0.81371778249740601</v>
      </c>
      <c r="E21">
        <f t="shared" si="3"/>
        <v>-0.466796875</v>
      </c>
      <c r="F21">
        <f t="shared" si="4"/>
        <v>-0.993531733751297</v>
      </c>
      <c r="G21">
        <f t="shared" si="5"/>
        <v>-0.9955902099609375</v>
      </c>
    </row>
    <row r="22" spans="1:13" x14ac:dyDescent="0.35">
      <c r="A22">
        <f t="shared" si="6"/>
        <v>-0.9296875</v>
      </c>
      <c r="B22">
        <f t="shared" si="0"/>
        <v>-0.98102857365840945</v>
      </c>
      <c r="C22">
        <f t="shared" si="1"/>
        <v>0.86431884765625</v>
      </c>
      <c r="D22">
        <f t="shared" si="2"/>
        <v>-0.80354642868041992</v>
      </c>
      <c r="E22">
        <f t="shared" si="3"/>
        <v>-0.46484375</v>
      </c>
      <c r="F22">
        <f t="shared" si="4"/>
        <v>-0.99275803565979004</v>
      </c>
      <c r="G22">
        <f t="shared" si="5"/>
        <v>-0.99505615234375</v>
      </c>
    </row>
    <row r="23" spans="1:13" x14ac:dyDescent="0.35">
      <c r="A23">
        <f t="shared" si="6"/>
        <v>-0.92578125</v>
      </c>
      <c r="B23">
        <f t="shared" si="0"/>
        <v>-0.98065801447310597</v>
      </c>
      <c r="C23">
        <f t="shared" si="1"/>
        <v>0.8570709228515625</v>
      </c>
      <c r="D23">
        <f t="shared" si="2"/>
        <v>-0.7934601902961731</v>
      </c>
      <c r="E23">
        <f t="shared" si="3"/>
        <v>-0.462890625</v>
      </c>
      <c r="F23">
        <f t="shared" si="4"/>
        <v>-0.99194177985191345</v>
      </c>
      <c r="G23">
        <f t="shared" si="5"/>
        <v>-0.9944915771484375</v>
      </c>
    </row>
    <row r="24" spans="1:13" x14ac:dyDescent="0.35">
      <c r="A24">
        <f t="shared" si="6"/>
        <v>-0.921875</v>
      </c>
      <c r="B24">
        <f t="shared" si="0"/>
        <v>-0.98028028939292244</v>
      </c>
      <c r="C24">
        <f t="shared" si="1"/>
        <v>0.849853515625</v>
      </c>
      <c r="D24">
        <f t="shared" si="2"/>
        <v>-0.78345870971679688</v>
      </c>
      <c r="E24">
        <f t="shared" si="3"/>
        <v>-0.4609375</v>
      </c>
      <c r="F24">
        <f t="shared" si="4"/>
        <v>-0.99108314514160156</v>
      </c>
      <c r="G24">
        <f t="shared" si="5"/>
        <v>-0.993896484375</v>
      </c>
      <c r="I24">
        <v>0.1</v>
      </c>
      <c r="J24">
        <v>0.9</v>
      </c>
      <c r="K24">
        <f>1/J24</f>
        <v>1.1111111111111112</v>
      </c>
      <c r="L24">
        <f>K24/I24</f>
        <v>11.111111111111111</v>
      </c>
      <c r="M24">
        <f>K24-I24</f>
        <v>1.0111111111111111</v>
      </c>
    </row>
    <row r="25" spans="1:13" x14ac:dyDescent="0.35">
      <c r="A25">
        <f t="shared" si="6"/>
        <v>-0.91796875</v>
      </c>
      <c r="B25">
        <f t="shared" si="0"/>
        <v>-0.97989526268406357</v>
      </c>
      <c r="C25">
        <f t="shared" si="1"/>
        <v>0.8426666259765625</v>
      </c>
      <c r="D25">
        <f t="shared" si="2"/>
        <v>-0.77354162931442261</v>
      </c>
      <c r="E25">
        <f t="shared" si="3"/>
        <v>-0.458984375</v>
      </c>
      <c r="F25">
        <f t="shared" si="4"/>
        <v>-0.9901823103427887</v>
      </c>
      <c r="G25">
        <f t="shared" si="5"/>
        <v>-0.9932708740234375</v>
      </c>
      <c r="I25">
        <v>0.2</v>
      </c>
      <c r="J25">
        <v>0.8</v>
      </c>
      <c r="K25">
        <f t="shared" ref="K25:K26" si="7">1/J25</f>
        <v>1.25</v>
      </c>
      <c r="L25">
        <f t="shared" ref="L25" si="8">K25/I25</f>
        <v>6.25</v>
      </c>
      <c r="M25">
        <f t="shared" ref="M25:M29" si="9">K25-I25</f>
        <v>1.05</v>
      </c>
    </row>
    <row r="26" spans="1:13" x14ac:dyDescent="0.35">
      <c r="A26">
        <f t="shared" si="6"/>
        <v>-0.9140625</v>
      </c>
      <c r="B26">
        <f t="shared" si="0"/>
        <v>-0.97950279615368285</v>
      </c>
      <c r="C26">
        <f t="shared" si="1"/>
        <v>0.83551025390625</v>
      </c>
      <c r="D26">
        <f t="shared" si="2"/>
        <v>-0.76370859146118164</v>
      </c>
      <c r="E26">
        <f t="shared" si="3"/>
        <v>-0.45703125</v>
      </c>
      <c r="F26">
        <f t="shared" si="4"/>
        <v>-0.98923945426940918</v>
      </c>
      <c r="G26">
        <f t="shared" si="5"/>
        <v>-0.99261474609375</v>
      </c>
      <c r="I26">
        <v>0.25</v>
      </c>
      <c r="J26">
        <v>0.75</v>
      </c>
      <c r="K26">
        <f t="shared" si="7"/>
        <v>1.3333333333333333</v>
      </c>
      <c r="L26">
        <f t="shared" ref="L26" si="10">K26/I26</f>
        <v>5.333333333333333</v>
      </c>
      <c r="M26">
        <f t="shared" si="9"/>
        <v>1.0833333333333333</v>
      </c>
    </row>
    <row r="27" spans="1:13" x14ac:dyDescent="0.35">
      <c r="A27">
        <f t="shared" si="6"/>
        <v>-0.91015625</v>
      </c>
      <c r="B27">
        <f t="shared" si="0"/>
        <v>-0.97910274910976647</v>
      </c>
      <c r="C27">
        <f t="shared" si="1"/>
        <v>0.8283843994140625</v>
      </c>
      <c r="D27">
        <f t="shared" si="2"/>
        <v>-0.75395923852920532</v>
      </c>
      <c r="E27">
        <f t="shared" si="3"/>
        <v>-0.455078125</v>
      </c>
      <c r="F27">
        <f t="shared" si="4"/>
        <v>-0.98825475573539734</v>
      </c>
      <c r="G27">
        <f t="shared" si="5"/>
        <v>-0.9919281005859375</v>
      </c>
      <c r="I27">
        <v>0.3</v>
      </c>
      <c r="J27">
        <v>0.7</v>
      </c>
      <c r="K27">
        <f>1/J27</f>
        <v>1.4285714285714286</v>
      </c>
      <c r="L27">
        <f>K27/I27</f>
        <v>4.7619047619047619</v>
      </c>
      <c r="M27">
        <f t="shared" si="9"/>
        <v>1.1285714285714286</v>
      </c>
    </row>
    <row r="28" spans="1:13" x14ac:dyDescent="0.35">
      <c r="A28">
        <f t="shared" si="6"/>
        <v>-0.90625</v>
      </c>
      <c r="B28">
        <f t="shared" si="0"/>
        <v>-0.97869497832054775</v>
      </c>
      <c r="C28">
        <f t="shared" si="1"/>
        <v>0.8212890625</v>
      </c>
      <c r="D28">
        <f t="shared" si="2"/>
        <v>-0.744293212890625</v>
      </c>
      <c r="E28">
        <f t="shared" si="3"/>
        <v>-0.453125</v>
      </c>
      <c r="F28">
        <f t="shared" si="4"/>
        <v>-0.9872283935546875</v>
      </c>
      <c r="G28">
        <f t="shared" si="5"/>
        <v>-0.9912109375</v>
      </c>
      <c r="I28">
        <v>0.4</v>
      </c>
      <c r="J28">
        <v>0.6</v>
      </c>
      <c r="K28">
        <f>1/J28</f>
        <v>1.6666666666666667</v>
      </c>
      <c r="L28">
        <f>K28/I28</f>
        <v>4.166666666666667</v>
      </c>
      <c r="M28">
        <f t="shared" si="9"/>
        <v>1.2666666666666666</v>
      </c>
    </row>
    <row r="29" spans="1:13" x14ac:dyDescent="0.35">
      <c r="A29">
        <f t="shared" si="6"/>
        <v>-0.90234375</v>
      </c>
      <c r="B29">
        <f t="shared" si="0"/>
        <v>-0.97827933797344513</v>
      </c>
      <c r="C29">
        <f t="shared" si="1"/>
        <v>0.8142242431640625</v>
      </c>
      <c r="D29">
        <f t="shared" si="2"/>
        <v>-0.73471015691757202</v>
      </c>
      <c r="E29">
        <f t="shared" si="3"/>
        <v>-0.451171875</v>
      </c>
      <c r="F29">
        <f t="shared" si="4"/>
        <v>-0.98616054654121399</v>
      </c>
      <c r="G29">
        <f t="shared" si="5"/>
        <v>-0.9904632568359375</v>
      </c>
      <c r="I29">
        <v>0.5</v>
      </c>
      <c r="J29">
        <v>0.5</v>
      </c>
      <c r="K29">
        <f>1/J29</f>
        <v>2</v>
      </c>
      <c r="L29">
        <f>K29/I29</f>
        <v>4</v>
      </c>
      <c r="M29">
        <f t="shared" si="9"/>
        <v>1.5</v>
      </c>
    </row>
    <row r="30" spans="1:13" x14ac:dyDescent="0.35">
      <c r="A30">
        <f t="shared" si="6"/>
        <v>-0.8984375</v>
      </c>
      <c r="B30">
        <f t="shared" si="0"/>
        <v>-0.97785567963353159</v>
      </c>
      <c r="C30">
        <f t="shared" si="1"/>
        <v>0.80718994140625</v>
      </c>
      <c r="D30">
        <f t="shared" si="2"/>
        <v>-0.72520971298217773</v>
      </c>
      <c r="E30">
        <f t="shared" si="3"/>
        <v>-0.44921875</v>
      </c>
      <c r="F30">
        <f t="shared" si="4"/>
        <v>-0.98505139350891113</v>
      </c>
      <c r="G30">
        <f t="shared" si="5"/>
        <v>-0.98968505859375</v>
      </c>
    </row>
    <row r="31" spans="1:13" x14ac:dyDescent="0.35">
      <c r="A31">
        <f t="shared" si="6"/>
        <v>-0.89453125</v>
      </c>
      <c r="B31">
        <f t="shared" si="0"/>
        <v>-0.97742385220153782</v>
      </c>
      <c r="C31">
        <f t="shared" si="1"/>
        <v>0.8001861572265625</v>
      </c>
      <c r="D31">
        <f t="shared" si="2"/>
        <v>-0.71579152345657349</v>
      </c>
      <c r="E31">
        <f t="shared" si="3"/>
        <v>-0.447265625</v>
      </c>
      <c r="F31">
        <f t="shared" si="4"/>
        <v>-0.98390111327171326</v>
      </c>
      <c r="G31">
        <f t="shared" si="5"/>
        <v>-0.9888763427734375</v>
      </c>
    </row>
    <row r="32" spans="1:13" x14ac:dyDescent="0.35">
      <c r="A32">
        <f t="shared" si="6"/>
        <v>-0.890625</v>
      </c>
      <c r="B32">
        <f t="shared" si="0"/>
        <v>-0.97698370187139327</v>
      </c>
      <c r="C32">
        <f t="shared" si="1"/>
        <v>0.793212890625</v>
      </c>
      <c r="D32">
        <f t="shared" si="2"/>
        <v>-0.70645523071289063</v>
      </c>
      <c r="E32">
        <f t="shared" si="3"/>
        <v>-0.4453125</v>
      </c>
      <c r="F32">
        <f t="shared" si="4"/>
        <v>-0.98270988464355469</v>
      </c>
      <c r="G32">
        <f t="shared" si="5"/>
        <v>-0.988037109375</v>
      </c>
    </row>
    <row r="33" spans="1:7" x14ac:dyDescent="0.35">
      <c r="A33">
        <f t="shared" si="6"/>
        <v>-0.88671875</v>
      </c>
      <c r="B33">
        <f t="shared" si="0"/>
        <v>-0.97653507208730383</v>
      </c>
      <c r="C33">
        <f t="shared" si="1"/>
        <v>0.7862701416015625</v>
      </c>
      <c r="D33">
        <f t="shared" si="2"/>
        <v>-0.6972004771232605</v>
      </c>
      <c r="E33">
        <f t="shared" si="3"/>
        <v>-0.443359375</v>
      </c>
      <c r="F33">
        <f t="shared" si="4"/>
        <v>-0.98147788643836975</v>
      </c>
      <c r="G33">
        <f t="shared" si="5"/>
        <v>-0.9871673583984375</v>
      </c>
    </row>
    <row r="34" spans="1:7" x14ac:dyDescent="0.35">
      <c r="A34">
        <f t="shared" si="6"/>
        <v>-0.8828125</v>
      </c>
      <c r="B34">
        <f t="shared" si="0"/>
        <v>-0.97607780350038087</v>
      </c>
      <c r="C34">
        <f t="shared" si="1"/>
        <v>0.77935791015625</v>
      </c>
      <c r="D34">
        <f t="shared" si="2"/>
        <v>-0.68802690505981445</v>
      </c>
      <c r="E34">
        <f t="shared" si="3"/>
        <v>-0.44140625</v>
      </c>
      <c r="F34">
        <f t="shared" si="4"/>
        <v>-0.98020529747009277</v>
      </c>
      <c r="G34">
        <f t="shared" si="5"/>
        <v>-0.98626708984375</v>
      </c>
    </row>
    <row r="35" spans="1:7" x14ac:dyDescent="0.35">
      <c r="A35">
        <f t="shared" si="6"/>
        <v>-0.87890625</v>
      </c>
      <c r="B35">
        <f t="shared" si="0"/>
        <v>-0.97561173392481892</v>
      </c>
      <c r="C35">
        <f t="shared" si="1"/>
        <v>0.7724761962890625</v>
      </c>
      <c r="D35">
        <f t="shared" si="2"/>
        <v>-0.67893415689468384</v>
      </c>
      <c r="E35">
        <f t="shared" si="3"/>
        <v>-0.439453125</v>
      </c>
      <c r="F35">
        <f t="shared" si="4"/>
        <v>-0.97889229655265808</v>
      </c>
      <c r="G35">
        <f t="shared" si="5"/>
        <v>-0.9853363037109375</v>
      </c>
    </row>
    <row r="36" spans="1:7" x14ac:dyDescent="0.35">
      <c r="A36">
        <f t="shared" si="6"/>
        <v>-0.875</v>
      </c>
      <c r="B36">
        <f t="shared" si="0"/>
        <v>-0.97513669829362815</v>
      </c>
      <c r="C36">
        <f t="shared" si="1"/>
        <v>0.765625</v>
      </c>
      <c r="D36">
        <f t="shared" si="2"/>
        <v>-0.669921875</v>
      </c>
      <c r="E36">
        <f t="shared" si="3"/>
        <v>-0.4375</v>
      </c>
      <c r="F36">
        <f t="shared" si="4"/>
        <v>-0.9775390625</v>
      </c>
      <c r="G36">
        <f t="shared" si="5"/>
        <v>-0.984375</v>
      </c>
    </row>
    <row r="37" spans="1:7" x14ac:dyDescent="0.35">
      <c r="A37">
        <f t="shared" si="6"/>
        <v>-0.87109375</v>
      </c>
      <c r="B37">
        <f t="shared" si="0"/>
        <v>-0.9746525286139337</v>
      </c>
      <c r="C37">
        <f t="shared" si="1"/>
        <v>0.7588043212890625</v>
      </c>
      <c r="D37">
        <f t="shared" si="2"/>
        <v>-0.66098970174789429</v>
      </c>
      <c r="E37">
        <f t="shared" si="3"/>
        <v>-0.435546875</v>
      </c>
      <c r="F37">
        <f t="shared" si="4"/>
        <v>-0.97614577412605286</v>
      </c>
      <c r="G37">
        <f t="shared" si="5"/>
        <v>-0.9833831787109375</v>
      </c>
    </row>
    <row r="38" spans="1:7" x14ac:dyDescent="0.35">
      <c r="A38">
        <f t="shared" si="6"/>
        <v>-0.8671875</v>
      </c>
      <c r="B38">
        <f t="shared" si="0"/>
        <v>-0.97415905392184188</v>
      </c>
      <c r="C38">
        <f t="shared" si="1"/>
        <v>0.75201416015625</v>
      </c>
      <c r="D38">
        <f t="shared" si="2"/>
        <v>-0.65213727951049805</v>
      </c>
      <c r="E38">
        <f t="shared" si="3"/>
        <v>-0.43359375</v>
      </c>
      <c r="F38">
        <f t="shared" si="4"/>
        <v>-0.97471261024475098</v>
      </c>
      <c r="G38">
        <f t="shared" si="5"/>
        <v>-0.98236083984375</v>
      </c>
    </row>
    <row r="39" spans="1:7" x14ac:dyDescent="0.35">
      <c r="A39">
        <f t="shared" si="6"/>
        <v>-0.86328125</v>
      </c>
      <c r="B39">
        <f t="shared" si="0"/>
        <v>-0.97365610023688698</v>
      </c>
      <c r="C39">
        <f t="shared" si="1"/>
        <v>0.7452545166015625</v>
      </c>
      <c r="D39">
        <f t="shared" si="2"/>
        <v>-0.64336425065994263</v>
      </c>
      <c r="E39">
        <f t="shared" si="3"/>
        <v>-0.431640625</v>
      </c>
      <c r="F39">
        <f t="shared" si="4"/>
        <v>-0.97323974967002869</v>
      </c>
      <c r="G39">
        <f t="shared" si="5"/>
        <v>-0.9813079833984375</v>
      </c>
    </row>
    <row r="40" spans="1:7" x14ac:dyDescent="0.35">
      <c r="A40">
        <f t="shared" si="6"/>
        <v>-0.859375</v>
      </c>
      <c r="B40">
        <f t="shared" si="0"/>
        <v>-0.97314349051606297</v>
      </c>
      <c r="C40">
        <f t="shared" si="1"/>
        <v>0.738525390625</v>
      </c>
      <c r="D40">
        <f t="shared" si="2"/>
        <v>-0.63467025756835938</v>
      </c>
      <c r="E40">
        <f t="shared" si="3"/>
        <v>-0.4296875</v>
      </c>
      <c r="F40">
        <f t="shared" si="4"/>
        <v>-0.97172737121582031</v>
      </c>
      <c r="G40">
        <f t="shared" si="5"/>
        <v>-0.980224609375</v>
      </c>
    </row>
    <row r="41" spans="1:7" x14ac:dyDescent="0.35">
      <c r="A41">
        <f t="shared" si="6"/>
        <v>-0.85546875</v>
      </c>
      <c r="B41">
        <f t="shared" si="0"/>
        <v>-0.97262104460745114</v>
      </c>
      <c r="C41">
        <f t="shared" si="1"/>
        <v>0.7318267822265625</v>
      </c>
      <c r="D41">
        <f t="shared" si="2"/>
        <v>-0.62605494260787964</v>
      </c>
      <c r="E41">
        <f t="shared" si="3"/>
        <v>-0.427734375</v>
      </c>
      <c r="F41">
        <f t="shared" si="4"/>
        <v>-0.97017565369606018</v>
      </c>
      <c r="G41">
        <f t="shared" si="5"/>
        <v>-0.9791107177734375</v>
      </c>
    </row>
    <row r="42" spans="1:7" x14ac:dyDescent="0.35">
      <c r="A42">
        <f t="shared" si="6"/>
        <v>-0.8515625</v>
      </c>
      <c r="B42">
        <f t="shared" si="0"/>
        <v>-0.97208857920345315</v>
      </c>
      <c r="C42">
        <f t="shared" si="1"/>
        <v>0.72515869140625</v>
      </c>
      <c r="D42">
        <f t="shared" si="2"/>
        <v>-0.61751794815063477</v>
      </c>
      <c r="E42">
        <f t="shared" si="3"/>
        <v>-0.42578125</v>
      </c>
      <c r="F42">
        <f t="shared" si="4"/>
        <v>-0.96858477592468262</v>
      </c>
      <c r="G42">
        <f t="shared" si="5"/>
        <v>-0.97796630859375</v>
      </c>
    </row>
    <row r="43" spans="1:7" x14ac:dyDescent="0.35">
      <c r="A43">
        <f t="shared" si="6"/>
        <v>-0.84765625</v>
      </c>
      <c r="B43">
        <f t="shared" si="0"/>
        <v>-0.97154590779364169</v>
      </c>
      <c r="C43">
        <f t="shared" si="1"/>
        <v>0.7185211181640625</v>
      </c>
      <c r="D43">
        <f t="shared" si="2"/>
        <v>-0.6090589165687561</v>
      </c>
      <c r="E43">
        <f t="shared" si="3"/>
        <v>-0.423828125</v>
      </c>
      <c r="F43">
        <f t="shared" si="4"/>
        <v>-0.96695491671562195</v>
      </c>
      <c r="G43">
        <f t="shared" si="5"/>
        <v>-0.9767913818359375</v>
      </c>
    </row>
    <row r="44" spans="1:7" x14ac:dyDescent="0.35">
      <c r="A44">
        <f t="shared" si="6"/>
        <v>-0.84375</v>
      </c>
      <c r="B44">
        <f t="shared" si="0"/>
        <v>-0.9709928406172359</v>
      </c>
      <c r="C44">
        <f t="shared" si="1"/>
        <v>0.7119140625</v>
      </c>
      <c r="D44">
        <f t="shared" si="2"/>
        <v>-0.600677490234375</v>
      </c>
      <c r="E44">
        <f t="shared" si="3"/>
        <v>-0.421875</v>
      </c>
      <c r="F44">
        <f t="shared" si="4"/>
        <v>-0.9652862548828125</v>
      </c>
      <c r="G44">
        <f t="shared" si="5"/>
        <v>-0.9755859375</v>
      </c>
    </row>
    <row r="45" spans="1:7" x14ac:dyDescent="0.35">
      <c r="A45">
        <f t="shared" si="6"/>
        <v>-0.83984375</v>
      </c>
      <c r="B45">
        <f t="shared" si="0"/>
        <v>-0.97042918461521888</v>
      </c>
      <c r="C45">
        <f t="shared" si="1"/>
        <v>0.7053375244140625</v>
      </c>
      <c r="D45">
        <f t="shared" si="2"/>
        <v>-0.5923733115196228</v>
      </c>
      <c r="E45">
        <f t="shared" si="3"/>
        <v>-0.419921875</v>
      </c>
      <c r="F45">
        <f t="shared" si="4"/>
        <v>-0.9635789692401886</v>
      </c>
      <c r="G45">
        <f t="shared" si="5"/>
        <v>-0.9743499755859375</v>
      </c>
    </row>
    <row r="46" spans="1:7" x14ac:dyDescent="0.35">
      <c r="A46">
        <f t="shared" si="6"/>
        <v>-0.8359375</v>
      </c>
      <c r="B46">
        <f t="shared" si="0"/>
        <v>-0.96985474338210875</v>
      </c>
      <c r="C46">
        <f t="shared" si="1"/>
        <v>0.69879150390625</v>
      </c>
      <c r="D46">
        <f t="shared" si="2"/>
        <v>-0.58414602279663086</v>
      </c>
      <c r="E46">
        <f t="shared" si="3"/>
        <v>-0.41796875</v>
      </c>
      <c r="F46">
        <f t="shared" si="4"/>
        <v>-0.96183323860168457</v>
      </c>
      <c r="G46">
        <f t="shared" si="5"/>
        <v>-0.97308349609375</v>
      </c>
    </row>
    <row r="47" spans="1:7" x14ac:dyDescent="0.35">
      <c r="A47">
        <f t="shared" si="6"/>
        <v>-0.83203125</v>
      </c>
      <c r="B47">
        <f t="shared" si="0"/>
        <v>-0.9692693171173955</v>
      </c>
      <c r="C47">
        <f t="shared" si="1"/>
        <v>0.6922760009765625</v>
      </c>
      <c r="D47">
        <f t="shared" si="2"/>
        <v>-0.57599526643753052</v>
      </c>
      <c r="E47">
        <f t="shared" si="3"/>
        <v>-0.416015625</v>
      </c>
      <c r="F47">
        <f t="shared" si="4"/>
        <v>-0.96004924178123474</v>
      </c>
      <c r="G47">
        <f t="shared" si="5"/>
        <v>-0.9717864990234375</v>
      </c>
    </row>
    <row r="48" spans="1:7" x14ac:dyDescent="0.35">
      <c r="A48">
        <f t="shared" si="6"/>
        <v>-0.828125</v>
      </c>
      <c r="B48">
        <f t="shared" si="0"/>
        <v>-0.96867270257666327</v>
      </c>
      <c r="C48">
        <f t="shared" si="1"/>
        <v>0.685791015625</v>
      </c>
      <c r="D48">
        <f t="shared" si="2"/>
        <v>-0.56792068481445313</v>
      </c>
      <c r="E48">
        <f t="shared" si="3"/>
        <v>-0.4140625</v>
      </c>
      <c r="F48">
        <f t="shared" si="4"/>
        <v>-0.95822715759277344</v>
      </c>
      <c r="G48">
        <f t="shared" si="5"/>
        <v>-0.970458984375</v>
      </c>
    </row>
    <row r="49" spans="1:7" x14ac:dyDescent="0.35">
      <c r="A49">
        <f t="shared" si="6"/>
        <v>-0.82421875</v>
      </c>
      <c r="B49">
        <f t="shared" si="0"/>
        <v>-0.96806469302240794</v>
      </c>
      <c r="C49">
        <f t="shared" si="1"/>
        <v>0.6793365478515625</v>
      </c>
      <c r="D49">
        <f t="shared" si="2"/>
        <v>-0.55992192029953003</v>
      </c>
      <c r="E49">
        <f t="shared" si="3"/>
        <v>-0.412109375</v>
      </c>
      <c r="F49">
        <f t="shared" si="4"/>
        <v>-0.95636716485023499</v>
      </c>
      <c r="G49">
        <f t="shared" si="5"/>
        <v>-0.9691009521484375</v>
      </c>
    </row>
    <row r="50" spans="1:7" x14ac:dyDescent="0.35">
      <c r="A50">
        <f t="shared" si="6"/>
        <v>-0.8203125</v>
      </c>
      <c r="B50">
        <f t="shared" si="0"/>
        <v>-0.96744507817457304</v>
      </c>
      <c r="C50">
        <f t="shared" si="1"/>
        <v>0.67291259765625</v>
      </c>
      <c r="D50">
        <f t="shared" si="2"/>
        <v>-0.55199861526489258</v>
      </c>
      <c r="E50">
        <f t="shared" si="3"/>
        <v>-0.41015625</v>
      </c>
      <c r="F50">
        <f t="shared" si="4"/>
        <v>-0.95446944236755371</v>
      </c>
      <c r="G50">
        <f t="shared" si="5"/>
        <v>-0.96771240234375</v>
      </c>
    </row>
    <row r="51" spans="1:7" x14ac:dyDescent="0.35">
      <c r="A51">
        <f t="shared" si="6"/>
        <v>-0.81640625</v>
      </c>
      <c r="B51">
        <f t="shared" si="0"/>
        <v>-0.96681364416081916</v>
      </c>
      <c r="C51">
        <f t="shared" si="1"/>
        <v>0.6665191650390625</v>
      </c>
      <c r="D51">
        <f t="shared" si="2"/>
        <v>-0.54415041208267212</v>
      </c>
      <c r="E51">
        <f t="shared" si="3"/>
        <v>-0.408203125</v>
      </c>
      <c r="F51">
        <f t="shared" si="4"/>
        <v>-0.95253416895866394</v>
      </c>
      <c r="G51">
        <f t="shared" si="5"/>
        <v>-0.9662933349609375</v>
      </c>
    </row>
    <row r="52" spans="1:7" x14ac:dyDescent="0.35">
      <c r="A52">
        <f t="shared" si="6"/>
        <v>-0.8125</v>
      </c>
      <c r="B52">
        <f t="shared" si="0"/>
        <v>-0.96617017346654699</v>
      </c>
      <c r="C52">
        <f t="shared" si="1"/>
        <v>0.66015625</v>
      </c>
      <c r="D52">
        <f t="shared" si="2"/>
        <v>-0.536376953125</v>
      </c>
      <c r="E52">
        <f t="shared" si="3"/>
        <v>-0.40625</v>
      </c>
      <c r="F52">
        <f t="shared" si="4"/>
        <v>-0.9505615234375</v>
      </c>
      <c r="G52">
        <f t="shared" si="5"/>
        <v>-0.96484375</v>
      </c>
    </row>
    <row r="53" spans="1:7" x14ac:dyDescent="0.35">
      <c r="A53">
        <f t="shared" si="6"/>
        <v>-0.80859375</v>
      </c>
      <c r="B53">
        <f t="shared" si="0"/>
        <v>-0.96551444488469429</v>
      </c>
      <c r="C53">
        <f t="shared" si="1"/>
        <v>0.6538238525390625</v>
      </c>
      <c r="D53">
        <f t="shared" si="2"/>
        <v>-0.52867788076400757</v>
      </c>
      <c r="E53">
        <f t="shared" si="3"/>
        <v>-0.404296875</v>
      </c>
      <c r="F53">
        <f t="shared" si="4"/>
        <v>-0.94855168461799622</v>
      </c>
      <c r="G53">
        <f t="shared" si="5"/>
        <v>-0.9633636474609375</v>
      </c>
    </row>
    <row r="54" spans="1:7" x14ac:dyDescent="0.35">
      <c r="A54">
        <f t="shared" si="6"/>
        <v>-0.8046875</v>
      </c>
      <c r="B54">
        <f t="shared" si="0"/>
        <v>-0.96484623346532816</v>
      </c>
      <c r="C54">
        <f t="shared" si="1"/>
        <v>0.64752197265625</v>
      </c>
      <c r="D54">
        <f t="shared" si="2"/>
        <v>-0.52105283737182617</v>
      </c>
      <c r="E54">
        <f t="shared" si="3"/>
        <v>-0.40234375</v>
      </c>
      <c r="F54">
        <f t="shared" si="4"/>
        <v>-0.94650483131408691</v>
      </c>
      <c r="G54">
        <f t="shared" si="5"/>
        <v>-0.96185302734375</v>
      </c>
    </row>
    <row r="55" spans="1:7" x14ac:dyDescent="0.35">
      <c r="A55">
        <f t="shared" si="6"/>
        <v>-0.80078125</v>
      </c>
      <c r="B55">
        <f t="shared" si="0"/>
        <v>-0.96416531046505738</v>
      </c>
      <c r="C55">
        <f t="shared" si="1"/>
        <v>0.6412506103515625</v>
      </c>
      <c r="D55">
        <f t="shared" si="2"/>
        <v>-0.51350146532058716</v>
      </c>
      <c r="E55">
        <f t="shared" si="3"/>
        <v>-0.400390625</v>
      </c>
      <c r="F55">
        <f t="shared" si="4"/>
        <v>-0.94442114233970642</v>
      </c>
      <c r="G55">
        <f t="shared" si="5"/>
        <v>-0.9603118896484375</v>
      </c>
    </row>
    <row r="56" spans="1:7" x14ac:dyDescent="0.35">
      <c r="A56">
        <f t="shared" si="6"/>
        <v>-0.796875</v>
      </c>
      <c r="B56">
        <f t="shared" si="0"/>
        <v>-0.96347144329628598</v>
      </c>
      <c r="C56">
        <f t="shared" si="1"/>
        <v>0.635009765625</v>
      </c>
      <c r="D56">
        <f t="shared" si="2"/>
        <v>-0.50602340698242188</v>
      </c>
      <c r="E56">
        <f t="shared" si="3"/>
        <v>-0.3984375</v>
      </c>
      <c r="F56">
        <f t="shared" si="4"/>
        <v>-0.94230079650878906</v>
      </c>
      <c r="G56">
        <f t="shared" si="5"/>
        <v>-0.958740234375</v>
      </c>
    </row>
    <row r="57" spans="1:7" x14ac:dyDescent="0.35">
      <c r="A57">
        <f t="shared" si="6"/>
        <v>-0.79296875</v>
      </c>
      <c r="B57">
        <f t="shared" si="0"/>
        <v>-0.96276439547633652</v>
      </c>
      <c r="C57">
        <f t="shared" si="1"/>
        <v>0.6287994384765625</v>
      </c>
      <c r="D57">
        <f t="shared" si="2"/>
        <v>-0.49861830472946167</v>
      </c>
      <c r="E57">
        <f t="shared" si="3"/>
        <v>-0.396484375</v>
      </c>
      <c r="F57">
        <f t="shared" si="4"/>
        <v>-0.94014397263526917</v>
      </c>
      <c r="G57">
        <f t="shared" si="5"/>
        <v>-0.9571380615234375</v>
      </c>
    </row>
    <row r="58" spans="1:7" x14ac:dyDescent="0.35">
      <c r="A58">
        <f t="shared" si="6"/>
        <v>-0.7890625</v>
      </c>
      <c r="B58">
        <f t="shared" si="0"/>
        <v>-0.96204392657646864</v>
      </c>
      <c r="C58">
        <f t="shared" si="1"/>
        <v>0.62261962890625</v>
      </c>
      <c r="D58">
        <f t="shared" si="2"/>
        <v>-0.49128580093383789</v>
      </c>
      <c r="E58">
        <f t="shared" si="3"/>
        <v>-0.39453125</v>
      </c>
      <c r="F58">
        <f t="shared" si="4"/>
        <v>-0.93795084953308105</v>
      </c>
      <c r="G58">
        <f t="shared" si="5"/>
        <v>-0.95550537109375</v>
      </c>
    </row>
    <row r="59" spans="1:7" x14ac:dyDescent="0.35">
      <c r="A59">
        <f t="shared" si="6"/>
        <v>-0.78515625</v>
      </c>
      <c r="B59">
        <f t="shared" si="0"/>
        <v>-0.96130979217082102</v>
      </c>
      <c r="C59">
        <f t="shared" si="1"/>
        <v>0.6164703369140625</v>
      </c>
      <c r="D59">
        <f t="shared" si="2"/>
        <v>-0.48402553796768188</v>
      </c>
      <c r="E59">
        <f t="shared" si="3"/>
        <v>-0.392578125</v>
      </c>
      <c r="F59">
        <f t="shared" si="4"/>
        <v>-0.93572160601615906</v>
      </c>
      <c r="G59">
        <f t="shared" si="5"/>
        <v>-0.9538421630859375</v>
      </c>
    </row>
    <row r="60" spans="1:7" x14ac:dyDescent="0.35">
      <c r="A60">
        <f t="shared" si="6"/>
        <v>-0.78125</v>
      </c>
      <c r="B60">
        <f t="shared" si="0"/>
        <v>-0.96056174378530668</v>
      </c>
      <c r="C60">
        <f t="shared" si="1"/>
        <v>0.6103515625</v>
      </c>
      <c r="D60">
        <f t="shared" si="2"/>
        <v>-0.476837158203125</v>
      </c>
      <c r="E60">
        <f t="shared" si="3"/>
        <v>-0.390625</v>
      </c>
      <c r="F60">
        <f t="shared" si="4"/>
        <v>-0.9334564208984375</v>
      </c>
      <c r="G60">
        <f t="shared" si="5"/>
        <v>-0.9521484375</v>
      </c>
    </row>
    <row r="61" spans="1:7" x14ac:dyDescent="0.35">
      <c r="A61">
        <f t="shared" si="6"/>
        <v>-0.77734375</v>
      </c>
      <c r="B61">
        <f t="shared" si="0"/>
        <v>-0.95979952884649589</v>
      </c>
      <c r="C61">
        <f t="shared" si="1"/>
        <v>0.6042633056640625</v>
      </c>
      <c r="D61">
        <f t="shared" si="2"/>
        <v>-0.46972030401229858</v>
      </c>
      <c r="E61">
        <f t="shared" si="3"/>
        <v>-0.388671875</v>
      </c>
      <c r="F61">
        <f t="shared" si="4"/>
        <v>-0.93115547299385071</v>
      </c>
      <c r="G61">
        <f t="shared" si="5"/>
        <v>-0.9504241943359375</v>
      </c>
    </row>
    <row r="62" spans="1:7" x14ac:dyDescent="0.35">
      <c r="A62">
        <f t="shared" si="6"/>
        <v>-0.7734375</v>
      </c>
      <c r="B62">
        <f t="shared" si="0"/>
        <v>-0.95902289063051238</v>
      </c>
      <c r="C62">
        <f t="shared" si="1"/>
        <v>0.59820556640625</v>
      </c>
      <c r="D62">
        <f t="shared" si="2"/>
        <v>-0.46267461776733398</v>
      </c>
      <c r="E62">
        <f t="shared" si="3"/>
        <v>-0.38671875</v>
      </c>
      <c r="F62">
        <f t="shared" si="4"/>
        <v>-0.92881894111633301</v>
      </c>
      <c r="G62">
        <f t="shared" si="5"/>
        <v>-0.94866943359375</v>
      </c>
    </row>
    <row r="63" spans="1:7" x14ac:dyDescent="0.35">
      <c r="A63">
        <f t="shared" si="6"/>
        <v>-0.76953125</v>
      </c>
      <c r="B63">
        <f t="shared" si="0"/>
        <v>-0.95823156821198718</v>
      </c>
      <c r="C63">
        <f t="shared" si="1"/>
        <v>0.5921783447265625</v>
      </c>
      <c r="D63">
        <f t="shared" si="2"/>
        <v>-0.45569974184036255</v>
      </c>
      <c r="E63">
        <f t="shared" si="3"/>
        <v>-0.384765625</v>
      </c>
      <c r="F63">
        <f t="shared" si="4"/>
        <v>-0.92644700407981873</v>
      </c>
      <c r="G63">
        <f t="shared" si="5"/>
        <v>-0.9468841552734375</v>
      </c>
    </row>
    <row r="64" spans="1:7" x14ac:dyDescent="0.35">
      <c r="A64">
        <f t="shared" si="6"/>
        <v>-0.765625</v>
      </c>
      <c r="B64">
        <f t="shared" si="0"/>
        <v>-0.95742529641309804</v>
      </c>
      <c r="C64">
        <f t="shared" si="1"/>
        <v>0.586181640625</v>
      </c>
      <c r="D64">
        <f t="shared" si="2"/>
        <v>-0.44879531860351563</v>
      </c>
      <c r="E64">
        <f t="shared" si="3"/>
        <v>-0.3828125</v>
      </c>
      <c r="F64">
        <f t="shared" si="4"/>
        <v>-0.92403984069824219</v>
      </c>
      <c r="G64">
        <f t="shared" si="5"/>
        <v>-0.945068359375</v>
      </c>
    </row>
    <row r="65" spans="1:7" x14ac:dyDescent="0.35">
      <c r="A65">
        <f t="shared" si="6"/>
        <v>-0.76171875</v>
      </c>
      <c r="B65">
        <f t="shared" si="0"/>
        <v>-0.95660380575273607</v>
      </c>
      <c r="C65">
        <f t="shared" si="1"/>
        <v>0.5802154541015625</v>
      </c>
      <c r="D65">
        <f t="shared" si="2"/>
        <v>-0.44196099042892456</v>
      </c>
      <c r="E65">
        <f t="shared" si="3"/>
        <v>-0.380859375</v>
      </c>
      <c r="F65">
        <f t="shared" si="4"/>
        <v>-0.92159762978553772</v>
      </c>
      <c r="G65">
        <f t="shared" si="5"/>
        <v>-0.9432220458984375</v>
      </c>
    </row>
    <row r="66" spans="1:7" x14ac:dyDescent="0.35">
      <c r="A66">
        <f t="shared" si="6"/>
        <v>-0.7578125</v>
      </c>
      <c r="B66">
        <f t="shared" si="0"/>
        <v>-0.95576682239584099</v>
      </c>
      <c r="C66">
        <f t="shared" si="1"/>
        <v>0.57427978515625</v>
      </c>
      <c r="D66">
        <f t="shared" si="2"/>
        <v>-0.4351963996887207</v>
      </c>
      <c r="E66">
        <f t="shared" si="3"/>
        <v>-0.37890625</v>
      </c>
      <c r="F66">
        <f t="shared" si="4"/>
        <v>-0.91912055015563965</v>
      </c>
      <c r="G66">
        <f t="shared" si="5"/>
        <v>-0.94134521484375</v>
      </c>
    </row>
    <row r="67" spans="1:7" x14ac:dyDescent="0.35">
      <c r="A67">
        <f t="shared" si="6"/>
        <v>-0.75390625</v>
      </c>
      <c r="B67">
        <f t="shared" si="0"/>
        <v>-0.9549140681029411</v>
      </c>
      <c r="C67">
        <f t="shared" si="1"/>
        <v>0.5683746337890625</v>
      </c>
      <c r="D67">
        <f t="shared" si="2"/>
        <v>-0.4285011887550354</v>
      </c>
      <c r="E67">
        <f t="shared" si="3"/>
        <v>-0.376953125</v>
      </c>
      <c r="F67">
        <f t="shared" si="4"/>
        <v>-0.9166087806224823</v>
      </c>
      <c r="G67">
        <f t="shared" si="5"/>
        <v>-0.9394378662109375</v>
      </c>
    </row>
    <row r="68" spans="1:7" x14ac:dyDescent="0.35">
      <c r="A68">
        <f t="shared" si="6"/>
        <v>-0.75</v>
      </c>
      <c r="B68">
        <f t="shared" ref="B68:B131" si="11">TANH(A68/$A$2)</f>
        <v>-0.95404526017994873</v>
      </c>
      <c r="C68">
        <f t="shared" si="1"/>
        <v>0.5625</v>
      </c>
      <c r="D68">
        <f t="shared" si="2"/>
        <v>-0.421875</v>
      </c>
      <c r="E68">
        <f t="shared" si="3"/>
        <v>-0.375</v>
      </c>
      <c r="F68">
        <f t="shared" si="4"/>
        <v>-0.9140625</v>
      </c>
      <c r="G68">
        <f t="shared" si="5"/>
        <v>-0.9375</v>
      </c>
    </row>
    <row r="69" spans="1:7" x14ac:dyDescent="0.35">
      <c r="A69">
        <f t="shared" si="6"/>
        <v>-0.74609375</v>
      </c>
      <c r="B69">
        <f t="shared" si="11"/>
        <v>-0.95316011142824941</v>
      </c>
      <c r="C69">
        <f t="shared" ref="C69:C132" si="12">$A69^2</f>
        <v>0.5566558837890625</v>
      </c>
      <c r="D69">
        <f t="shared" ref="D69:D132" si="13">$C69*$A69</f>
        <v>-0.41531747579574585</v>
      </c>
      <c r="E69">
        <f t="shared" ref="E69:E132" si="14">$A69*$B$2</f>
        <v>-0.373046875</v>
      </c>
      <c r="F69">
        <f t="shared" ref="F69:F132" si="15">($A69+$E69-$B$2*$D69)*$D$2</f>
        <v>-0.91148188710212708</v>
      </c>
      <c r="G69">
        <f t="shared" ref="G69:G132" si="16">(A69- SIGN(A69)*A69^2*$H$2)*$G$2</f>
        <v>-0.9355316162109375</v>
      </c>
    </row>
    <row r="70" spans="1:7" x14ac:dyDescent="0.35">
      <c r="A70">
        <f t="shared" ref="A70:A133" si="17">A69+1/256</f>
        <v>-0.7421875</v>
      </c>
      <c r="B70">
        <f t="shared" si="11"/>
        <v>-0.95225833009513827</v>
      </c>
      <c r="C70">
        <f t="shared" si="12"/>
        <v>0.55084228515625</v>
      </c>
      <c r="D70">
        <f t="shared" si="13"/>
        <v>-0.4088282585144043</v>
      </c>
      <c r="E70">
        <f t="shared" si="14"/>
        <v>-0.37109375</v>
      </c>
      <c r="F70">
        <f t="shared" si="15"/>
        <v>-0.90886712074279785</v>
      </c>
      <c r="G70">
        <f t="shared" si="16"/>
        <v>-0.93353271484375</v>
      </c>
    </row>
    <row r="71" spans="1:7" x14ac:dyDescent="0.35">
      <c r="A71">
        <f t="shared" si="17"/>
        <v>-0.73828125</v>
      </c>
      <c r="B71">
        <f t="shared" si="11"/>
        <v>-0.95133961982464854</v>
      </c>
      <c r="C71">
        <f t="shared" si="12"/>
        <v>0.5450592041015625</v>
      </c>
      <c r="D71">
        <f t="shared" si="13"/>
        <v>-0.40240699052810669</v>
      </c>
      <c r="E71">
        <f t="shared" si="14"/>
        <v>-0.369140625</v>
      </c>
      <c r="F71">
        <f t="shared" si="15"/>
        <v>-0.90621837973594666</v>
      </c>
      <c r="G71">
        <f t="shared" si="16"/>
        <v>-0.9315032958984375</v>
      </c>
    </row>
    <row r="72" spans="1:7" x14ac:dyDescent="0.35">
      <c r="A72">
        <f t="shared" si="17"/>
        <v>-0.734375</v>
      </c>
      <c r="B72">
        <f t="shared" si="11"/>
        <v>-0.95040367960882866</v>
      </c>
      <c r="C72">
        <f t="shared" si="12"/>
        <v>0.539306640625</v>
      </c>
      <c r="D72">
        <f t="shared" si="13"/>
        <v>-0.39605331420898438</v>
      </c>
      <c r="E72">
        <f t="shared" si="14"/>
        <v>-0.3671875</v>
      </c>
      <c r="F72">
        <f t="shared" si="15"/>
        <v>-0.90353584289550781</v>
      </c>
      <c r="G72">
        <f t="shared" si="16"/>
        <v>-0.929443359375</v>
      </c>
    </row>
    <row r="73" spans="1:7" x14ac:dyDescent="0.35">
      <c r="A73">
        <f t="shared" si="17"/>
        <v>-0.73046875</v>
      </c>
      <c r="B73">
        <f t="shared" si="11"/>
        <v>-0.94945020373951461</v>
      </c>
      <c r="C73">
        <f t="shared" si="12"/>
        <v>0.5335845947265625</v>
      </c>
      <c r="D73">
        <f t="shared" si="13"/>
        <v>-0.3897668719291687</v>
      </c>
      <c r="E73">
        <f t="shared" si="14"/>
        <v>-0.365234375</v>
      </c>
      <c r="F73">
        <f t="shared" si="15"/>
        <v>-0.90081968903541565</v>
      </c>
      <c r="G73">
        <f t="shared" si="16"/>
        <v>-0.9273529052734375</v>
      </c>
    </row>
    <row r="74" spans="1:7" x14ac:dyDescent="0.35">
      <c r="A74">
        <f t="shared" si="17"/>
        <v>-0.7265625</v>
      </c>
      <c r="B74">
        <f t="shared" si="11"/>
        <v>-0.94847888176066286</v>
      </c>
      <c r="C74">
        <f t="shared" si="12"/>
        <v>0.52789306640625</v>
      </c>
      <c r="D74">
        <f t="shared" si="13"/>
        <v>-0.38354730606079102</v>
      </c>
      <c r="E74">
        <f t="shared" si="14"/>
        <v>-0.36328125</v>
      </c>
      <c r="F74">
        <f t="shared" si="15"/>
        <v>-0.89807009696960449</v>
      </c>
      <c r="G74">
        <f t="shared" si="16"/>
        <v>-0.92523193359375</v>
      </c>
    </row>
    <row r="75" spans="1:7" x14ac:dyDescent="0.35">
      <c r="A75">
        <f t="shared" si="17"/>
        <v>-0.72265625</v>
      </c>
      <c r="B75">
        <f t="shared" si="11"/>
        <v>-0.94748939842129432</v>
      </c>
      <c r="C75">
        <f t="shared" si="12"/>
        <v>0.5222320556640625</v>
      </c>
      <c r="D75">
        <f t="shared" si="13"/>
        <v>-0.37739425897598267</v>
      </c>
      <c r="E75">
        <f t="shared" si="14"/>
        <v>-0.361328125</v>
      </c>
      <c r="F75">
        <f t="shared" si="15"/>
        <v>-0.89528724551200867</v>
      </c>
      <c r="G75">
        <f t="shared" si="16"/>
        <v>-0.9230804443359375</v>
      </c>
    </row>
    <row r="76" spans="1:7" x14ac:dyDescent="0.35">
      <c r="A76">
        <f t="shared" si="17"/>
        <v>-0.71875</v>
      </c>
      <c r="B76">
        <f t="shared" si="11"/>
        <v>-0.94648143362911374</v>
      </c>
      <c r="C76">
        <f t="shared" si="12"/>
        <v>0.5166015625</v>
      </c>
      <c r="D76">
        <f t="shared" si="13"/>
        <v>-0.371307373046875</v>
      </c>
      <c r="E76">
        <f t="shared" si="14"/>
        <v>-0.359375</v>
      </c>
      <c r="F76">
        <f t="shared" si="15"/>
        <v>-0.8924713134765625</v>
      </c>
      <c r="G76">
        <f t="shared" si="16"/>
        <v>-0.9208984375</v>
      </c>
    </row>
    <row r="77" spans="1:7" x14ac:dyDescent="0.35">
      <c r="A77">
        <f t="shared" si="17"/>
        <v>-0.71484375</v>
      </c>
      <c r="B77">
        <f t="shared" si="11"/>
        <v>-0.94545466240486853</v>
      </c>
      <c r="C77">
        <f t="shared" si="12"/>
        <v>0.5110015869140625</v>
      </c>
      <c r="D77">
        <f t="shared" si="13"/>
        <v>-0.36528629064559937</v>
      </c>
      <c r="E77">
        <f t="shared" si="14"/>
        <v>-0.357421875</v>
      </c>
      <c r="F77">
        <f t="shared" si="15"/>
        <v>-0.88962247967720032</v>
      </c>
      <c r="G77">
        <f t="shared" si="16"/>
        <v>-0.9186859130859375</v>
      </c>
    </row>
    <row r="78" spans="1:7" x14ac:dyDescent="0.35">
      <c r="A78">
        <f t="shared" si="17"/>
        <v>-0.7109375</v>
      </c>
      <c r="B78">
        <f t="shared" si="11"/>
        <v>-0.94440875483750997</v>
      </c>
      <c r="C78">
        <f t="shared" si="12"/>
        <v>0.50543212890625</v>
      </c>
      <c r="D78">
        <f t="shared" si="13"/>
        <v>-0.35933065414428711</v>
      </c>
      <c r="E78">
        <f t="shared" si="14"/>
        <v>-0.35546875</v>
      </c>
      <c r="F78">
        <f t="shared" si="15"/>
        <v>-0.88674092292785645</v>
      </c>
      <c r="G78">
        <f t="shared" si="16"/>
        <v>-0.91644287109375</v>
      </c>
    </row>
    <row r="79" spans="1:7" x14ac:dyDescent="0.35">
      <c r="A79">
        <f t="shared" si="17"/>
        <v>-0.70703125</v>
      </c>
      <c r="B79">
        <f t="shared" si="11"/>
        <v>-0.94334337604022733</v>
      </c>
      <c r="C79">
        <f t="shared" si="12"/>
        <v>0.4998931884765625</v>
      </c>
      <c r="D79">
        <f t="shared" si="13"/>
        <v>-0.35344010591506958</v>
      </c>
      <c r="E79">
        <f t="shared" si="14"/>
        <v>-0.353515625</v>
      </c>
      <c r="F79">
        <f t="shared" si="15"/>
        <v>-0.88382682204246521</v>
      </c>
      <c r="G79">
        <f t="shared" si="16"/>
        <v>-0.9141693115234375</v>
      </c>
    </row>
    <row r="80" spans="1:7" x14ac:dyDescent="0.35">
      <c r="A80">
        <f t="shared" si="17"/>
        <v>-0.703125</v>
      </c>
      <c r="B80">
        <f t="shared" si="11"/>
        <v>-0.94225818610742429</v>
      </c>
      <c r="C80">
        <f t="shared" si="12"/>
        <v>0.494384765625</v>
      </c>
      <c r="D80">
        <f t="shared" si="13"/>
        <v>-0.34761428833007813</v>
      </c>
      <c r="E80">
        <f t="shared" si="14"/>
        <v>-0.3515625</v>
      </c>
      <c r="F80">
        <f t="shared" si="15"/>
        <v>-0.88088035583496094</v>
      </c>
      <c r="G80">
        <f t="shared" si="16"/>
        <v>-0.911865234375</v>
      </c>
    </row>
    <row r="81" spans="1:7" x14ac:dyDescent="0.35">
      <c r="A81">
        <f t="shared" si="17"/>
        <v>-0.69921875</v>
      </c>
      <c r="B81">
        <f t="shared" si="11"/>
        <v>-0.94115284007271249</v>
      </c>
      <c r="C81">
        <f t="shared" si="12"/>
        <v>0.4889068603515625</v>
      </c>
      <c r="D81">
        <f t="shared" si="13"/>
        <v>-0.34185284376144409</v>
      </c>
      <c r="E81">
        <f t="shared" si="14"/>
        <v>-0.349609375</v>
      </c>
      <c r="F81">
        <f t="shared" si="15"/>
        <v>-0.87790170311927795</v>
      </c>
      <c r="G81">
        <f t="shared" si="16"/>
        <v>-0.9095306396484375</v>
      </c>
    </row>
    <row r="82" spans="1:7" x14ac:dyDescent="0.35">
      <c r="A82">
        <f t="shared" si="17"/>
        <v>-0.6953125</v>
      </c>
      <c r="B82">
        <f t="shared" si="11"/>
        <v>-0.94002698786799688</v>
      </c>
      <c r="C82">
        <f t="shared" si="12"/>
        <v>0.48345947265625</v>
      </c>
      <c r="D82">
        <f t="shared" si="13"/>
        <v>-0.33615541458129883</v>
      </c>
      <c r="E82">
        <f t="shared" si="14"/>
        <v>-0.34765625</v>
      </c>
      <c r="F82">
        <f t="shared" si="15"/>
        <v>-0.87489104270935059</v>
      </c>
      <c r="G82">
        <f t="shared" si="16"/>
        <v>-0.90716552734375</v>
      </c>
    </row>
    <row r="83" spans="1:7" x14ac:dyDescent="0.35">
      <c r="A83">
        <f t="shared" si="17"/>
        <v>-0.69140625</v>
      </c>
      <c r="B83">
        <f t="shared" si="11"/>
        <v>-0.93888027428373422</v>
      </c>
      <c r="C83">
        <f t="shared" si="12"/>
        <v>0.4780426025390625</v>
      </c>
      <c r="D83">
        <f t="shared" si="13"/>
        <v>-0.33052164316177368</v>
      </c>
      <c r="E83">
        <f t="shared" si="14"/>
        <v>-0.345703125</v>
      </c>
      <c r="F83">
        <f t="shared" si="15"/>
        <v>-0.87184855341911316</v>
      </c>
      <c r="G83">
        <f t="shared" si="16"/>
        <v>-0.9047698974609375</v>
      </c>
    </row>
    <row r="84" spans="1:7" x14ac:dyDescent="0.35">
      <c r="A84">
        <f t="shared" si="17"/>
        <v>-0.6875</v>
      </c>
      <c r="B84">
        <f t="shared" si="11"/>
        <v>-0.93771233893044315</v>
      </c>
      <c r="C84">
        <f t="shared" si="12"/>
        <v>0.47265625</v>
      </c>
      <c r="D84">
        <f t="shared" si="13"/>
        <v>-0.324951171875</v>
      </c>
      <c r="E84">
        <f t="shared" si="14"/>
        <v>-0.34375</v>
      </c>
      <c r="F84">
        <f t="shared" si="15"/>
        <v>-0.8687744140625</v>
      </c>
      <c r="G84">
        <f t="shared" si="16"/>
        <v>-0.90234375</v>
      </c>
    </row>
    <row r="85" spans="1:7" x14ac:dyDescent="0.35">
      <c r="A85">
        <f t="shared" si="17"/>
        <v>-0.68359375</v>
      </c>
      <c r="B85">
        <f t="shared" si="11"/>
        <v>-0.93652281620155409</v>
      </c>
      <c r="C85">
        <f t="shared" si="12"/>
        <v>0.4673004150390625</v>
      </c>
      <c r="D85">
        <f t="shared" si="13"/>
        <v>-0.31944364309310913</v>
      </c>
      <c r="E85">
        <f t="shared" si="14"/>
        <v>-0.341796875</v>
      </c>
      <c r="F85">
        <f t="shared" si="15"/>
        <v>-0.86566880345344543</v>
      </c>
      <c r="G85">
        <f t="shared" si="16"/>
        <v>-0.8998870849609375</v>
      </c>
    </row>
    <row r="86" spans="1:7" x14ac:dyDescent="0.35">
      <c r="A86">
        <f t="shared" si="17"/>
        <v>-0.6796875</v>
      </c>
      <c r="B86">
        <f t="shared" si="11"/>
        <v>-0.93531133523768573</v>
      </c>
      <c r="C86">
        <f t="shared" si="12"/>
        <v>0.46197509765625</v>
      </c>
      <c r="D86">
        <f t="shared" si="13"/>
        <v>-0.31399869918823242</v>
      </c>
      <c r="E86">
        <f t="shared" si="14"/>
        <v>-0.33984375</v>
      </c>
      <c r="F86">
        <f t="shared" si="15"/>
        <v>-0.86253190040588379</v>
      </c>
      <c r="G86">
        <f t="shared" si="16"/>
        <v>-0.89739990234375</v>
      </c>
    </row>
    <row r="87" spans="1:7" x14ac:dyDescent="0.35">
      <c r="A87">
        <f t="shared" si="17"/>
        <v>-0.67578125</v>
      </c>
      <c r="B87">
        <f t="shared" si="11"/>
        <v>-0.93407751989243748</v>
      </c>
      <c r="C87">
        <f t="shared" si="12"/>
        <v>0.4566802978515625</v>
      </c>
      <c r="D87">
        <f t="shared" si="13"/>
        <v>-0.30861598253250122</v>
      </c>
      <c r="E87">
        <f t="shared" si="14"/>
        <v>-0.337890625</v>
      </c>
      <c r="F87">
        <f t="shared" si="15"/>
        <v>-0.85936388373374939</v>
      </c>
      <c r="G87">
        <f t="shared" si="16"/>
        <v>-0.8948822021484375</v>
      </c>
    </row>
    <row r="88" spans="1:7" x14ac:dyDescent="0.35">
      <c r="A88">
        <f t="shared" si="17"/>
        <v>-0.671875</v>
      </c>
      <c r="B88">
        <f t="shared" si="11"/>
        <v>-0.93282098869979191</v>
      </c>
      <c r="C88">
        <f t="shared" si="12"/>
        <v>0.451416015625</v>
      </c>
      <c r="D88">
        <f t="shared" si="13"/>
        <v>-0.30329513549804688</v>
      </c>
      <c r="E88">
        <f t="shared" si="14"/>
        <v>-0.3359375</v>
      </c>
      <c r="F88">
        <f t="shared" si="15"/>
        <v>-0.85616493225097656</v>
      </c>
      <c r="G88">
        <f t="shared" si="16"/>
        <v>-0.892333984375</v>
      </c>
    </row>
    <row r="89" spans="1:7" x14ac:dyDescent="0.35">
      <c r="A89">
        <f t="shared" si="17"/>
        <v>-0.66796875</v>
      </c>
      <c r="B89">
        <f t="shared" si="11"/>
        <v>-0.93154135484322886</v>
      </c>
      <c r="C89">
        <f t="shared" si="12"/>
        <v>0.4461822509765625</v>
      </c>
      <c r="D89">
        <f t="shared" si="13"/>
        <v>-0.29803580045700073</v>
      </c>
      <c r="E89">
        <f t="shared" si="14"/>
        <v>-0.333984375</v>
      </c>
      <c r="F89">
        <f t="shared" si="15"/>
        <v>-0.85293522477149963</v>
      </c>
      <c r="G89">
        <f t="shared" si="16"/>
        <v>-0.8897552490234375</v>
      </c>
    </row>
    <row r="90" spans="1:7" x14ac:dyDescent="0.35">
      <c r="A90">
        <f t="shared" si="17"/>
        <v>-0.6640625</v>
      </c>
      <c r="B90">
        <f t="shared" si="11"/>
        <v>-0.93023822612664153</v>
      </c>
      <c r="C90">
        <f t="shared" si="12"/>
        <v>0.44097900390625</v>
      </c>
      <c r="D90">
        <f t="shared" si="13"/>
        <v>-0.29283761978149414</v>
      </c>
      <c r="E90">
        <f t="shared" si="14"/>
        <v>-0.33203125</v>
      </c>
      <c r="F90">
        <f t="shared" si="15"/>
        <v>-0.84967494010925293</v>
      </c>
      <c r="G90">
        <f t="shared" si="16"/>
        <v>-0.88714599609375</v>
      </c>
    </row>
    <row r="91" spans="1:7" x14ac:dyDescent="0.35">
      <c r="A91">
        <f t="shared" si="17"/>
        <v>-0.66015625</v>
      </c>
      <c r="B91">
        <f t="shared" si="11"/>
        <v>-0.92891120494717039</v>
      </c>
      <c r="C91">
        <f t="shared" si="12"/>
        <v>0.4358062744140625</v>
      </c>
      <c r="D91">
        <f t="shared" si="13"/>
        <v>-0.28770023584365845</v>
      </c>
      <c r="E91">
        <f t="shared" si="14"/>
        <v>-0.330078125</v>
      </c>
      <c r="F91">
        <f t="shared" si="15"/>
        <v>-0.84638425707817078</v>
      </c>
      <c r="G91">
        <f t="shared" si="16"/>
        <v>-0.8845062255859375</v>
      </c>
    </row>
    <row r="92" spans="1:7" x14ac:dyDescent="0.35">
      <c r="A92">
        <f t="shared" si="17"/>
        <v>-0.65625</v>
      </c>
      <c r="B92">
        <f t="shared" si="11"/>
        <v>-0.92755988827005054</v>
      </c>
      <c r="C92">
        <f t="shared" si="12"/>
        <v>0.4306640625</v>
      </c>
      <c r="D92">
        <f t="shared" si="13"/>
        <v>-0.282623291015625</v>
      </c>
      <c r="E92">
        <f t="shared" si="14"/>
        <v>-0.328125</v>
      </c>
      <c r="F92">
        <f t="shared" si="15"/>
        <v>-0.8430633544921875</v>
      </c>
      <c r="G92">
        <f t="shared" si="16"/>
        <v>-0.8818359375</v>
      </c>
    </row>
    <row r="93" spans="1:7" x14ac:dyDescent="0.35">
      <c r="A93">
        <f t="shared" si="17"/>
        <v>-0.65234375</v>
      </c>
      <c r="B93">
        <f t="shared" si="11"/>
        <v>-0.92618386760558979</v>
      </c>
      <c r="C93">
        <f t="shared" si="12"/>
        <v>0.4255523681640625</v>
      </c>
      <c r="D93">
        <f t="shared" si="13"/>
        <v>-0.27760642766952515</v>
      </c>
      <c r="E93">
        <f t="shared" si="14"/>
        <v>-0.326171875</v>
      </c>
      <c r="F93">
        <f t="shared" si="15"/>
        <v>-0.83971241116523743</v>
      </c>
      <c r="G93">
        <f t="shared" si="16"/>
        <v>-0.8791351318359375</v>
      </c>
    </row>
    <row r="94" spans="1:7" x14ac:dyDescent="0.35">
      <c r="A94">
        <f t="shared" si="17"/>
        <v>-0.6484375</v>
      </c>
      <c r="B94">
        <f t="shared" si="11"/>
        <v>-0.92478272898838698</v>
      </c>
      <c r="C94">
        <f t="shared" si="12"/>
        <v>0.42047119140625</v>
      </c>
      <c r="D94">
        <f t="shared" si="13"/>
        <v>-0.27264928817749023</v>
      </c>
      <c r="E94">
        <f t="shared" si="14"/>
        <v>-0.32421875</v>
      </c>
      <c r="F94">
        <f t="shared" si="15"/>
        <v>-0.83633160591125488</v>
      </c>
      <c r="G94">
        <f t="shared" si="16"/>
        <v>-0.87640380859375</v>
      </c>
    </row>
    <row r="95" spans="1:7" x14ac:dyDescent="0.35">
      <c r="A95">
        <f t="shared" si="17"/>
        <v>-0.64453125</v>
      </c>
      <c r="B95">
        <f t="shared" si="11"/>
        <v>-0.92335605295890888</v>
      </c>
      <c r="C95">
        <f t="shared" si="12"/>
        <v>0.4154205322265625</v>
      </c>
      <c r="D95">
        <f t="shared" si="13"/>
        <v>-0.26775151491165161</v>
      </c>
      <c r="E95">
        <f t="shared" si="14"/>
        <v>-0.322265625</v>
      </c>
      <c r="F95">
        <f t="shared" si="15"/>
        <v>-0.83292111754417419</v>
      </c>
      <c r="G95">
        <f t="shared" si="16"/>
        <v>-0.8736419677734375</v>
      </c>
    </row>
    <row r="96" spans="1:7" x14ac:dyDescent="0.35">
      <c r="A96">
        <f t="shared" si="17"/>
        <v>-0.640625</v>
      </c>
      <c r="B96">
        <f t="shared" si="11"/>
        <v>-0.92190341454754732</v>
      </c>
      <c r="C96">
        <f t="shared" si="12"/>
        <v>0.410400390625</v>
      </c>
      <c r="D96">
        <f t="shared" si="13"/>
        <v>-0.26291275024414063</v>
      </c>
      <c r="E96">
        <f t="shared" si="14"/>
        <v>-0.3203125</v>
      </c>
      <c r="F96">
        <f t="shared" si="15"/>
        <v>-0.82948112487792969</v>
      </c>
      <c r="G96">
        <f t="shared" si="16"/>
        <v>-0.870849609375</v>
      </c>
    </row>
    <row r="97" spans="1:7" x14ac:dyDescent="0.35">
      <c r="A97">
        <f t="shared" si="17"/>
        <v>-0.63671875</v>
      </c>
      <c r="B97">
        <f t="shared" si="11"/>
        <v>-0.92042438326127507</v>
      </c>
      <c r="C97">
        <f t="shared" si="12"/>
        <v>0.4054107666015625</v>
      </c>
      <c r="D97">
        <f t="shared" si="13"/>
        <v>-0.25813263654708862</v>
      </c>
      <c r="E97">
        <f t="shared" si="14"/>
        <v>-0.318359375</v>
      </c>
      <c r="F97">
        <f t="shared" si="15"/>
        <v>-0.82601180672645569</v>
      </c>
      <c r="G97">
        <f t="shared" si="16"/>
        <v>-0.8680267333984375</v>
      </c>
    </row>
    <row r="98" spans="1:7" x14ac:dyDescent="0.35">
      <c r="A98">
        <f t="shared" si="17"/>
        <v>-0.6328125</v>
      </c>
      <c r="B98">
        <f t="shared" si="11"/>
        <v>-0.91891852307303634</v>
      </c>
      <c r="C98">
        <f t="shared" si="12"/>
        <v>0.40045166015625</v>
      </c>
      <c r="D98">
        <f t="shared" si="13"/>
        <v>-0.25341081619262695</v>
      </c>
      <c r="E98">
        <f t="shared" si="14"/>
        <v>-0.31640625</v>
      </c>
      <c r="F98">
        <f t="shared" si="15"/>
        <v>-0.82251334190368652</v>
      </c>
      <c r="G98">
        <f t="shared" si="16"/>
        <v>-0.86517333984375</v>
      </c>
    </row>
    <row r="99" spans="1:7" x14ac:dyDescent="0.35">
      <c r="A99">
        <f t="shared" si="17"/>
        <v>-0.62890625</v>
      </c>
      <c r="B99">
        <f t="shared" si="11"/>
        <v>-0.91738539241399131</v>
      </c>
      <c r="C99">
        <f t="shared" si="12"/>
        <v>0.3955230712890625</v>
      </c>
      <c r="D99">
        <f t="shared" si="13"/>
        <v>-0.24874693155288696</v>
      </c>
      <c r="E99">
        <f t="shared" si="14"/>
        <v>-0.314453125</v>
      </c>
      <c r="F99">
        <f t="shared" si="15"/>
        <v>-0.81898590922355652</v>
      </c>
      <c r="G99">
        <f t="shared" si="16"/>
        <v>-0.8622894287109375</v>
      </c>
    </row>
    <row r="100" spans="1:7" x14ac:dyDescent="0.35">
      <c r="A100">
        <f t="shared" si="17"/>
        <v>-0.625</v>
      </c>
      <c r="B100">
        <f t="shared" si="11"/>
        <v>-0.91582454416876236</v>
      </c>
      <c r="C100">
        <f t="shared" si="12"/>
        <v>0.390625</v>
      </c>
      <c r="D100">
        <f t="shared" si="13"/>
        <v>-0.244140625</v>
      </c>
      <c r="E100">
        <f t="shared" si="14"/>
        <v>-0.3125</v>
      </c>
      <c r="F100">
        <f t="shared" si="15"/>
        <v>-0.8154296875</v>
      </c>
      <c r="G100">
        <f t="shared" si="16"/>
        <v>-0.859375</v>
      </c>
    </row>
    <row r="101" spans="1:7" x14ac:dyDescent="0.35">
      <c r="A101">
        <f t="shared" si="17"/>
        <v>-0.62109375</v>
      </c>
      <c r="B101">
        <f t="shared" si="11"/>
        <v>-0.91423552567380584</v>
      </c>
      <c r="C101">
        <f t="shared" si="12"/>
        <v>0.3857574462890625</v>
      </c>
      <c r="D101">
        <f t="shared" si="13"/>
        <v>-0.23959153890609741</v>
      </c>
      <c r="E101">
        <f t="shared" si="14"/>
        <v>-0.310546875</v>
      </c>
      <c r="F101">
        <f t="shared" si="15"/>
        <v>-0.81184485554695129</v>
      </c>
      <c r="G101">
        <f t="shared" si="16"/>
        <v>-0.8564300537109375</v>
      </c>
    </row>
    <row r="102" spans="1:7" x14ac:dyDescent="0.35">
      <c r="A102">
        <f t="shared" si="17"/>
        <v>-0.6171875</v>
      </c>
      <c r="B102">
        <f t="shared" si="11"/>
        <v>-0.91261787871906375</v>
      </c>
      <c r="C102">
        <f t="shared" si="12"/>
        <v>0.38092041015625</v>
      </c>
      <c r="D102">
        <f t="shared" si="13"/>
        <v>-0.23509931564331055</v>
      </c>
      <c r="E102">
        <f t="shared" si="14"/>
        <v>-0.30859375</v>
      </c>
      <c r="F102">
        <f t="shared" si="15"/>
        <v>-0.80823159217834473</v>
      </c>
      <c r="G102">
        <f t="shared" si="16"/>
        <v>-0.85345458984375</v>
      </c>
    </row>
    <row r="103" spans="1:7" x14ac:dyDescent="0.35">
      <c r="A103">
        <f t="shared" si="17"/>
        <v>-0.61328125</v>
      </c>
      <c r="B103">
        <f t="shared" si="11"/>
        <v>-0.91097113955303022</v>
      </c>
      <c r="C103">
        <f t="shared" si="12"/>
        <v>0.3761138916015625</v>
      </c>
      <c r="D103">
        <f t="shared" si="13"/>
        <v>-0.23066359758377075</v>
      </c>
      <c r="E103">
        <f t="shared" si="14"/>
        <v>-0.306640625</v>
      </c>
      <c r="F103">
        <f t="shared" si="15"/>
        <v>-0.80459007620811462</v>
      </c>
      <c r="G103">
        <f t="shared" si="16"/>
        <v>-0.8504486083984375</v>
      </c>
    </row>
    <row r="104" spans="1:7" x14ac:dyDescent="0.35">
      <c r="A104">
        <f t="shared" si="17"/>
        <v>-0.609375</v>
      </c>
      <c r="B104">
        <f t="shared" si="11"/>
        <v>-0.90929483889138707</v>
      </c>
      <c r="C104">
        <f t="shared" si="12"/>
        <v>0.371337890625</v>
      </c>
      <c r="D104">
        <f t="shared" si="13"/>
        <v>-0.22628402709960938</v>
      </c>
      <c r="E104">
        <f t="shared" si="14"/>
        <v>-0.3046875</v>
      </c>
      <c r="F104">
        <f t="shared" si="15"/>
        <v>-0.80092048645019531</v>
      </c>
      <c r="G104">
        <f t="shared" si="16"/>
        <v>-0.847412109375</v>
      </c>
    </row>
    <row r="105" spans="1:7" x14ac:dyDescent="0.35">
      <c r="A105">
        <f t="shared" si="17"/>
        <v>-0.60546875</v>
      </c>
      <c r="B105">
        <f t="shared" si="11"/>
        <v>-0.90758850192936102</v>
      </c>
      <c r="C105">
        <f t="shared" si="12"/>
        <v>0.3665924072265625</v>
      </c>
      <c r="D105">
        <f t="shared" si="13"/>
        <v>-0.22196024656295776</v>
      </c>
      <c r="E105">
        <f t="shared" si="14"/>
        <v>-0.302734375</v>
      </c>
      <c r="F105">
        <f t="shared" si="15"/>
        <v>-0.79722300171852112</v>
      </c>
      <c r="G105">
        <f t="shared" si="16"/>
        <v>-0.8443450927734375</v>
      </c>
    </row>
    <row r="106" spans="1:7" x14ac:dyDescent="0.35">
      <c r="A106">
        <f t="shared" si="17"/>
        <v>-0.6015625</v>
      </c>
      <c r="B106">
        <f t="shared" si="11"/>
        <v>-0.90585164835795184</v>
      </c>
      <c r="C106">
        <f t="shared" si="12"/>
        <v>0.36187744140625</v>
      </c>
      <c r="D106">
        <f t="shared" si="13"/>
        <v>-0.21769189834594727</v>
      </c>
      <c r="E106">
        <f t="shared" si="14"/>
        <v>-0.30078125</v>
      </c>
      <c r="F106">
        <f t="shared" si="15"/>
        <v>-0.79349780082702637</v>
      </c>
      <c r="G106">
        <f t="shared" si="16"/>
        <v>-0.84124755859375</v>
      </c>
    </row>
    <row r="107" spans="1:7" x14ac:dyDescent="0.35">
      <c r="A107">
        <f t="shared" si="17"/>
        <v>-0.59765625</v>
      </c>
      <c r="B107">
        <f t="shared" si="11"/>
        <v>-0.90408379238420045</v>
      </c>
      <c r="C107">
        <f t="shared" si="12"/>
        <v>0.3571929931640625</v>
      </c>
      <c r="D107">
        <f t="shared" si="13"/>
        <v>-0.21347862482070923</v>
      </c>
      <c r="E107">
        <f t="shared" si="14"/>
        <v>-0.298828125</v>
      </c>
      <c r="F107">
        <f t="shared" si="15"/>
        <v>-0.78974506258964539</v>
      </c>
      <c r="G107">
        <f t="shared" si="16"/>
        <v>-0.8381195068359375</v>
      </c>
    </row>
    <row r="108" spans="1:7" x14ac:dyDescent="0.35">
      <c r="A108">
        <f t="shared" si="17"/>
        <v>-0.59375</v>
      </c>
      <c r="B108">
        <f t="shared" si="11"/>
        <v>-0.90228444275565034</v>
      </c>
      <c r="C108">
        <f t="shared" si="12"/>
        <v>0.3525390625</v>
      </c>
      <c r="D108">
        <f t="shared" si="13"/>
        <v>-0.209320068359375</v>
      </c>
      <c r="E108">
        <f t="shared" si="14"/>
        <v>-0.296875</v>
      </c>
      <c r="F108">
        <f t="shared" si="15"/>
        <v>-0.7859649658203125</v>
      </c>
      <c r="G108">
        <f t="shared" si="16"/>
        <v>-0.8349609375</v>
      </c>
    </row>
    <row r="109" spans="1:7" x14ac:dyDescent="0.35">
      <c r="A109">
        <f t="shared" si="17"/>
        <v>-0.58984375</v>
      </c>
      <c r="B109">
        <f t="shared" si="11"/>
        <v>-0.90045310278917501</v>
      </c>
      <c r="C109">
        <f t="shared" si="12"/>
        <v>0.3479156494140625</v>
      </c>
      <c r="D109">
        <f t="shared" si="13"/>
        <v>-0.20521587133407593</v>
      </c>
      <c r="E109">
        <f t="shared" si="14"/>
        <v>-0.294921875</v>
      </c>
      <c r="F109">
        <f t="shared" si="15"/>
        <v>-0.78215768933296204</v>
      </c>
      <c r="G109">
        <f t="shared" si="16"/>
        <v>-0.8317718505859375</v>
      </c>
    </row>
    <row r="110" spans="1:7" x14ac:dyDescent="0.35">
      <c r="A110">
        <f t="shared" si="17"/>
        <v>-0.5859375</v>
      </c>
      <c r="B110">
        <f t="shared" si="11"/>
        <v>-0.89858927040433911</v>
      </c>
      <c r="C110">
        <f t="shared" si="12"/>
        <v>0.34332275390625</v>
      </c>
      <c r="D110">
        <f t="shared" si="13"/>
        <v>-0.20116567611694336</v>
      </c>
      <c r="E110">
        <f t="shared" si="14"/>
        <v>-0.29296875</v>
      </c>
      <c r="F110">
        <f t="shared" si="15"/>
        <v>-0.77832341194152832</v>
      </c>
      <c r="G110">
        <f t="shared" si="16"/>
        <v>-0.82855224609375</v>
      </c>
    </row>
    <row r="111" spans="1:7" x14ac:dyDescent="0.35">
      <c r="A111">
        <f t="shared" si="17"/>
        <v>-0.58203125</v>
      </c>
      <c r="B111">
        <f t="shared" si="11"/>
        <v>-0.89669243816146249</v>
      </c>
      <c r="C111">
        <f t="shared" si="12"/>
        <v>0.3387603759765625</v>
      </c>
      <c r="D111">
        <f t="shared" si="13"/>
        <v>-0.19716912508010864</v>
      </c>
      <c r="E111">
        <f t="shared" si="14"/>
        <v>-0.291015625</v>
      </c>
      <c r="F111">
        <f t="shared" si="15"/>
        <v>-0.77446231245994568</v>
      </c>
      <c r="G111">
        <f t="shared" si="16"/>
        <v>-0.8253021240234375</v>
      </c>
    </row>
    <row r="112" spans="1:7" x14ac:dyDescent="0.35">
      <c r="A112">
        <f t="shared" si="17"/>
        <v>-0.578125</v>
      </c>
      <c r="B112">
        <f t="shared" si="11"/>
        <v>-0.89476209330457257</v>
      </c>
      <c r="C112">
        <f t="shared" si="12"/>
        <v>0.334228515625</v>
      </c>
      <c r="D112">
        <f t="shared" si="13"/>
        <v>-0.19322586059570313</v>
      </c>
      <c r="E112">
        <f t="shared" si="14"/>
        <v>-0.2890625</v>
      </c>
      <c r="F112">
        <f t="shared" si="15"/>
        <v>-0.77057456970214844</v>
      </c>
      <c r="G112">
        <f t="shared" si="16"/>
        <v>-0.822021484375</v>
      </c>
    </row>
    <row r="113" spans="1:7" x14ac:dyDescent="0.35">
      <c r="A113">
        <f t="shared" si="17"/>
        <v>-0.57421875</v>
      </c>
      <c r="B113">
        <f t="shared" si="11"/>
        <v>-0.89279771780941164</v>
      </c>
      <c r="C113">
        <f t="shared" si="12"/>
        <v>0.3297271728515625</v>
      </c>
      <c r="D113">
        <f t="shared" si="13"/>
        <v>-0.18933552503585815</v>
      </c>
      <c r="E113">
        <f t="shared" si="14"/>
        <v>-0.287109375</v>
      </c>
      <c r="F113">
        <f t="shared" si="15"/>
        <v>-0.76666036248207092</v>
      </c>
      <c r="G113">
        <f t="shared" si="16"/>
        <v>-0.8187103271484375</v>
      </c>
    </row>
    <row r="114" spans="1:7" x14ac:dyDescent="0.35">
      <c r="A114">
        <f t="shared" si="17"/>
        <v>-0.5703125</v>
      </c>
      <c r="B114">
        <f t="shared" si="11"/>
        <v>-0.89079878843669513</v>
      </c>
      <c r="C114">
        <f t="shared" si="12"/>
        <v>0.32525634765625</v>
      </c>
      <c r="D114">
        <f t="shared" si="13"/>
        <v>-0.18549776077270508</v>
      </c>
      <c r="E114">
        <f t="shared" si="14"/>
        <v>-0.28515625</v>
      </c>
      <c r="F114">
        <f t="shared" si="15"/>
        <v>-0.76271986961364746</v>
      </c>
      <c r="G114">
        <f t="shared" si="16"/>
        <v>-0.81536865234375</v>
      </c>
    </row>
    <row r="115" spans="1:7" x14ac:dyDescent="0.35">
      <c r="A115">
        <f t="shared" si="17"/>
        <v>-0.56640625</v>
      </c>
      <c r="B115">
        <f t="shared" si="11"/>
        <v>-0.88876477679079691</v>
      </c>
      <c r="C115">
        <f t="shared" si="12"/>
        <v>0.3208160400390625</v>
      </c>
      <c r="D115">
        <f t="shared" si="13"/>
        <v>-0.18171221017837524</v>
      </c>
      <c r="E115">
        <f t="shared" si="14"/>
        <v>-0.283203125</v>
      </c>
      <c r="F115">
        <f t="shared" si="15"/>
        <v>-0.75875326991081238</v>
      </c>
      <c r="G115">
        <f t="shared" si="16"/>
        <v>-0.8119964599609375</v>
      </c>
    </row>
    <row r="116" spans="1:7" x14ac:dyDescent="0.35">
      <c r="A116">
        <f t="shared" si="17"/>
        <v>-0.5625</v>
      </c>
      <c r="B116">
        <f t="shared" si="11"/>
        <v>-0.88669514938405225</v>
      </c>
      <c r="C116">
        <f t="shared" si="12"/>
        <v>0.31640625</v>
      </c>
      <c r="D116">
        <f t="shared" si="13"/>
        <v>-0.177978515625</v>
      </c>
      <c r="E116">
        <f t="shared" si="14"/>
        <v>-0.28125</v>
      </c>
      <c r="F116">
        <f t="shared" si="15"/>
        <v>-0.7547607421875</v>
      </c>
      <c r="G116">
        <f t="shared" si="16"/>
        <v>-0.80859375</v>
      </c>
    </row>
    <row r="117" spans="1:7" x14ac:dyDescent="0.35">
      <c r="A117">
        <f t="shared" si="17"/>
        <v>-0.55859375</v>
      </c>
      <c r="B117">
        <f t="shared" si="11"/>
        <v>-0.88458936770687335</v>
      </c>
      <c r="C117">
        <f t="shared" si="12"/>
        <v>0.3120269775390625</v>
      </c>
      <c r="D117">
        <f t="shared" si="13"/>
        <v>-0.17429631948471069</v>
      </c>
      <c r="E117">
        <f t="shared" si="14"/>
        <v>-0.279296875</v>
      </c>
      <c r="F117">
        <f t="shared" si="15"/>
        <v>-0.75074246525764465</v>
      </c>
      <c r="G117">
        <f t="shared" si="16"/>
        <v>-0.8051605224609375</v>
      </c>
    </row>
    <row r="118" spans="1:7" x14ac:dyDescent="0.35">
      <c r="A118">
        <f t="shared" si="17"/>
        <v>-0.5546875</v>
      </c>
      <c r="B118">
        <f t="shared" si="11"/>
        <v>-0.88244688830386631</v>
      </c>
      <c r="C118">
        <f t="shared" si="12"/>
        <v>0.30767822265625</v>
      </c>
      <c r="D118">
        <f t="shared" si="13"/>
        <v>-0.17066526412963867</v>
      </c>
      <c r="E118">
        <f t="shared" si="14"/>
        <v>-0.27734375</v>
      </c>
      <c r="F118">
        <f t="shared" si="15"/>
        <v>-0.74669861793518066</v>
      </c>
      <c r="G118">
        <f t="shared" si="16"/>
        <v>-0.80169677734375</v>
      </c>
    </row>
    <row r="119" spans="1:7" x14ac:dyDescent="0.35">
      <c r="A119">
        <f t="shared" si="17"/>
        <v>-0.55078125</v>
      </c>
      <c r="B119">
        <f t="shared" si="11"/>
        <v>-0.8802671628561497</v>
      </c>
      <c r="C119">
        <f t="shared" si="12"/>
        <v>0.3033599853515625</v>
      </c>
      <c r="D119">
        <f t="shared" si="13"/>
        <v>-0.16708499193191528</v>
      </c>
      <c r="E119">
        <f t="shared" si="14"/>
        <v>-0.275390625</v>
      </c>
      <c r="F119">
        <f t="shared" si="15"/>
        <v>-0.74262937903404236</v>
      </c>
      <c r="G119">
        <f t="shared" si="16"/>
        <v>-0.7982025146484375</v>
      </c>
    </row>
    <row r="120" spans="1:7" x14ac:dyDescent="0.35">
      <c r="A120">
        <f t="shared" si="17"/>
        <v>-0.546875</v>
      </c>
      <c r="B120">
        <f t="shared" si="11"/>
        <v>-0.87804963827007032</v>
      </c>
      <c r="C120">
        <f t="shared" si="12"/>
        <v>0.299072265625</v>
      </c>
      <c r="D120">
        <f t="shared" si="13"/>
        <v>-0.16355514526367188</v>
      </c>
      <c r="E120">
        <f t="shared" si="14"/>
        <v>-0.2734375</v>
      </c>
      <c r="F120">
        <f t="shared" si="15"/>
        <v>-0.73853492736816406</v>
      </c>
      <c r="G120">
        <f t="shared" si="16"/>
        <v>-0.794677734375</v>
      </c>
    </row>
    <row r="121" spans="1:7" x14ac:dyDescent="0.35">
      <c r="A121">
        <f t="shared" si="17"/>
        <v>-0.54296875</v>
      </c>
      <c r="B121">
        <f t="shared" si="11"/>
        <v>-0.87579375677252014</v>
      </c>
      <c r="C121">
        <f t="shared" si="12"/>
        <v>0.2948150634765625</v>
      </c>
      <c r="D121">
        <f t="shared" si="13"/>
        <v>-0.16007536649703979</v>
      </c>
      <c r="E121">
        <f t="shared" si="14"/>
        <v>-0.271484375</v>
      </c>
      <c r="F121">
        <f t="shared" si="15"/>
        <v>-0.7344154417514801</v>
      </c>
      <c r="G121">
        <f t="shared" si="16"/>
        <v>-0.7911224365234375</v>
      </c>
    </row>
    <row r="122" spans="1:7" x14ac:dyDescent="0.35">
      <c r="A122">
        <f t="shared" si="17"/>
        <v>-0.5390625</v>
      </c>
      <c r="B122">
        <f t="shared" si="11"/>
        <v>-0.87349895601305361</v>
      </c>
      <c r="C122">
        <f t="shared" si="12"/>
        <v>0.29058837890625</v>
      </c>
      <c r="D122">
        <f t="shared" si="13"/>
        <v>-0.15664529800415039</v>
      </c>
      <c r="E122">
        <f t="shared" si="14"/>
        <v>-0.26953125</v>
      </c>
      <c r="F122">
        <f t="shared" si="15"/>
        <v>-0.7302711009979248</v>
      </c>
      <c r="G122">
        <f t="shared" si="16"/>
        <v>-0.78753662109375</v>
      </c>
    </row>
    <row r="123" spans="1:7" x14ac:dyDescent="0.35">
      <c r="A123">
        <f t="shared" si="17"/>
        <v>-0.53515625</v>
      </c>
      <c r="B123">
        <f t="shared" si="11"/>
        <v>-0.87116466917301194</v>
      </c>
      <c r="C123">
        <f t="shared" si="12"/>
        <v>0.2863922119140625</v>
      </c>
      <c r="D123">
        <f t="shared" si="13"/>
        <v>-0.15326458215713501</v>
      </c>
      <c r="E123">
        <f t="shared" si="14"/>
        <v>-0.267578125</v>
      </c>
      <c r="F123">
        <f t="shared" si="15"/>
        <v>-0.7261020839214325</v>
      </c>
      <c r="G123">
        <f t="shared" si="16"/>
        <v>-0.7839202880859375</v>
      </c>
    </row>
    <row r="124" spans="1:7" x14ac:dyDescent="0.35">
      <c r="A124">
        <f t="shared" si="17"/>
        <v>-0.53125</v>
      </c>
      <c r="B124">
        <f t="shared" si="11"/>
        <v>-0.86879032508186149</v>
      </c>
      <c r="C124">
        <f t="shared" si="12"/>
        <v>0.2822265625</v>
      </c>
      <c r="D124">
        <f t="shared" si="13"/>
        <v>-0.149932861328125</v>
      </c>
      <c r="E124">
        <f t="shared" si="14"/>
        <v>-0.265625</v>
      </c>
      <c r="F124">
        <f t="shared" si="15"/>
        <v>-0.7219085693359375</v>
      </c>
      <c r="G124">
        <f t="shared" si="16"/>
        <v>-0.7802734375</v>
      </c>
    </row>
    <row r="125" spans="1:7" x14ac:dyDescent="0.35">
      <c r="A125">
        <f t="shared" si="17"/>
        <v>-0.52734375</v>
      </c>
      <c r="B125">
        <f t="shared" si="11"/>
        <v>-0.86637534834094809</v>
      </c>
      <c r="C125">
        <f t="shared" si="12"/>
        <v>0.2780914306640625</v>
      </c>
      <c r="D125">
        <f t="shared" si="13"/>
        <v>-0.14664977788925171</v>
      </c>
      <c r="E125">
        <f t="shared" si="14"/>
        <v>-0.263671875</v>
      </c>
      <c r="F125">
        <f t="shared" si="15"/>
        <v>-0.71769073605537415</v>
      </c>
      <c r="G125">
        <f t="shared" si="16"/>
        <v>-0.7765960693359375</v>
      </c>
    </row>
    <row r="126" spans="1:7" x14ac:dyDescent="0.35">
      <c r="A126">
        <f t="shared" si="17"/>
        <v>-0.5234375</v>
      </c>
      <c r="B126">
        <f t="shared" si="11"/>
        <v>-0.86391915945488207</v>
      </c>
      <c r="C126">
        <f t="shared" si="12"/>
        <v>0.27398681640625</v>
      </c>
      <c r="D126">
        <f t="shared" si="13"/>
        <v>-0.14341497421264648</v>
      </c>
      <c r="E126">
        <f t="shared" si="14"/>
        <v>-0.26171875</v>
      </c>
      <c r="F126">
        <f t="shared" si="15"/>
        <v>-0.71344876289367676</v>
      </c>
      <c r="G126">
        <f t="shared" si="16"/>
        <v>-0.77288818359375</v>
      </c>
    </row>
    <row r="127" spans="1:7" x14ac:dyDescent="0.35">
      <c r="A127">
        <f t="shared" si="17"/>
        <v>-0.51953125</v>
      </c>
      <c r="B127">
        <f t="shared" si="11"/>
        <v>-0.86142117497075688</v>
      </c>
      <c r="C127">
        <f t="shared" si="12"/>
        <v>0.2699127197265625</v>
      </c>
      <c r="D127">
        <f t="shared" si="13"/>
        <v>-0.14022809267044067</v>
      </c>
      <c r="E127">
        <f t="shared" si="14"/>
        <v>-0.259765625</v>
      </c>
      <c r="F127">
        <f t="shared" si="15"/>
        <v>-0.70918282866477966</v>
      </c>
      <c r="G127">
        <f t="shared" si="16"/>
        <v>-0.7691497802734375</v>
      </c>
    </row>
    <row r="128" spans="1:7" x14ac:dyDescent="0.35">
      <c r="A128">
        <f t="shared" si="17"/>
        <v>-0.515625</v>
      </c>
      <c r="B128">
        <f t="shared" si="11"/>
        <v>-0.85888080762541397</v>
      </c>
      <c r="C128">
        <f t="shared" si="12"/>
        <v>0.265869140625</v>
      </c>
      <c r="D128">
        <f t="shared" si="13"/>
        <v>-0.13708877563476563</v>
      </c>
      <c r="E128">
        <f t="shared" si="14"/>
        <v>-0.2578125</v>
      </c>
      <c r="F128">
        <f t="shared" si="15"/>
        <v>-0.70489311218261719</v>
      </c>
      <c r="G128">
        <f t="shared" si="16"/>
        <v>-0.765380859375</v>
      </c>
    </row>
    <row r="129" spans="1:7" x14ac:dyDescent="0.35">
      <c r="A129">
        <f t="shared" si="17"/>
        <v>-0.51171875</v>
      </c>
      <c r="B129">
        <f t="shared" si="11"/>
        <v>-0.85629746650096139</v>
      </c>
      <c r="C129">
        <f t="shared" si="12"/>
        <v>0.2618560791015625</v>
      </c>
      <c r="D129">
        <f t="shared" si="13"/>
        <v>-0.13399666547775269</v>
      </c>
      <c r="E129">
        <f t="shared" si="14"/>
        <v>-0.255859375</v>
      </c>
      <c r="F129">
        <f t="shared" si="15"/>
        <v>-0.70057979226112366</v>
      </c>
      <c r="G129">
        <f t="shared" si="16"/>
        <v>-0.7615814208984375</v>
      </c>
    </row>
    <row r="130" spans="1:7" x14ac:dyDescent="0.35">
      <c r="A130">
        <f t="shared" si="17"/>
        <v>-0.5078125</v>
      </c>
      <c r="B130">
        <f t="shared" si="11"/>
        <v>-0.85367055718875329</v>
      </c>
      <c r="C130">
        <f t="shared" si="12"/>
        <v>0.25787353515625</v>
      </c>
      <c r="D130">
        <f t="shared" si="13"/>
        <v>-0.1309514045715332</v>
      </c>
      <c r="E130">
        <f t="shared" si="14"/>
        <v>-0.25390625</v>
      </c>
      <c r="F130">
        <f t="shared" si="15"/>
        <v>-0.6962430477142334</v>
      </c>
      <c r="G130">
        <f t="shared" si="16"/>
        <v>-0.75775146484375</v>
      </c>
    </row>
    <row r="131" spans="1:7" x14ac:dyDescent="0.35">
      <c r="A131">
        <f t="shared" si="17"/>
        <v>-0.50390625</v>
      </c>
      <c r="B131">
        <f t="shared" si="11"/>
        <v>-0.85099948196204367</v>
      </c>
      <c r="C131">
        <f t="shared" si="12"/>
        <v>0.2539215087890625</v>
      </c>
      <c r="D131">
        <f t="shared" si="13"/>
        <v>-0.12795263528823853</v>
      </c>
      <c r="E131">
        <f t="shared" si="14"/>
        <v>-0.251953125</v>
      </c>
      <c r="F131">
        <f t="shared" si="15"/>
        <v>-0.69188305735588074</v>
      </c>
      <c r="G131">
        <f t="shared" si="16"/>
        <v>-0.7538909912109375</v>
      </c>
    </row>
    <row r="132" spans="1:7" x14ac:dyDescent="0.35">
      <c r="A132">
        <f t="shared" si="17"/>
        <v>-0.5</v>
      </c>
      <c r="B132">
        <f t="shared" ref="B132:B195" si="18">TANH(A132/$A$2)</f>
        <v>-0.84828363995751288</v>
      </c>
      <c r="C132">
        <f t="shared" si="12"/>
        <v>0.25</v>
      </c>
      <c r="D132">
        <f t="shared" si="13"/>
        <v>-0.125</v>
      </c>
      <c r="E132">
        <f t="shared" si="14"/>
        <v>-0.25</v>
      </c>
      <c r="F132">
        <f t="shared" si="15"/>
        <v>-0.6875</v>
      </c>
      <c r="G132">
        <f t="shared" si="16"/>
        <v>-0.75</v>
      </c>
    </row>
    <row r="133" spans="1:7" x14ac:dyDescent="0.35">
      <c r="A133">
        <f t="shared" si="17"/>
        <v>-0.49609375</v>
      </c>
      <c r="B133">
        <f t="shared" si="18"/>
        <v>-0.84552242736587946</v>
      </c>
      <c r="C133">
        <f t="shared" ref="C133:C196" si="19">$A133^2</f>
        <v>0.2461090087890625</v>
      </c>
      <c r="D133">
        <f t="shared" ref="D133:D196" si="20">$C133*$A133</f>
        <v>-0.12209314107894897</v>
      </c>
      <c r="E133">
        <f t="shared" ref="E133:E196" si="21">$A133*$B$2</f>
        <v>-0.248046875</v>
      </c>
      <c r="F133">
        <f t="shared" ref="F133:F196" si="22">($A133+$E133-$B$2*$D133)*$D$2</f>
        <v>-0.68309405446052551</v>
      </c>
      <c r="G133">
        <f t="shared" ref="G133:G196" si="23">(A133- SIGN(A133)*A133^2*$H$2)*$G$2</f>
        <v>-0.7460784912109375</v>
      </c>
    </row>
    <row r="134" spans="1:7" x14ac:dyDescent="0.35">
      <c r="A134">
        <f t="shared" ref="A134:A197" si="24">A133+1/256</f>
        <v>-0.4921875</v>
      </c>
      <c r="B134">
        <f t="shared" si="18"/>
        <v>-0.84271523763179712</v>
      </c>
      <c r="C134">
        <f t="shared" si="19"/>
        <v>0.24224853515625</v>
      </c>
      <c r="D134">
        <f t="shared" si="20"/>
        <v>-0.1192317008972168</v>
      </c>
      <c r="E134">
        <f t="shared" si="21"/>
        <v>-0.24609375</v>
      </c>
      <c r="F134">
        <f t="shared" si="22"/>
        <v>-0.6786653995513916</v>
      </c>
      <c r="G134">
        <f t="shared" si="23"/>
        <v>-0.74212646484375</v>
      </c>
    </row>
    <row r="135" spans="1:7" x14ac:dyDescent="0.35">
      <c r="A135">
        <f t="shared" si="24"/>
        <v>-0.48828125</v>
      </c>
      <c r="B135">
        <f t="shared" si="18"/>
        <v>-0.83986146166323838</v>
      </c>
      <c r="C135">
        <f t="shared" si="19"/>
        <v>0.2384185791015625</v>
      </c>
      <c r="D135">
        <f t="shared" si="20"/>
        <v>-0.11641532182693481</v>
      </c>
      <c r="E135">
        <f t="shared" si="21"/>
        <v>-0.244140625</v>
      </c>
      <c r="F135">
        <f t="shared" si="22"/>
        <v>-0.67421421408653259</v>
      </c>
      <c r="G135">
        <f t="shared" si="23"/>
        <v>-0.7381439208984375</v>
      </c>
    </row>
    <row r="136" spans="1:7" x14ac:dyDescent="0.35">
      <c r="A136">
        <f t="shared" si="24"/>
        <v>-0.484375</v>
      </c>
      <c r="B136">
        <f t="shared" si="18"/>
        <v>-0.83696048805056222</v>
      </c>
      <c r="C136">
        <f t="shared" si="19"/>
        <v>0.234619140625</v>
      </c>
      <c r="D136">
        <f t="shared" si="20"/>
        <v>-0.11364364624023438</v>
      </c>
      <c r="E136">
        <f t="shared" si="21"/>
        <v>-0.2421875</v>
      </c>
      <c r="F136">
        <f t="shared" si="22"/>
        <v>-0.66974067687988281</v>
      </c>
      <c r="G136">
        <f t="shared" si="23"/>
        <v>-0.734130859375</v>
      </c>
    </row>
    <row r="137" spans="1:7" x14ac:dyDescent="0.35">
      <c r="A137">
        <f t="shared" si="24"/>
        <v>-0.48046875</v>
      </c>
      <c r="B137">
        <f t="shared" si="18"/>
        <v>-0.83401170329546193</v>
      </c>
      <c r="C137">
        <f t="shared" si="19"/>
        <v>0.2308502197265625</v>
      </c>
      <c r="D137">
        <f t="shared" si="20"/>
        <v>-0.11091631650924683</v>
      </c>
      <c r="E137">
        <f t="shared" si="21"/>
        <v>-0.240234375</v>
      </c>
      <c r="F137">
        <f t="shared" si="22"/>
        <v>-0.66524496674537659</v>
      </c>
      <c r="G137">
        <f t="shared" si="23"/>
        <v>-0.7300872802734375</v>
      </c>
    </row>
    <row r="138" spans="1:7" x14ac:dyDescent="0.35">
      <c r="A138">
        <f t="shared" si="24"/>
        <v>-0.4765625</v>
      </c>
      <c r="B138">
        <f t="shared" si="18"/>
        <v>-0.83101449204998157</v>
      </c>
      <c r="C138">
        <f t="shared" si="19"/>
        <v>0.22711181640625</v>
      </c>
      <c r="D138">
        <f t="shared" si="20"/>
        <v>-0.10823297500610352</v>
      </c>
      <c r="E138">
        <f t="shared" si="21"/>
        <v>-0.23828125</v>
      </c>
      <c r="F138">
        <f t="shared" si="22"/>
        <v>-0.66072726249694824</v>
      </c>
      <c r="G138">
        <f t="shared" si="23"/>
        <v>-0.72601318359375</v>
      </c>
    </row>
    <row r="139" spans="1:7" x14ac:dyDescent="0.35">
      <c r="A139">
        <f t="shared" si="24"/>
        <v>-0.47265625</v>
      </c>
      <c r="B139">
        <f t="shared" si="18"/>
        <v>-0.82796823736578862</v>
      </c>
      <c r="C139">
        <f t="shared" si="19"/>
        <v>0.2234039306640625</v>
      </c>
      <c r="D139">
        <f t="shared" si="20"/>
        <v>-0.10559326410293579</v>
      </c>
      <c r="E139">
        <f t="shared" si="21"/>
        <v>-0.236328125</v>
      </c>
      <c r="F139">
        <f t="shared" si="22"/>
        <v>-0.6561877429485321</v>
      </c>
      <c r="G139">
        <f t="shared" si="23"/>
        <v>-0.7219085693359375</v>
      </c>
    </row>
    <row r="140" spans="1:7" x14ac:dyDescent="0.35">
      <c r="A140">
        <f t="shared" si="24"/>
        <v>-0.46875</v>
      </c>
      <c r="B140">
        <f t="shared" si="18"/>
        <v>-0.82487232095388274</v>
      </c>
      <c r="C140">
        <f t="shared" si="19"/>
        <v>0.2197265625</v>
      </c>
      <c r="D140">
        <f t="shared" si="20"/>
        <v>-0.102996826171875</v>
      </c>
      <c r="E140">
        <f t="shared" si="21"/>
        <v>-0.234375</v>
      </c>
      <c r="F140">
        <f t="shared" si="22"/>
        <v>-0.6516265869140625</v>
      </c>
      <c r="G140">
        <f t="shared" si="23"/>
        <v>-0.7177734375</v>
      </c>
    </row>
    <row r="141" spans="1:7" x14ac:dyDescent="0.35">
      <c r="A141">
        <f t="shared" si="24"/>
        <v>-0.46484375</v>
      </c>
      <c r="B141">
        <f t="shared" si="18"/>
        <v>-0.82172612345491691</v>
      </c>
      <c r="C141">
        <f t="shared" si="19"/>
        <v>0.2160797119140625</v>
      </c>
      <c r="D141">
        <f t="shared" si="20"/>
        <v>-0.10044330358505249</v>
      </c>
      <c r="E141">
        <f t="shared" si="21"/>
        <v>-0.232421875</v>
      </c>
      <c r="F141">
        <f t="shared" si="22"/>
        <v>-0.64704397320747375</v>
      </c>
      <c r="G141">
        <f t="shared" si="23"/>
        <v>-0.7136077880859375</v>
      </c>
    </row>
    <row r="142" spans="1:7" x14ac:dyDescent="0.35">
      <c r="A142">
        <f t="shared" si="24"/>
        <v>-0.4609375</v>
      </c>
      <c r="B142">
        <f t="shared" si="18"/>
        <v>-0.81852902472029798</v>
      </c>
      <c r="C142">
        <f t="shared" si="19"/>
        <v>0.21246337890625</v>
      </c>
      <c r="D142">
        <f t="shared" si="20"/>
        <v>-9.7932338714599609E-2</v>
      </c>
      <c r="E142">
        <f t="shared" si="21"/>
        <v>-0.23046875</v>
      </c>
      <c r="F142">
        <f t="shared" si="22"/>
        <v>-0.6424400806427002</v>
      </c>
      <c r="G142">
        <f t="shared" si="23"/>
        <v>-0.70941162109375</v>
      </c>
    </row>
    <row r="143" spans="1:7" x14ac:dyDescent="0.35">
      <c r="A143">
        <f t="shared" si="24"/>
        <v>-0.45703125</v>
      </c>
      <c r="B143">
        <f t="shared" si="18"/>
        <v>-0.81528040410423019</v>
      </c>
      <c r="C143">
        <f t="shared" si="19"/>
        <v>0.2088775634765625</v>
      </c>
      <c r="D143">
        <f t="shared" si="20"/>
        <v>-9.5463573932647705E-2</v>
      </c>
      <c r="E143">
        <f t="shared" si="21"/>
        <v>-0.228515625</v>
      </c>
      <c r="F143">
        <f t="shared" si="22"/>
        <v>-0.63781508803367615</v>
      </c>
      <c r="G143">
        <f t="shared" si="23"/>
        <v>-0.7051849365234375</v>
      </c>
    </row>
    <row r="144" spans="1:7" x14ac:dyDescent="0.35">
      <c r="A144">
        <f t="shared" si="24"/>
        <v>-0.453125</v>
      </c>
      <c r="B144">
        <f t="shared" si="18"/>
        <v>-0.81197964076685547</v>
      </c>
      <c r="C144">
        <f t="shared" si="19"/>
        <v>0.205322265625</v>
      </c>
      <c r="D144">
        <f t="shared" si="20"/>
        <v>-9.3036651611328125E-2</v>
      </c>
      <c r="E144">
        <f t="shared" si="21"/>
        <v>-0.2265625</v>
      </c>
      <c r="F144">
        <f t="shared" si="22"/>
        <v>-0.63316917419433594</v>
      </c>
      <c r="G144">
        <f t="shared" si="23"/>
        <v>-0.700927734375</v>
      </c>
    </row>
    <row r="145" spans="1:7" x14ac:dyDescent="0.35">
      <c r="A145">
        <f t="shared" si="24"/>
        <v>-0.44921875</v>
      </c>
      <c r="B145">
        <f t="shared" si="18"/>
        <v>-0.80862611398863382</v>
      </c>
      <c r="C145">
        <f t="shared" si="19"/>
        <v>0.2017974853515625</v>
      </c>
      <c r="D145">
        <f t="shared" si="20"/>
        <v>-9.0651214122772217E-2</v>
      </c>
      <c r="E145">
        <f t="shared" si="21"/>
        <v>-0.224609375</v>
      </c>
      <c r="F145">
        <f t="shared" si="22"/>
        <v>-0.62850251793861389</v>
      </c>
      <c r="G145">
        <f t="shared" si="23"/>
        <v>-0.6966400146484375</v>
      </c>
    </row>
    <row r="146" spans="1:7" x14ac:dyDescent="0.35">
      <c r="A146">
        <f t="shared" si="24"/>
        <v>-0.4453125</v>
      </c>
      <c r="B146">
        <f t="shared" si="18"/>
        <v>-0.80521920349610432</v>
      </c>
      <c r="C146">
        <f t="shared" si="19"/>
        <v>0.19830322265625</v>
      </c>
      <c r="D146">
        <f t="shared" si="20"/>
        <v>-8.8306903839111328E-2</v>
      </c>
      <c r="E146">
        <f t="shared" si="21"/>
        <v>-0.22265625</v>
      </c>
      <c r="F146">
        <f t="shared" si="22"/>
        <v>-0.62381529808044434</v>
      </c>
      <c r="G146">
        <f t="shared" si="23"/>
        <v>-0.69232177734375</v>
      </c>
    </row>
    <row r="147" spans="1:7" x14ac:dyDescent="0.35">
      <c r="A147">
        <f t="shared" si="24"/>
        <v>-0.44140625</v>
      </c>
      <c r="B147">
        <f t="shared" si="18"/>
        <v>-0.80175828979915076</v>
      </c>
      <c r="C147">
        <f t="shared" si="19"/>
        <v>0.1948394775390625</v>
      </c>
      <c r="D147">
        <f t="shared" si="20"/>
        <v>-8.6003363132476807E-2</v>
      </c>
      <c r="E147">
        <f t="shared" si="21"/>
        <v>-0.220703125</v>
      </c>
      <c r="F147">
        <f t="shared" si="22"/>
        <v>-0.6191076934337616</v>
      </c>
      <c r="G147">
        <f t="shared" si="23"/>
        <v>-0.6879730224609375</v>
      </c>
    </row>
    <row r="148" spans="1:7" x14ac:dyDescent="0.35">
      <c r="A148">
        <f t="shared" si="24"/>
        <v>-0.4375</v>
      </c>
      <c r="B148">
        <f t="shared" si="18"/>
        <v>-0.79824275453988702</v>
      </c>
      <c r="C148">
        <f t="shared" si="19"/>
        <v>0.19140625</v>
      </c>
      <c r="D148">
        <f t="shared" si="20"/>
        <v>-8.3740234375E-2</v>
      </c>
      <c r="E148">
        <f t="shared" si="21"/>
        <v>-0.21875</v>
      </c>
      <c r="F148">
        <f t="shared" si="22"/>
        <v>-0.6143798828125</v>
      </c>
      <c r="G148">
        <f t="shared" si="23"/>
        <v>-0.68359375</v>
      </c>
    </row>
    <row r="149" spans="1:7" x14ac:dyDescent="0.35">
      <c r="A149">
        <f t="shared" si="24"/>
        <v>-0.43359375</v>
      </c>
      <c r="B149">
        <f t="shared" si="18"/>
        <v>-0.79467198085326907</v>
      </c>
      <c r="C149">
        <f t="shared" si="19"/>
        <v>0.1880035400390625</v>
      </c>
      <c r="D149">
        <f t="shared" si="20"/>
        <v>-8.1517159938812256E-2</v>
      </c>
      <c r="E149">
        <f t="shared" si="21"/>
        <v>-0.216796875</v>
      </c>
      <c r="F149">
        <f t="shared" si="22"/>
        <v>-0.60963204503059387</v>
      </c>
      <c r="G149">
        <f t="shared" si="23"/>
        <v>-0.6791839599609375</v>
      </c>
    </row>
    <row r="150" spans="1:7" x14ac:dyDescent="0.35">
      <c r="A150">
        <f t="shared" si="24"/>
        <v>-0.4296875</v>
      </c>
      <c r="B150">
        <f t="shared" si="18"/>
        <v>-0.791045353739526</v>
      </c>
      <c r="C150">
        <f t="shared" si="19"/>
        <v>0.18463134765625</v>
      </c>
      <c r="D150">
        <f t="shared" si="20"/>
        <v>-7.9333782196044922E-2</v>
      </c>
      <c r="E150">
        <f t="shared" si="21"/>
        <v>-0.21484375</v>
      </c>
      <c r="F150">
        <f t="shared" si="22"/>
        <v>-0.60486435890197754</v>
      </c>
      <c r="G150">
        <f t="shared" si="23"/>
        <v>-0.67474365234375</v>
      </c>
    </row>
    <row r="151" spans="1:7" x14ac:dyDescent="0.35">
      <c r="A151">
        <f t="shared" si="24"/>
        <v>-0.42578125</v>
      </c>
      <c r="B151">
        <f t="shared" si="18"/>
        <v>-0.78736226044848479</v>
      </c>
      <c r="C151">
        <f t="shared" si="19"/>
        <v>0.1812896728515625</v>
      </c>
      <c r="D151">
        <f t="shared" si="20"/>
        <v>-7.7189743518829346E-2</v>
      </c>
      <c r="E151">
        <f t="shared" si="21"/>
        <v>-0.212890625</v>
      </c>
      <c r="F151">
        <f t="shared" si="22"/>
        <v>-0.60007700324058533</v>
      </c>
      <c r="G151">
        <f t="shared" si="23"/>
        <v>-0.6702728271484375</v>
      </c>
    </row>
    <row r="152" spans="1:7" x14ac:dyDescent="0.35">
      <c r="A152">
        <f t="shared" si="24"/>
        <v>-0.421875</v>
      </c>
      <c r="B152">
        <f t="shared" si="18"/>
        <v>-0.78362209087585943</v>
      </c>
      <c r="C152">
        <f t="shared" si="19"/>
        <v>0.177978515625</v>
      </c>
      <c r="D152">
        <f t="shared" si="20"/>
        <v>-7.5084686279296875E-2</v>
      </c>
      <c r="E152">
        <f t="shared" si="21"/>
        <v>-0.2109375</v>
      </c>
      <c r="F152">
        <f t="shared" si="22"/>
        <v>-0.59527015686035156</v>
      </c>
      <c r="G152">
        <f t="shared" si="23"/>
        <v>-0.665771484375</v>
      </c>
    </row>
    <row r="153" spans="1:7" x14ac:dyDescent="0.35">
      <c r="A153">
        <f t="shared" si="24"/>
        <v>-0.41796875</v>
      </c>
      <c r="B153">
        <f t="shared" si="18"/>
        <v>-0.7798242379715502</v>
      </c>
      <c r="C153">
        <f t="shared" si="19"/>
        <v>0.1746978759765625</v>
      </c>
      <c r="D153">
        <f t="shared" si="20"/>
        <v>-7.3018252849578857E-2</v>
      </c>
      <c r="E153">
        <f t="shared" si="21"/>
        <v>-0.208984375</v>
      </c>
      <c r="F153">
        <f t="shared" si="22"/>
        <v>-0.59044399857521057</v>
      </c>
      <c r="G153">
        <f t="shared" si="23"/>
        <v>-0.6612396240234375</v>
      </c>
    </row>
    <row r="154" spans="1:7" x14ac:dyDescent="0.35">
      <c r="A154">
        <f t="shared" si="24"/>
        <v>-0.4140625</v>
      </c>
      <c r="B154">
        <f t="shared" si="18"/>
        <v>-0.77596809815999268</v>
      </c>
      <c r="C154">
        <f t="shared" si="19"/>
        <v>0.17144775390625</v>
      </c>
      <c r="D154">
        <f t="shared" si="20"/>
        <v>-7.0990085601806641E-2</v>
      </c>
      <c r="E154">
        <f t="shared" si="21"/>
        <v>-0.20703125</v>
      </c>
      <c r="F154">
        <f t="shared" si="22"/>
        <v>-0.58559870719909668</v>
      </c>
      <c r="G154">
        <f t="shared" si="23"/>
        <v>-0.65667724609375</v>
      </c>
    </row>
    <row r="155" spans="1:7" x14ac:dyDescent="0.35">
      <c r="A155">
        <f t="shared" si="24"/>
        <v>-0.41015625</v>
      </c>
      <c r="B155">
        <f t="shared" si="18"/>
        <v>-0.77205307177256532</v>
      </c>
      <c r="C155">
        <f t="shared" si="19"/>
        <v>0.1682281494140625</v>
      </c>
      <c r="D155">
        <f t="shared" si="20"/>
        <v>-6.8999826908111572E-2</v>
      </c>
      <c r="E155">
        <f t="shared" si="21"/>
        <v>-0.205078125</v>
      </c>
      <c r="F155">
        <f t="shared" si="22"/>
        <v>-0.58073446154594421</v>
      </c>
      <c r="G155">
        <f t="shared" si="23"/>
        <v>-0.6520843505859375</v>
      </c>
    </row>
    <row r="156" spans="1:7" x14ac:dyDescent="0.35">
      <c r="A156">
        <f t="shared" si="24"/>
        <v>-0.40625</v>
      </c>
      <c r="B156">
        <f t="shared" si="18"/>
        <v>-0.76807856349206649</v>
      </c>
      <c r="C156">
        <f t="shared" si="19"/>
        <v>0.1650390625</v>
      </c>
      <c r="D156">
        <f t="shared" si="20"/>
        <v>-6.7047119140625E-2</v>
      </c>
      <c r="E156">
        <f t="shared" si="21"/>
        <v>-0.203125</v>
      </c>
      <c r="F156">
        <f t="shared" si="22"/>
        <v>-0.5758514404296875</v>
      </c>
      <c r="G156">
        <f t="shared" si="23"/>
        <v>-0.6474609375</v>
      </c>
    </row>
    <row r="157" spans="1:7" x14ac:dyDescent="0.35">
      <c r="A157">
        <f t="shared" si="24"/>
        <v>-0.40234375</v>
      </c>
      <c r="B157">
        <f t="shared" si="18"/>
        <v>-0.76404398280923469</v>
      </c>
      <c r="C157">
        <f t="shared" si="19"/>
        <v>0.1618804931640625</v>
      </c>
      <c r="D157">
        <f t="shared" si="20"/>
        <v>-6.5131604671478271E-2</v>
      </c>
      <c r="E157">
        <f t="shared" si="21"/>
        <v>-0.201171875</v>
      </c>
      <c r="F157">
        <f t="shared" si="22"/>
        <v>-0.57094982266426086</v>
      </c>
      <c r="G157">
        <f t="shared" si="23"/>
        <v>-0.6428070068359375</v>
      </c>
    </row>
    <row r="158" spans="1:7" x14ac:dyDescent="0.35">
      <c r="A158">
        <f t="shared" si="24"/>
        <v>-0.3984375</v>
      </c>
      <c r="B158">
        <f t="shared" si="18"/>
        <v>-0.75994874449127725</v>
      </c>
      <c r="C158">
        <f t="shared" si="19"/>
        <v>0.15875244140625</v>
      </c>
      <c r="D158">
        <f t="shared" si="20"/>
        <v>-6.3252925872802734E-2</v>
      </c>
      <c r="E158">
        <f t="shared" si="21"/>
        <v>-0.19921875</v>
      </c>
      <c r="F158">
        <f t="shared" si="22"/>
        <v>-0.56602978706359863</v>
      </c>
      <c r="G158">
        <f t="shared" si="23"/>
        <v>-0.63812255859375</v>
      </c>
    </row>
    <row r="159" spans="1:7" x14ac:dyDescent="0.35">
      <c r="A159">
        <f t="shared" si="24"/>
        <v>-0.39453125</v>
      </c>
      <c r="B159">
        <f t="shared" si="18"/>
        <v>-0.75579226906234709</v>
      </c>
      <c r="C159">
        <f t="shared" si="19"/>
        <v>0.1556549072265625</v>
      </c>
      <c r="D159">
        <f t="shared" si="20"/>
        <v>-6.1410725116729736E-2</v>
      </c>
      <c r="E159">
        <f t="shared" si="21"/>
        <v>-0.197265625</v>
      </c>
      <c r="F159">
        <f t="shared" si="22"/>
        <v>-0.56109151244163513</v>
      </c>
      <c r="G159">
        <f t="shared" si="23"/>
        <v>-0.6334075927734375</v>
      </c>
    </row>
    <row r="160" spans="1:7" x14ac:dyDescent="0.35">
      <c r="A160">
        <f t="shared" si="24"/>
        <v>-0.390625</v>
      </c>
      <c r="B160">
        <f t="shared" si="18"/>
        <v>-0.7515739832958932</v>
      </c>
      <c r="C160">
        <f t="shared" si="19"/>
        <v>0.152587890625</v>
      </c>
      <c r="D160">
        <f t="shared" si="20"/>
        <v>-5.9604644775390625E-2</v>
      </c>
      <c r="E160">
        <f t="shared" si="21"/>
        <v>-0.1953125</v>
      </c>
      <c r="F160">
        <f t="shared" si="22"/>
        <v>-0.55613517761230469</v>
      </c>
      <c r="G160">
        <f t="shared" si="23"/>
        <v>-0.628662109375</v>
      </c>
    </row>
    <row r="161" spans="1:7" x14ac:dyDescent="0.35">
      <c r="A161">
        <f t="shared" si="24"/>
        <v>-0.38671875</v>
      </c>
      <c r="B161">
        <f t="shared" si="18"/>
        <v>-0.74729332071877341</v>
      </c>
      <c r="C161">
        <f t="shared" si="19"/>
        <v>0.1495513916015625</v>
      </c>
      <c r="D161">
        <f t="shared" si="20"/>
        <v>-5.7834327220916748E-2</v>
      </c>
      <c r="E161">
        <f t="shared" si="21"/>
        <v>-0.193359375</v>
      </c>
      <c r="F161">
        <f t="shared" si="22"/>
        <v>-0.55116096138954163</v>
      </c>
      <c r="G161">
        <f t="shared" si="23"/>
        <v>-0.6238861083984375</v>
      </c>
    </row>
    <row r="162" spans="1:7" x14ac:dyDescent="0.35">
      <c r="A162">
        <f t="shared" si="24"/>
        <v>-0.3828125</v>
      </c>
      <c r="B162">
        <f t="shared" si="18"/>
        <v>-0.74294972212701371</v>
      </c>
      <c r="C162">
        <f t="shared" si="19"/>
        <v>0.14654541015625</v>
      </c>
      <c r="D162">
        <f t="shared" si="20"/>
        <v>-5.6099414825439453E-2</v>
      </c>
      <c r="E162">
        <f t="shared" si="21"/>
        <v>-0.19140625</v>
      </c>
      <c r="F162">
        <f t="shared" si="22"/>
        <v>-0.54616904258728027</v>
      </c>
      <c r="G162">
        <f t="shared" si="23"/>
        <v>-0.61907958984375</v>
      </c>
    </row>
    <row r="163" spans="1:7" x14ac:dyDescent="0.35">
      <c r="A163">
        <f t="shared" si="24"/>
        <v>-0.37890625</v>
      </c>
      <c r="B163">
        <f t="shared" si="18"/>
        <v>-0.73854263611305937</v>
      </c>
      <c r="C163">
        <f t="shared" si="19"/>
        <v>0.1435699462890625</v>
      </c>
      <c r="D163">
        <f t="shared" si="20"/>
        <v>-5.4399549961090088E-2</v>
      </c>
      <c r="E163">
        <f t="shared" si="21"/>
        <v>-0.189453125</v>
      </c>
      <c r="F163">
        <f t="shared" si="22"/>
        <v>-0.54115960001945496</v>
      </c>
      <c r="G163">
        <f t="shared" si="23"/>
        <v>-0.6142425537109375</v>
      </c>
    </row>
    <row r="164" spans="1:7" x14ac:dyDescent="0.35">
      <c r="A164">
        <f t="shared" si="24"/>
        <v>-0.375</v>
      </c>
      <c r="B164">
        <f t="shared" si="18"/>
        <v>-0.73407151960434147</v>
      </c>
      <c r="C164">
        <f t="shared" si="19"/>
        <v>0.140625</v>
      </c>
      <c r="D164">
        <f t="shared" si="20"/>
        <v>-5.2734375E-2</v>
      </c>
      <c r="E164">
        <f t="shared" si="21"/>
        <v>-0.1875</v>
      </c>
      <c r="F164">
        <f t="shared" si="22"/>
        <v>-0.5361328125</v>
      </c>
      <c r="G164">
        <f t="shared" si="23"/>
        <v>-0.609375</v>
      </c>
    </row>
    <row r="165" spans="1:7" x14ac:dyDescent="0.35">
      <c r="A165">
        <f t="shared" si="24"/>
        <v>-0.37109375</v>
      </c>
      <c r="B165">
        <f t="shared" si="18"/>
        <v>-0.72953583841296432</v>
      </c>
      <c r="C165">
        <f t="shared" si="19"/>
        <v>0.1377105712890625</v>
      </c>
      <c r="D165">
        <f t="shared" si="20"/>
        <v>-5.1103532314300537E-2</v>
      </c>
      <c r="E165">
        <f t="shared" si="21"/>
        <v>-0.185546875</v>
      </c>
      <c r="F165">
        <f t="shared" si="22"/>
        <v>-0.53108885884284973</v>
      </c>
      <c r="G165">
        <f t="shared" si="23"/>
        <v>-0.6044769287109375</v>
      </c>
    </row>
    <row r="166" spans="1:7" x14ac:dyDescent="0.35">
      <c r="A166">
        <f t="shared" si="24"/>
        <v>-0.3671875</v>
      </c>
      <c r="B166">
        <f t="shared" si="18"/>
        <v>-0.72493506779627825</v>
      </c>
      <c r="C166">
        <f t="shared" si="19"/>
        <v>0.13482666015625</v>
      </c>
      <c r="D166">
        <f t="shared" si="20"/>
        <v>-4.9506664276123047E-2</v>
      </c>
      <c r="E166">
        <f t="shared" si="21"/>
        <v>-0.18359375</v>
      </c>
      <c r="F166">
        <f t="shared" si="22"/>
        <v>-0.52602791786193848</v>
      </c>
      <c r="G166">
        <f t="shared" si="23"/>
        <v>-0.59954833984375</v>
      </c>
    </row>
    <row r="167" spans="1:7" x14ac:dyDescent="0.35">
      <c r="A167">
        <f t="shared" si="24"/>
        <v>-0.36328125</v>
      </c>
      <c r="B167">
        <f t="shared" si="18"/>
        <v>-0.72026869302808794</v>
      </c>
      <c r="C167">
        <f t="shared" si="19"/>
        <v>0.1319732666015625</v>
      </c>
      <c r="D167">
        <f t="shared" si="20"/>
        <v>-4.7943413257598877E-2</v>
      </c>
      <c r="E167">
        <f t="shared" si="21"/>
        <v>-0.181640625</v>
      </c>
      <c r="F167">
        <f t="shared" si="22"/>
        <v>-0.52095016837120056</v>
      </c>
      <c r="G167">
        <f t="shared" si="23"/>
        <v>-0.5945892333984375</v>
      </c>
    </row>
    <row r="168" spans="1:7" x14ac:dyDescent="0.35">
      <c r="A168">
        <f t="shared" si="24"/>
        <v>-0.359375</v>
      </c>
      <c r="B168">
        <f t="shared" si="18"/>
        <v>-0.71553620998020739</v>
      </c>
      <c r="C168">
        <f t="shared" si="19"/>
        <v>0.129150390625</v>
      </c>
      <c r="D168">
        <f t="shared" si="20"/>
        <v>-4.6413421630859375E-2</v>
      </c>
      <c r="E168">
        <f t="shared" si="21"/>
        <v>-0.1796875</v>
      </c>
      <c r="F168">
        <f t="shared" si="22"/>
        <v>-0.51585578918457031</v>
      </c>
      <c r="G168">
        <f t="shared" si="23"/>
        <v>-0.589599609375</v>
      </c>
    </row>
    <row r="169" spans="1:7" x14ac:dyDescent="0.35">
      <c r="A169">
        <f t="shared" si="24"/>
        <v>-0.35546875</v>
      </c>
      <c r="B169">
        <f t="shared" si="18"/>
        <v>-0.71073712571404946</v>
      </c>
      <c r="C169">
        <f t="shared" si="19"/>
        <v>0.1263580322265625</v>
      </c>
      <c r="D169">
        <f t="shared" si="20"/>
        <v>-4.4916331768035889E-2</v>
      </c>
      <c r="E169">
        <f t="shared" si="21"/>
        <v>-0.177734375</v>
      </c>
      <c r="F169">
        <f t="shared" si="22"/>
        <v>-0.51074495911598206</v>
      </c>
      <c r="G169">
        <f t="shared" si="23"/>
        <v>-0.5845794677734375</v>
      </c>
    </row>
    <row r="170" spans="1:7" x14ac:dyDescent="0.35">
      <c r="A170">
        <f t="shared" si="24"/>
        <v>-0.3515625</v>
      </c>
      <c r="B170">
        <f t="shared" si="18"/>
        <v>-0.70587095908190456</v>
      </c>
      <c r="C170">
        <f t="shared" si="19"/>
        <v>0.12359619140625</v>
      </c>
      <c r="D170">
        <f t="shared" si="20"/>
        <v>-4.3451786041259766E-2</v>
      </c>
      <c r="E170">
        <f t="shared" si="21"/>
        <v>-0.17578125</v>
      </c>
      <c r="F170">
        <f t="shared" si="22"/>
        <v>-0.50561785697937012</v>
      </c>
      <c r="G170">
        <f t="shared" si="23"/>
        <v>-0.57952880859375</v>
      </c>
    </row>
    <row r="171" spans="1:7" x14ac:dyDescent="0.35">
      <c r="A171">
        <f t="shared" si="24"/>
        <v>-0.34765625</v>
      </c>
      <c r="B171">
        <f t="shared" si="18"/>
        <v>-0.70093724133753099</v>
      </c>
      <c r="C171">
        <f t="shared" si="19"/>
        <v>0.1208648681640625</v>
      </c>
      <c r="D171">
        <f t="shared" si="20"/>
        <v>-4.2019426822662354E-2</v>
      </c>
      <c r="E171">
        <f t="shared" si="21"/>
        <v>-0.173828125</v>
      </c>
      <c r="F171">
        <f t="shared" si="22"/>
        <v>-0.50047466158866882</v>
      </c>
      <c r="G171">
        <f t="shared" si="23"/>
        <v>-0.5744476318359375</v>
      </c>
    </row>
    <row r="172" spans="1:7" x14ac:dyDescent="0.35">
      <c r="A172">
        <f t="shared" si="24"/>
        <v>-0.34375</v>
      </c>
      <c r="B172">
        <f t="shared" si="18"/>
        <v>-0.69593551675565157</v>
      </c>
      <c r="C172">
        <f t="shared" si="19"/>
        <v>0.1181640625</v>
      </c>
      <c r="D172">
        <f t="shared" si="20"/>
        <v>-4.0618896484375E-2</v>
      </c>
      <c r="E172">
        <f t="shared" si="21"/>
        <v>-0.171875</v>
      </c>
      <c r="F172">
        <f t="shared" si="22"/>
        <v>-0.4953155517578125</v>
      </c>
      <c r="G172">
        <f t="shared" si="23"/>
        <v>-0.5693359375</v>
      </c>
    </row>
    <row r="173" spans="1:7" x14ac:dyDescent="0.35">
      <c r="A173">
        <f t="shared" si="24"/>
        <v>-0.33984375</v>
      </c>
      <c r="B173">
        <f t="shared" si="18"/>
        <v>-0.69086534325991167</v>
      </c>
      <c r="C173">
        <f t="shared" si="19"/>
        <v>0.1154937744140625</v>
      </c>
      <c r="D173">
        <f t="shared" si="20"/>
        <v>-3.9249837398529053E-2</v>
      </c>
      <c r="E173">
        <f t="shared" si="21"/>
        <v>-0.169921875</v>
      </c>
      <c r="F173">
        <f t="shared" si="22"/>
        <v>-0.49014070630073547</v>
      </c>
      <c r="G173">
        <f t="shared" si="23"/>
        <v>-0.5641937255859375</v>
      </c>
    </row>
    <row r="174" spans="1:7" x14ac:dyDescent="0.35">
      <c r="A174">
        <f t="shared" si="24"/>
        <v>-0.3359375</v>
      </c>
      <c r="B174">
        <f t="shared" si="18"/>
        <v>-0.68572629305882882</v>
      </c>
      <c r="C174">
        <f t="shared" si="19"/>
        <v>0.11285400390625</v>
      </c>
      <c r="D174">
        <f t="shared" si="20"/>
        <v>-3.7911891937255859E-2</v>
      </c>
      <c r="E174">
        <f t="shared" si="21"/>
        <v>-0.16796875</v>
      </c>
      <c r="F174">
        <f t="shared" si="22"/>
        <v>-0.48495030403137207</v>
      </c>
      <c r="G174">
        <f t="shared" si="23"/>
        <v>-0.55902099609375</v>
      </c>
    </row>
    <row r="175" spans="1:7" x14ac:dyDescent="0.35">
      <c r="A175">
        <f t="shared" si="24"/>
        <v>-0.33203125</v>
      </c>
      <c r="B175">
        <f t="shared" si="18"/>
        <v>-0.68051795328922171</v>
      </c>
      <c r="C175">
        <f t="shared" si="19"/>
        <v>0.1102447509765625</v>
      </c>
      <c r="D175">
        <f t="shared" si="20"/>
        <v>-3.6604702472686768E-2</v>
      </c>
      <c r="E175">
        <f t="shared" si="21"/>
        <v>-0.166015625</v>
      </c>
      <c r="F175">
        <f t="shared" si="22"/>
        <v>-0.47974452376365662</v>
      </c>
      <c r="G175">
        <f t="shared" si="23"/>
        <v>-0.5538177490234375</v>
      </c>
    </row>
    <row r="176" spans="1:7" x14ac:dyDescent="0.35">
      <c r="A176">
        <f t="shared" si="24"/>
        <v>-0.328125</v>
      </c>
      <c r="B176">
        <f t="shared" si="18"/>
        <v>-0.67523992666657828</v>
      </c>
      <c r="C176">
        <f t="shared" si="19"/>
        <v>0.107666015625</v>
      </c>
      <c r="D176">
        <f t="shared" si="20"/>
        <v>-3.5327911376953125E-2</v>
      </c>
      <c r="E176">
        <f t="shared" si="21"/>
        <v>-0.1640625</v>
      </c>
      <c r="F176">
        <f t="shared" si="22"/>
        <v>-0.47452354431152344</v>
      </c>
      <c r="G176">
        <f t="shared" si="23"/>
        <v>-0.548583984375</v>
      </c>
    </row>
    <row r="177" spans="1:7" x14ac:dyDescent="0.35">
      <c r="A177">
        <f t="shared" si="24"/>
        <v>-0.32421875</v>
      </c>
      <c r="B177">
        <f t="shared" si="18"/>
        <v>-0.66989183214178472</v>
      </c>
      <c r="C177">
        <f t="shared" si="19"/>
        <v>0.1051177978515625</v>
      </c>
      <c r="D177">
        <f t="shared" si="20"/>
        <v>-3.4081161022186279E-2</v>
      </c>
      <c r="E177">
        <f t="shared" si="21"/>
        <v>-0.162109375</v>
      </c>
      <c r="F177">
        <f t="shared" si="22"/>
        <v>-0.46928754448890686</v>
      </c>
      <c r="G177">
        <f t="shared" si="23"/>
        <v>-0.5433197021484375</v>
      </c>
    </row>
    <row r="178" spans="1:7" x14ac:dyDescent="0.35">
      <c r="A178">
        <f t="shared" si="24"/>
        <v>-0.3203125</v>
      </c>
      <c r="B178">
        <f t="shared" si="18"/>
        <v>-0.66447330556360162</v>
      </c>
      <c r="C178">
        <f t="shared" si="19"/>
        <v>0.10260009765625</v>
      </c>
      <c r="D178">
        <f t="shared" si="20"/>
        <v>-3.2864093780517578E-2</v>
      </c>
      <c r="E178">
        <f t="shared" si="21"/>
        <v>-0.16015625</v>
      </c>
      <c r="F178">
        <f t="shared" si="22"/>
        <v>-0.46403670310974121</v>
      </c>
      <c r="G178">
        <f t="shared" si="23"/>
        <v>-0.53802490234375</v>
      </c>
    </row>
    <row r="179" spans="1:7" x14ac:dyDescent="0.35">
      <c r="A179">
        <f t="shared" si="24"/>
        <v>-0.31640625</v>
      </c>
      <c r="B179">
        <f t="shared" si="18"/>
        <v>-0.65898400034623894</v>
      </c>
      <c r="C179">
        <f t="shared" si="19"/>
        <v>0.1001129150390625</v>
      </c>
      <c r="D179">
        <f t="shared" si="20"/>
        <v>-3.1676352024078369E-2</v>
      </c>
      <c r="E179">
        <f t="shared" si="21"/>
        <v>-0.158203125</v>
      </c>
      <c r="F179">
        <f t="shared" si="22"/>
        <v>-0.45877119898796082</v>
      </c>
      <c r="G179">
        <f t="shared" si="23"/>
        <v>-0.5326995849609375</v>
      </c>
    </row>
    <row r="180" spans="1:7" x14ac:dyDescent="0.35">
      <c r="A180">
        <f t="shared" si="24"/>
        <v>-0.3125</v>
      </c>
      <c r="B180">
        <f t="shared" si="18"/>
        <v>-0.65342358814134671</v>
      </c>
      <c r="C180">
        <f t="shared" si="19"/>
        <v>9.765625E-2</v>
      </c>
      <c r="D180">
        <f t="shared" si="20"/>
        <v>-3.0517578125E-2</v>
      </c>
      <c r="E180">
        <f t="shared" si="21"/>
        <v>-0.15625</v>
      </c>
      <c r="F180">
        <f t="shared" si="22"/>
        <v>-0.4534912109375</v>
      </c>
      <c r="G180">
        <f t="shared" si="23"/>
        <v>-0.52734375</v>
      </c>
    </row>
    <row r="181" spans="1:7" x14ac:dyDescent="0.35">
      <c r="A181">
        <f t="shared" si="24"/>
        <v>-0.30859375</v>
      </c>
      <c r="B181">
        <f t="shared" si="18"/>
        <v>-0.64779175951369805</v>
      </c>
      <c r="C181">
        <f t="shared" si="19"/>
        <v>9.52301025390625E-2</v>
      </c>
      <c r="D181">
        <f t="shared" si="20"/>
        <v>-2.9387414455413818E-2</v>
      </c>
      <c r="E181">
        <f t="shared" si="21"/>
        <v>-0.154296875</v>
      </c>
      <c r="F181">
        <f t="shared" si="22"/>
        <v>-0.44819691777229309</v>
      </c>
      <c r="G181">
        <f t="shared" si="23"/>
        <v>-0.5219573974609375</v>
      </c>
    </row>
    <row r="182" spans="1:7" x14ac:dyDescent="0.35">
      <c r="A182">
        <f t="shared" si="24"/>
        <v>-0.3046875</v>
      </c>
      <c r="B182">
        <f t="shared" si="18"/>
        <v>-0.64208822461980908</v>
      </c>
      <c r="C182">
        <f t="shared" si="19"/>
        <v>9.283447265625E-2</v>
      </c>
      <c r="D182">
        <f t="shared" si="20"/>
        <v>-2.8285503387451172E-2</v>
      </c>
      <c r="E182">
        <f t="shared" si="21"/>
        <v>-0.15234375</v>
      </c>
      <c r="F182">
        <f t="shared" si="22"/>
        <v>-0.44288849830627441</v>
      </c>
      <c r="G182">
        <f t="shared" si="23"/>
        <v>-0.51654052734375</v>
      </c>
    </row>
    <row r="183" spans="1:7" x14ac:dyDescent="0.35">
      <c r="A183">
        <f t="shared" si="24"/>
        <v>-0.30078125</v>
      </c>
      <c r="B183">
        <f t="shared" si="18"/>
        <v>-0.63631271388870492</v>
      </c>
      <c r="C183">
        <f t="shared" si="19"/>
        <v>9.04693603515625E-2</v>
      </c>
      <c r="D183">
        <f t="shared" si="20"/>
        <v>-2.7211487293243408E-2</v>
      </c>
      <c r="E183">
        <f t="shared" si="21"/>
        <v>-0.150390625</v>
      </c>
      <c r="F183">
        <f t="shared" si="22"/>
        <v>-0.4375661313533783</v>
      </c>
      <c r="G183">
        <f t="shared" si="23"/>
        <v>-0.5110931396484375</v>
      </c>
    </row>
    <row r="184" spans="1:7" x14ac:dyDescent="0.35">
      <c r="A184">
        <f t="shared" si="24"/>
        <v>-0.296875</v>
      </c>
      <c r="B184">
        <f t="shared" si="18"/>
        <v>-0.63046497870399987</v>
      </c>
      <c r="C184">
        <f t="shared" si="19"/>
        <v>8.8134765625E-2</v>
      </c>
      <c r="D184">
        <f t="shared" si="20"/>
        <v>-2.6165008544921875E-2</v>
      </c>
      <c r="E184">
        <f t="shared" si="21"/>
        <v>-0.1484375</v>
      </c>
      <c r="F184">
        <f t="shared" si="22"/>
        <v>-0.43222999572753906</v>
      </c>
      <c r="G184">
        <f t="shared" si="23"/>
        <v>-0.505615234375</v>
      </c>
    </row>
    <row r="185" spans="1:7" x14ac:dyDescent="0.35">
      <c r="A185">
        <f t="shared" si="24"/>
        <v>-0.29296875</v>
      </c>
      <c r="B185">
        <f t="shared" si="18"/>
        <v>-0.6245447920864291</v>
      </c>
      <c r="C185">
        <f t="shared" si="19"/>
        <v>8.58306884765625E-2</v>
      </c>
      <c r="D185">
        <f t="shared" si="20"/>
        <v>-2.514570951461792E-2</v>
      </c>
      <c r="E185">
        <f t="shared" si="21"/>
        <v>-0.146484375</v>
      </c>
      <c r="F185">
        <f t="shared" si="22"/>
        <v>-0.42688027024269104</v>
      </c>
      <c r="G185">
        <f t="shared" si="23"/>
        <v>-0.5001068115234375</v>
      </c>
    </row>
    <row r="186" spans="1:7" x14ac:dyDescent="0.35">
      <c r="A186">
        <f t="shared" si="24"/>
        <v>-0.2890625</v>
      </c>
      <c r="B186">
        <f t="shared" si="18"/>
        <v>-0.61855194937593261</v>
      </c>
      <c r="C186">
        <f t="shared" si="19"/>
        <v>8.355712890625E-2</v>
      </c>
      <c r="D186">
        <f t="shared" si="20"/>
        <v>-2.4153232574462891E-2</v>
      </c>
      <c r="E186">
        <f t="shared" si="21"/>
        <v>-0.14453125</v>
      </c>
      <c r="F186">
        <f t="shared" si="22"/>
        <v>-0.42151713371276855</v>
      </c>
      <c r="G186">
        <f t="shared" si="23"/>
        <v>-0.49456787109375</v>
      </c>
    </row>
    <row r="187" spans="1:7" x14ac:dyDescent="0.35">
      <c r="A187">
        <f t="shared" si="24"/>
        <v>-0.28515625</v>
      </c>
      <c r="B187">
        <f t="shared" si="18"/>
        <v>-0.61248626891235636</v>
      </c>
      <c r="C187">
        <f t="shared" si="19"/>
        <v>8.13140869140625E-2</v>
      </c>
      <c r="D187">
        <f t="shared" si="20"/>
        <v>-2.3187220096588135E-2</v>
      </c>
      <c r="E187">
        <f t="shared" si="21"/>
        <v>-0.142578125</v>
      </c>
      <c r="F187">
        <f t="shared" si="22"/>
        <v>-0.41614076495170593</v>
      </c>
      <c r="G187">
        <f t="shared" si="23"/>
        <v>-0.4889984130859375</v>
      </c>
    </row>
    <row r="188" spans="1:7" x14ac:dyDescent="0.35">
      <c r="A188">
        <f t="shared" si="24"/>
        <v>-0.28125</v>
      </c>
      <c r="B188">
        <f t="shared" si="18"/>
        <v>-0.60634759271380301</v>
      </c>
      <c r="C188">
        <f t="shared" si="19"/>
        <v>7.91015625E-2</v>
      </c>
      <c r="D188">
        <f t="shared" si="20"/>
        <v>-2.2247314453125E-2</v>
      </c>
      <c r="E188">
        <f t="shared" si="21"/>
        <v>-0.140625</v>
      </c>
      <c r="F188">
        <f t="shared" si="22"/>
        <v>-0.4107513427734375</v>
      </c>
      <c r="G188">
        <f t="shared" si="23"/>
        <v>-0.4833984375</v>
      </c>
    </row>
    <row r="189" spans="1:7" x14ac:dyDescent="0.35">
      <c r="A189">
        <f t="shared" si="24"/>
        <v>-0.27734375</v>
      </c>
      <c r="B189">
        <f t="shared" si="18"/>
        <v>-0.60013578715162996</v>
      </c>
      <c r="C189">
        <f t="shared" si="19"/>
        <v>7.69195556640625E-2</v>
      </c>
      <c r="D189">
        <f t="shared" si="20"/>
        <v>-2.1333158016204834E-2</v>
      </c>
      <c r="E189">
        <f t="shared" si="21"/>
        <v>-0.138671875</v>
      </c>
      <c r="F189">
        <f t="shared" si="22"/>
        <v>-0.40534904599189758</v>
      </c>
      <c r="G189">
        <f t="shared" si="23"/>
        <v>-0.4777679443359375</v>
      </c>
    </row>
    <row r="190" spans="1:7" x14ac:dyDescent="0.35">
      <c r="A190">
        <f t="shared" si="24"/>
        <v>-0.2734375</v>
      </c>
      <c r="B190">
        <f t="shared" si="18"/>
        <v>-0.59385074362105961</v>
      </c>
      <c r="C190">
        <f t="shared" si="19"/>
        <v>7.476806640625E-2</v>
      </c>
      <c r="D190">
        <f t="shared" si="20"/>
        <v>-2.0444393157958984E-2</v>
      </c>
      <c r="E190">
        <f t="shared" si="21"/>
        <v>-0.13671875</v>
      </c>
      <c r="F190">
        <f t="shared" si="22"/>
        <v>-0.39993405342102051</v>
      </c>
      <c r="G190">
        <f t="shared" si="23"/>
        <v>-0.47210693359375</v>
      </c>
    </row>
    <row r="191" spans="1:7" x14ac:dyDescent="0.35">
      <c r="A191">
        <f t="shared" si="24"/>
        <v>-0.26953125</v>
      </c>
      <c r="B191">
        <f t="shared" si="18"/>
        <v>-0.58749237920633912</v>
      </c>
      <c r="C191">
        <f t="shared" si="19"/>
        <v>7.26470947265625E-2</v>
      </c>
      <c r="D191">
        <f t="shared" si="20"/>
        <v>-1.9580662250518799E-2</v>
      </c>
      <c r="E191">
        <f t="shared" si="21"/>
        <v>-0.134765625</v>
      </c>
      <c r="F191">
        <f t="shared" si="22"/>
        <v>-0.3945065438747406</v>
      </c>
      <c r="G191">
        <f t="shared" si="23"/>
        <v>-0.4664154052734375</v>
      </c>
    </row>
    <row r="192" spans="1:7" x14ac:dyDescent="0.35">
      <c r="A192">
        <f t="shared" si="24"/>
        <v>-0.265625</v>
      </c>
      <c r="B192">
        <f t="shared" si="18"/>
        <v>-0.58106063733934943</v>
      </c>
      <c r="C192">
        <f t="shared" si="19"/>
        <v>7.0556640625E-2</v>
      </c>
      <c r="D192">
        <f t="shared" si="20"/>
        <v>-1.8741607666015625E-2</v>
      </c>
      <c r="E192">
        <f t="shared" si="21"/>
        <v>-0.1328125</v>
      </c>
      <c r="F192">
        <f t="shared" si="22"/>
        <v>-0.38906669616699219</v>
      </c>
      <c r="G192">
        <f t="shared" si="23"/>
        <v>-0.460693359375</v>
      </c>
    </row>
    <row r="193" spans="1:7" x14ac:dyDescent="0.35">
      <c r="A193">
        <f t="shared" si="24"/>
        <v>-0.26171875</v>
      </c>
      <c r="B193">
        <f t="shared" si="18"/>
        <v>-0.57455548845054227</v>
      </c>
      <c r="C193">
        <f t="shared" si="19"/>
        <v>6.84967041015625E-2</v>
      </c>
      <c r="D193">
        <f t="shared" si="20"/>
        <v>-1.7926871776580811E-2</v>
      </c>
      <c r="E193">
        <f t="shared" si="21"/>
        <v>-0.130859375</v>
      </c>
      <c r="F193">
        <f t="shared" si="22"/>
        <v>-0.38361468911170959</v>
      </c>
      <c r="G193">
        <f t="shared" si="23"/>
        <v>-0.4549407958984375</v>
      </c>
    </row>
    <row r="194" spans="1:7" x14ac:dyDescent="0.35">
      <c r="A194">
        <f t="shared" si="24"/>
        <v>-0.2578125</v>
      </c>
      <c r="B194">
        <f t="shared" si="18"/>
        <v>-0.56797693061105037</v>
      </c>
      <c r="C194">
        <f t="shared" si="19"/>
        <v>6.646728515625E-2</v>
      </c>
      <c r="D194">
        <f t="shared" si="20"/>
        <v>-1.7136096954345703E-2</v>
      </c>
      <c r="E194">
        <f t="shared" si="21"/>
        <v>-0.12890625</v>
      </c>
      <c r="F194">
        <f t="shared" si="22"/>
        <v>-0.37815070152282715</v>
      </c>
      <c r="G194">
        <f t="shared" si="23"/>
        <v>-0.44915771484375</v>
      </c>
    </row>
    <row r="195" spans="1:7" x14ac:dyDescent="0.35">
      <c r="A195">
        <f t="shared" si="24"/>
        <v>-0.25390625</v>
      </c>
      <c r="B195">
        <f t="shared" si="18"/>
        <v>-0.5613249901647942</v>
      </c>
      <c r="C195">
        <f t="shared" si="19"/>
        <v>6.44683837890625E-2</v>
      </c>
      <c r="D195">
        <f t="shared" si="20"/>
        <v>-1.636892557144165E-2</v>
      </c>
      <c r="E195">
        <f t="shared" si="21"/>
        <v>-0.126953125</v>
      </c>
      <c r="F195">
        <f t="shared" si="22"/>
        <v>-0.37267491221427917</v>
      </c>
      <c r="G195">
        <f t="shared" si="23"/>
        <v>-0.4433441162109375</v>
      </c>
    </row>
    <row r="196" spans="1:7" x14ac:dyDescent="0.35">
      <c r="A196">
        <f t="shared" si="24"/>
        <v>-0.25</v>
      </c>
      <c r="B196">
        <f t="shared" ref="B196:B259" si="25">TANH(A196/$A$2)</f>
        <v>-0.55459972234938226</v>
      </c>
      <c r="C196">
        <f t="shared" si="19"/>
        <v>6.25E-2</v>
      </c>
      <c r="D196">
        <f t="shared" si="20"/>
        <v>-1.5625E-2</v>
      </c>
      <c r="E196">
        <f t="shared" si="21"/>
        <v>-0.125</v>
      </c>
      <c r="F196">
        <f t="shared" si="22"/>
        <v>-0.3671875</v>
      </c>
      <c r="G196">
        <f t="shared" si="23"/>
        <v>-0.4375</v>
      </c>
    </row>
    <row r="197" spans="1:7" x14ac:dyDescent="0.35">
      <c r="A197">
        <f t="shared" si="24"/>
        <v>-0.24609375</v>
      </c>
      <c r="B197">
        <f t="shared" si="25"/>
        <v>-0.54780121190457853</v>
      </c>
      <c r="C197">
        <f t="shared" ref="C197:C260" si="26">$A197^2</f>
        <v>6.05621337890625E-2</v>
      </c>
      <c r="D197">
        <f t="shared" ref="D197:D260" si="27">$C197*$A197</f>
        <v>-1.49039626121521E-2</v>
      </c>
      <c r="E197">
        <f t="shared" ref="E197:E260" si="28">$A197*$B$2</f>
        <v>-0.123046875</v>
      </c>
      <c r="F197">
        <f t="shared" ref="F197:F260" si="29">($A197+$E197-$B$2*$D197)*$D$2</f>
        <v>-0.36168864369392395</v>
      </c>
      <c r="G197">
        <f t="shared" ref="G197:G260" si="30">(A197- SIGN(A197)*A197^2*$H$2)*$G$2</f>
        <v>-0.4316253662109375</v>
      </c>
    </row>
    <row r="198" spans="1:7" x14ac:dyDescent="0.35">
      <c r="A198">
        <f t="shared" ref="A198:A261" si="31">A197+1/256</f>
        <v>-0.2421875</v>
      </c>
      <c r="B198">
        <f t="shared" si="25"/>
        <v>-0.54092957366709515</v>
      </c>
      <c r="C198">
        <f t="shared" si="26"/>
        <v>5.865478515625E-2</v>
      </c>
      <c r="D198">
        <f t="shared" si="27"/>
        <v>-1.4205455780029297E-2</v>
      </c>
      <c r="E198">
        <f t="shared" si="28"/>
        <v>-0.12109375</v>
      </c>
      <c r="F198">
        <f t="shared" si="29"/>
        <v>-0.35617852210998535</v>
      </c>
      <c r="G198">
        <f t="shared" si="30"/>
        <v>-0.42572021484375</v>
      </c>
    </row>
    <row r="199" spans="1:7" x14ac:dyDescent="0.35">
      <c r="A199">
        <f t="shared" si="31"/>
        <v>-0.23828125</v>
      </c>
      <c r="B199">
        <f t="shared" si="25"/>
        <v>-0.53398495315044636</v>
      </c>
      <c r="C199">
        <f t="shared" si="26"/>
        <v>5.67779541015625E-2</v>
      </c>
      <c r="D199">
        <f t="shared" si="27"/>
        <v>-1.3529121875762939E-2</v>
      </c>
      <c r="E199">
        <f t="shared" si="28"/>
        <v>-0.119140625</v>
      </c>
      <c r="F199">
        <f t="shared" si="29"/>
        <v>-0.35065731406211853</v>
      </c>
      <c r="G199">
        <f t="shared" si="30"/>
        <v>-0.4197845458984375</v>
      </c>
    </row>
    <row r="200" spans="1:7" x14ac:dyDescent="0.35">
      <c r="A200">
        <f t="shared" si="31"/>
        <v>-0.234375</v>
      </c>
      <c r="B200">
        <f t="shared" si="25"/>
        <v>-0.52696752710858474</v>
      </c>
      <c r="C200">
        <f t="shared" si="26"/>
        <v>5.4931640625E-2</v>
      </c>
      <c r="D200">
        <f t="shared" si="27"/>
        <v>-1.2874603271484375E-2</v>
      </c>
      <c r="E200">
        <f t="shared" si="28"/>
        <v>-0.1171875</v>
      </c>
      <c r="F200">
        <f t="shared" si="29"/>
        <v>-0.34512519836425781</v>
      </c>
      <c r="G200">
        <f t="shared" si="30"/>
        <v>-0.413818359375</v>
      </c>
    </row>
    <row r="201" spans="1:7" x14ac:dyDescent="0.35">
      <c r="A201">
        <f t="shared" si="31"/>
        <v>-0.23046875</v>
      </c>
      <c r="B201">
        <f t="shared" si="25"/>
        <v>-0.51987750408203015</v>
      </c>
      <c r="C201">
        <f t="shared" si="26"/>
        <v>5.31158447265625E-2</v>
      </c>
      <c r="D201">
        <f t="shared" si="27"/>
        <v>-1.2241542339324951E-2</v>
      </c>
      <c r="E201">
        <f t="shared" si="28"/>
        <v>-0.115234375</v>
      </c>
      <c r="F201">
        <f t="shared" si="29"/>
        <v>-0.33958235383033752</v>
      </c>
      <c r="G201">
        <f t="shared" si="30"/>
        <v>-0.4078216552734375</v>
      </c>
    </row>
    <row r="202" spans="1:7" x14ac:dyDescent="0.35">
      <c r="A202">
        <f t="shared" si="31"/>
        <v>-0.2265625</v>
      </c>
      <c r="B202">
        <f t="shared" si="25"/>
        <v>-0.51271512492518734</v>
      </c>
      <c r="C202">
        <f t="shared" si="26"/>
        <v>5.133056640625E-2</v>
      </c>
      <c r="D202">
        <f t="shared" si="27"/>
        <v>-1.1629581451416016E-2</v>
      </c>
      <c r="E202">
        <f t="shared" si="28"/>
        <v>-0.11328125</v>
      </c>
      <c r="F202">
        <f t="shared" si="29"/>
        <v>-0.33402895927429199</v>
      </c>
      <c r="G202">
        <f t="shared" si="30"/>
        <v>-0.40179443359375</v>
      </c>
    </row>
    <row r="203" spans="1:7" x14ac:dyDescent="0.35">
      <c r="A203">
        <f t="shared" si="31"/>
        <v>-0.22265625</v>
      </c>
      <c r="B203">
        <f t="shared" si="25"/>
        <v>-0.50548066331354735</v>
      </c>
      <c r="C203">
        <f t="shared" si="26"/>
        <v>4.95758056640625E-2</v>
      </c>
      <c r="D203">
        <f t="shared" si="27"/>
        <v>-1.1038362979888916E-2</v>
      </c>
      <c r="E203">
        <f t="shared" si="28"/>
        <v>-0.111328125</v>
      </c>
      <c r="F203">
        <f t="shared" si="29"/>
        <v>-0.32846519351005554</v>
      </c>
      <c r="G203">
        <f t="shared" si="30"/>
        <v>-0.3957366943359375</v>
      </c>
    </row>
    <row r="204" spans="1:7" x14ac:dyDescent="0.35">
      <c r="A204">
        <f t="shared" si="31"/>
        <v>-0.21875</v>
      </c>
      <c r="B204">
        <f t="shared" si="25"/>
        <v>-0.49817442622945513</v>
      </c>
      <c r="C204">
        <f t="shared" si="26"/>
        <v>4.78515625E-2</v>
      </c>
      <c r="D204">
        <f t="shared" si="27"/>
        <v>-1.0467529296875E-2</v>
      </c>
      <c r="E204">
        <f t="shared" si="28"/>
        <v>-0.109375</v>
      </c>
      <c r="F204">
        <f t="shared" si="29"/>
        <v>-0.3228912353515625</v>
      </c>
      <c r="G204">
        <f t="shared" si="30"/>
        <v>-0.3896484375</v>
      </c>
    </row>
    <row r="205" spans="1:7" x14ac:dyDescent="0.35">
      <c r="A205">
        <f t="shared" si="31"/>
        <v>-0.21484375</v>
      </c>
      <c r="B205">
        <f t="shared" si="25"/>
        <v>-0.4907967544251296</v>
      </c>
      <c r="C205">
        <f t="shared" si="26"/>
        <v>4.61578369140625E-2</v>
      </c>
      <c r="D205">
        <f t="shared" si="27"/>
        <v>-9.9167227745056152E-3</v>
      </c>
      <c r="E205">
        <f t="shared" si="28"/>
        <v>-0.107421875</v>
      </c>
      <c r="F205">
        <f t="shared" si="29"/>
        <v>-0.31730726361274719</v>
      </c>
      <c r="G205">
        <f t="shared" si="30"/>
        <v>-0.3835296630859375</v>
      </c>
    </row>
    <row r="206" spans="1:7" x14ac:dyDescent="0.35">
      <c r="A206">
        <f t="shared" si="31"/>
        <v>-0.2109375</v>
      </c>
      <c r="B206">
        <f t="shared" si="25"/>
        <v>-0.48334802286162554</v>
      </c>
      <c r="C206">
        <f t="shared" si="26"/>
        <v>4.449462890625E-2</v>
      </c>
      <c r="D206">
        <f t="shared" si="27"/>
        <v>-9.3855857849121094E-3</v>
      </c>
      <c r="E206">
        <f t="shared" si="28"/>
        <v>-0.10546875</v>
      </c>
      <c r="F206">
        <f t="shared" si="29"/>
        <v>-0.31171345710754395</v>
      </c>
      <c r="G206">
        <f t="shared" si="30"/>
        <v>-0.37738037109375</v>
      </c>
    </row>
    <row r="207" spans="1:7" x14ac:dyDescent="0.35">
      <c r="A207">
        <f t="shared" si="31"/>
        <v>-0.20703125</v>
      </c>
      <c r="B207">
        <f t="shared" si="25"/>
        <v>-0.47582864112242579</v>
      </c>
      <c r="C207">
        <f t="shared" si="26"/>
        <v>4.28619384765625E-2</v>
      </c>
      <c r="D207">
        <f t="shared" si="27"/>
        <v>-8.8737607002258301E-3</v>
      </c>
      <c r="E207">
        <f t="shared" si="28"/>
        <v>-0.103515625</v>
      </c>
      <c r="F207">
        <f t="shared" si="29"/>
        <v>-0.30610999464988708</v>
      </c>
      <c r="G207">
        <f t="shared" si="30"/>
        <v>-0.3712005615234375</v>
      </c>
    </row>
    <row r="208" spans="1:7" x14ac:dyDescent="0.35">
      <c r="A208">
        <f t="shared" si="31"/>
        <v>-0.203125</v>
      </c>
      <c r="B208">
        <f t="shared" si="25"/>
        <v>-0.46823905380036612</v>
      </c>
      <c r="C208">
        <f t="shared" si="26"/>
        <v>4.1259765625E-2</v>
      </c>
      <c r="D208">
        <f t="shared" si="27"/>
        <v>-8.380889892578125E-3</v>
      </c>
      <c r="E208">
        <f t="shared" si="28"/>
        <v>-0.1015625</v>
      </c>
      <c r="F208">
        <f t="shared" si="29"/>
        <v>-0.30049705505371094</v>
      </c>
      <c r="G208">
        <f t="shared" si="30"/>
        <v>-0.364990234375</v>
      </c>
    </row>
    <row r="209" spans="1:7" x14ac:dyDescent="0.35">
      <c r="A209">
        <f t="shared" si="31"/>
        <v>-0.19921875</v>
      </c>
      <c r="B209">
        <f t="shared" si="25"/>
        <v>-0.46057974085660758</v>
      </c>
      <c r="C209">
        <f t="shared" si="26"/>
        <v>3.96881103515625E-2</v>
      </c>
      <c r="D209">
        <f t="shared" si="27"/>
        <v>-7.9066157341003418E-3</v>
      </c>
      <c r="E209">
        <f t="shared" si="28"/>
        <v>-9.9609375E-2</v>
      </c>
      <c r="F209">
        <f t="shared" si="29"/>
        <v>-0.29487481713294983</v>
      </c>
      <c r="G209">
        <f t="shared" si="30"/>
        <v>-0.3587493896484375</v>
      </c>
    </row>
    <row r="210" spans="1:7" x14ac:dyDescent="0.35">
      <c r="A210">
        <f t="shared" si="31"/>
        <v>-0.1953125</v>
      </c>
      <c r="B210">
        <f t="shared" si="25"/>
        <v>-0.45285121795038108</v>
      </c>
      <c r="C210">
        <f t="shared" si="26"/>
        <v>3.814697265625E-2</v>
      </c>
      <c r="D210">
        <f t="shared" si="27"/>
        <v>-7.4505805969238281E-3</v>
      </c>
      <c r="E210">
        <f t="shared" si="28"/>
        <v>-9.765625E-2</v>
      </c>
      <c r="F210">
        <f t="shared" si="29"/>
        <v>-0.28924345970153809</v>
      </c>
      <c r="G210">
        <f t="shared" si="30"/>
        <v>-0.35247802734375</v>
      </c>
    </row>
    <row r="211" spans="1:7" x14ac:dyDescent="0.35">
      <c r="A211">
        <f t="shared" si="31"/>
        <v>-0.19140625</v>
      </c>
      <c r="B211">
        <f t="shared" si="25"/>
        <v>-0.44505403673825755</v>
      </c>
      <c r="C211">
        <f t="shared" si="26"/>
        <v>3.66363525390625E-2</v>
      </c>
      <c r="D211">
        <f t="shared" si="27"/>
        <v>-7.0124268531799316E-3</v>
      </c>
      <c r="E211">
        <f t="shared" si="28"/>
        <v>-9.5703125E-2</v>
      </c>
      <c r="F211">
        <f t="shared" si="29"/>
        <v>-0.28360316157341003</v>
      </c>
      <c r="G211">
        <f t="shared" si="30"/>
        <v>-0.3461761474609375</v>
      </c>
    </row>
    <row r="212" spans="1:7" x14ac:dyDescent="0.35">
      <c r="A212">
        <f t="shared" si="31"/>
        <v>-0.1875</v>
      </c>
      <c r="B212">
        <f t="shared" si="25"/>
        <v>-0.43718878514171222</v>
      </c>
      <c r="C212">
        <f t="shared" si="26"/>
        <v>3.515625E-2</v>
      </c>
      <c r="D212">
        <f t="shared" si="27"/>
        <v>-6.591796875E-3</v>
      </c>
      <c r="E212">
        <f t="shared" si="28"/>
        <v>-9.375E-2</v>
      </c>
      <c r="F212">
        <f t="shared" si="29"/>
        <v>-0.2779541015625</v>
      </c>
      <c r="G212">
        <f t="shared" si="30"/>
        <v>-0.33984375</v>
      </c>
    </row>
    <row r="213" spans="1:7" x14ac:dyDescent="0.35">
      <c r="A213">
        <f t="shared" si="31"/>
        <v>-0.18359375</v>
      </c>
      <c r="B213">
        <f t="shared" si="25"/>
        <v>-0.42925608758178652</v>
      </c>
      <c r="C213">
        <f t="shared" si="26"/>
        <v>3.37066650390625E-2</v>
      </c>
      <c r="D213">
        <f t="shared" si="27"/>
        <v>-6.1883330345153809E-3</v>
      </c>
      <c r="E213">
        <f t="shared" si="28"/>
        <v>-9.1796875E-2</v>
      </c>
      <c r="F213">
        <f t="shared" si="29"/>
        <v>-0.27229645848274231</v>
      </c>
      <c r="G213">
        <f t="shared" si="30"/>
        <v>-0.3334808349609375</v>
      </c>
    </row>
    <row r="214" spans="1:7" x14ac:dyDescent="0.35">
      <c r="A214">
        <f t="shared" si="31"/>
        <v>-0.1796875</v>
      </c>
      <c r="B214">
        <f t="shared" si="25"/>
        <v>-0.42125660517967356</v>
      </c>
      <c r="C214">
        <f t="shared" si="26"/>
        <v>3.228759765625E-2</v>
      </c>
      <c r="D214">
        <f t="shared" si="27"/>
        <v>-5.8016777038574219E-3</v>
      </c>
      <c r="E214">
        <f t="shared" si="28"/>
        <v>-8.984375E-2</v>
      </c>
      <c r="F214">
        <f t="shared" si="29"/>
        <v>-0.26663041114807129</v>
      </c>
      <c r="G214">
        <f t="shared" si="30"/>
        <v>-0.32708740234375</v>
      </c>
    </row>
    <row r="215" spans="1:7" x14ac:dyDescent="0.35">
      <c r="A215">
        <f t="shared" si="31"/>
        <v>-0.17578125</v>
      </c>
      <c r="B215">
        <f t="shared" si="25"/>
        <v>-0.41319103592210077</v>
      </c>
      <c r="C215">
        <f t="shared" si="26"/>
        <v>3.08990478515625E-2</v>
      </c>
      <c r="D215">
        <f t="shared" si="27"/>
        <v>-5.4314732551574707E-3</v>
      </c>
      <c r="E215">
        <f t="shared" si="28"/>
        <v>-8.7890625E-2</v>
      </c>
      <c r="F215">
        <f t="shared" si="29"/>
        <v>-0.26095613837242126</v>
      </c>
      <c r="G215">
        <f t="shared" si="30"/>
        <v>-0.3206634521484375</v>
      </c>
    </row>
    <row r="216" spans="1:7" x14ac:dyDescent="0.35">
      <c r="A216">
        <f t="shared" si="31"/>
        <v>-0.171875</v>
      </c>
      <c r="B216">
        <f t="shared" si="25"/>
        <v>-0.40506011479041054</v>
      </c>
      <c r="C216">
        <f t="shared" si="26"/>
        <v>2.9541015625E-2</v>
      </c>
      <c r="D216">
        <f t="shared" si="27"/>
        <v>-5.077362060546875E-3</v>
      </c>
      <c r="E216">
        <f t="shared" si="28"/>
        <v>-8.59375E-2</v>
      </c>
      <c r="F216">
        <f t="shared" si="29"/>
        <v>-0.25527381896972656</v>
      </c>
      <c r="G216">
        <f t="shared" si="30"/>
        <v>-0.314208984375</v>
      </c>
    </row>
    <row r="217" spans="1:7" x14ac:dyDescent="0.35">
      <c r="A217">
        <f t="shared" si="31"/>
        <v>-0.16796875</v>
      </c>
      <c r="B217">
        <f t="shared" si="25"/>
        <v>-0.39686461385229149</v>
      </c>
      <c r="C217">
        <f t="shared" si="26"/>
        <v>2.82135009765625E-2</v>
      </c>
      <c r="D217">
        <f t="shared" si="27"/>
        <v>-4.7389864921569824E-3</v>
      </c>
      <c r="E217">
        <f t="shared" si="28"/>
        <v>-8.3984375E-2</v>
      </c>
      <c r="F217">
        <f t="shared" si="29"/>
        <v>-0.24958363175392151</v>
      </c>
      <c r="G217">
        <f t="shared" si="30"/>
        <v>-0.3077239990234375</v>
      </c>
    </row>
    <row r="218" spans="1:7" x14ac:dyDescent="0.35">
      <c r="A218">
        <f t="shared" si="31"/>
        <v>-0.1640625</v>
      </c>
      <c r="B218">
        <f t="shared" si="25"/>
        <v>-0.38860534231515709</v>
      </c>
      <c r="C218">
        <f t="shared" si="26"/>
        <v>2.691650390625E-2</v>
      </c>
      <c r="D218">
        <f t="shared" si="27"/>
        <v>-4.4159889221191406E-3</v>
      </c>
      <c r="E218">
        <f t="shared" si="28"/>
        <v>-8.203125E-2</v>
      </c>
      <c r="F218">
        <f t="shared" si="29"/>
        <v>-0.24388575553894043</v>
      </c>
      <c r="G218">
        <f t="shared" si="30"/>
        <v>-0.30120849609375</v>
      </c>
    </row>
    <row r="219" spans="1:7" x14ac:dyDescent="0.35">
      <c r="A219">
        <f t="shared" si="31"/>
        <v>-0.16015625</v>
      </c>
      <c r="B219">
        <f t="shared" si="25"/>
        <v>-0.38028314654022305</v>
      </c>
      <c r="C219">
        <f t="shared" si="26"/>
        <v>2.56500244140625E-2</v>
      </c>
      <c r="D219">
        <f t="shared" si="27"/>
        <v>-4.1080117225646973E-3</v>
      </c>
      <c r="E219">
        <f t="shared" si="28"/>
        <v>-8.0078125E-2</v>
      </c>
      <c r="F219">
        <f t="shared" si="29"/>
        <v>-0.23818036913871765</v>
      </c>
      <c r="G219">
        <f t="shared" si="30"/>
        <v>-0.2946624755859375</v>
      </c>
    </row>
    <row r="220" spans="1:7" x14ac:dyDescent="0.35">
      <c r="A220">
        <f t="shared" si="31"/>
        <v>-0.15625</v>
      </c>
      <c r="B220">
        <f t="shared" si="25"/>
        <v>-0.37189891001638509</v>
      </c>
      <c r="C220">
        <f t="shared" si="26"/>
        <v>2.44140625E-2</v>
      </c>
      <c r="D220">
        <f t="shared" si="27"/>
        <v>-3.814697265625E-3</v>
      </c>
      <c r="E220">
        <f t="shared" si="28"/>
        <v>-7.8125E-2</v>
      </c>
      <c r="F220">
        <f t="shared" si="29"/>
        <v>-0.2324676513671875</v>
      </c>
      <c r="G220">
        <f t="shared" si="30"/>
        <v>-0.2880859375</v>
      </c>
    </row>
    <row r="221" spans="1:7" x14ac:dyDescent="0.35">
      <c r="A221">
        <f t="shared" si="31"/>
        <v>-0.15234375</v>
      </c>
      <c r="B221">
        <f t="shared" si="25"/>
        <v>-0.36345355329306545</v>
      </c>
      <c r="C221">
        <f t="shared" si="26"/>
        <v>2.32086181640625E-2</v>
      </c>
      <c r="D221">
        <f t="shared" si="27"/>
        <v>-3.5356879234313965E-3</v>
      </c>
      <c r="E221">
        <f t="shared" si="28"/>
        <v>-7.6171875E-2</v>
      </c>
      <c r="F221">
        <f t="shared" si="29"/>
        <v>-0.2267477810382843</v>
      </c>
      <c r="G221">
        <f t="shared" si="30"/>
        <v>-0.2814788818359375</v>
      </c>
    </row>
    <row r="222" spans="1:7" x14ac:dyDescent="0.35">
      <c r="A222">
        <f t="shared" si="31"/>
        <v>-0.1484375</v>
      </c>
      <c r="B222">
        <f t="shared" si="25"/>
        <v>-0.35494803387125462</v>
      </c>
      <c r="C222">
        <f t="shared" si="26"/>
        <v>2.203369140625E-2</v>
      </c>
      <c r="D222">
        <f t="shared" si="27"/>
        <v>-3.2706260681152344E-3</v>
      </c>
      <c r="E222">
        <f t="shared" si="28"/>
        <v>-7.421875E-2</v>
      </c>
      <c r="F222">
        <f t="shared" si="29"/>
        <v>-0.22102093696594238</v>
      </c>
      <c r="G222">
        <f t="shared" si="30"/>
        <v>-0.27484130859375</v>
      </c>
    </row>
    <row r="223" spans="1:7" x14ac:dyDescent="0.35">
      <c r="A223">
        <f t="shared" si="31"/>
        <v>-0.14453125</v>
      </c>
      <c r="B223">
        <f t="shared" si="25"/>
        <v>-0.34638334605204391</v>
      </c>
      <c r="C223">
        <f t="shared" si="26"/>
        <v>2.08892822265625E-2</v>
      </c>
      <c r="D223">
        <f t="shared" si="27"/>
        <v>-3.0191540718078613E-3</v>
      </c>
      <c r="E223">
        <f t="shared" si="28"/>
        <v>-7.2265625E-2</v>
      </c>
      <c r="F223">
        <f t="shared" si="29"/>
        <v>-0.21528729796409607</v>
      </c>
      <c r="G223">
        <f t="shared" si="30"/>
        <v>-0.2681732177734375</v>
      </c>
    </row>
    <row r="224" spans="1:7" x14ac:dyDescent="0.35">
      <c r="A224">
        <f t="shared" si="31"/>
        <v>-0.140625</v>
      </c>
      <c r="B224">
        <f t="shared" si="25"/>
        <v>-0.33776052074201712</v>
      </c>
      <c r="C224">
        <f t="shared" si="26"/>
        <v>1.9775390625E-2</v>
      </c>
      <c r="D224">
        <f t="shared" si="27"/>
        <v>-2.780914306640625E-3</v>
      </c>
      <c r="E224">
        <f t="shared" si="28"/>
        <v>-7.03125E-2</v>
      </c>
      <c r="F224">
        <f t="shared" si="29"/>
        <v>-0.20954704284667969</v>
      </c>
      <c r="G224">
        <f t="shared" si="30"/>
        <v>-0.261474609375</v>
      </c>
    </row>
    <row r="225" spans="1:7" x14ac:dyDescent="0.35">
      <c r="A225">
        <f t="shared" si="31"/>
        <v>-0.13671875</v>
      </c>
      <c r="B225">
        <f t="shared" si="25"/>
        <v>-0.32908062521494014</v>
      </c>
      <c r="C225">
        <f t="shared" si="26"/>
        <v>1.86920166015625E-2</v>
      </c>
      <c r="D225">
        <f t="shared" si="27"/>
        <v>-2.555549144744873E-3</v>
      </c>
      <c r="E225">
        <f t="shared" si="28"/>
        <v>-6.8359375E-2</v>
      </c>
      <c r="F225">
        <f t="shared" si="29"/>
        <v>-0.20380035042762756</v>
      </c>
      <c r="G225">
        <f t="shared" si="30"/>
        <v>-0.2547454833984375</v>
      </c>
    </row>
    <row r="226" spans="1:7" x14ac:dyDescent="0.35">
      <c r="A226">
        <f t="shared" si="31"/>
        <v>-0.1328125</v>
      </c>
      <c r="B226">
        <f t="shared" si="25"/>
        <v>-0.32034476282927049</v>
      </c>
      <c r="C226">
        <f t="shared" si="26"/>
        <v>1.763916015625E-2</v>
      </c>
      <c r="D226">
        <f t="shared" si="27"/>
        <v>-2.3427009582519531E-3</v>
      </c>
      <c r="E226">
        <f t="shared" si="28"/>
        <v>-6.640625E-2</v>
      </c>
      <c r="F226">
        <f t="shared" si="29"/>
        <v>-0.19804739952087402</v>
      </c>
      <c r="G226">
        <f t="shared" si="30"/>
        <v>-0.24798583984375</v>
      </c>
    </row>
    <row r="227" spans="1:7" x14ac:dyDescent="0.35">
      <c r="A227">
        <f t="shared" si="31"/>
        <v>-0.12890625</v>
      </c>
      <c r="B227">
        <f t="shared" si="25"/>
        <v>-0.31155407270108448</v>
      </c>
      <c r="C227">
        <f t="shared" si="26"/>
        <v>1.66168212890625E-2</v>
      </c>
      <c r="D227">
        <f t="shared" si="27"/>
        <v>-2.1420121192932129E-3</v>
      </c>
      <c r="E227">
        <f t="shared" si="28"/>
        <v>-6.4453125E-2</v>
      </c>
      <c r="F227">
        <f t="shared" si="29"/>
        <v>-0.19228836894035339</v>
      </c>
      <c r="G227">
        <f t="shared" si="30"/>
        <v>-0.2411956787109375</v>
      </c>
    </row>
    <row r="228" spans="1:7" x14ac:dyDescent="0.35">
      <c r="A228">
        <f t="shared" si="31"/>
        <v>-0.125</v>
      </c>
      <c r="B228">
        <f t="shared" si="25"/>
        <v>-0.30270972933210849</v>
      </c>
      <c r="C228">
        <f t="shared" si="26"/>
        <v>1.5625E-2</v>
      </c>
      <c r="D228">
        <f t="shared" si="27"/>
        <v>-1.953125E-3</v>
      </c>
      <c r="E228">
        <f t="shared" si="28"/>
        <v>-6.25E-2</v>
      </c>
      <c r="F228">
        <f t="shared" si="29"/>
        <v>-0.1865234375</v>
      </c>
      <c r="G228">
        <f t="shared" si="30"/>
        <v>-0.234375</v>
      </c>
    </row>
    <row r="229" spans="1:7" x14ac:dyDescent="0.35">
      <c r="A229">
        <f t="shared" si="31"/>
        <v>-0.12109375</v>
      </c>
      <c r="B229">
        <f t="shared" si="25"/>
        <v>-0.29381294219262516</v>
      </c>
      <c r="C229">
        <f t="shared" si="26"/>
        <v>1.46636962890625E-2</v>
      </c>
      <c r="D229">
        <f t="shared" si="27"/>
        <v>-1.7756819725036621E-3</v>
      </c>
      <c r="E229">
        <f t="shared" si="28"/>
        <v>-6.0546875E-2</v>
      </c>
      <c r="F229">
        <f t="shared" si="29"/>
        <v>-0.18075278401374817</v>
      </c>
      <c r="G229">
        <f t="shared" si="30"/>
        <v>-0.2275238037109375</v>
      </c>
    </row>
    <row r="230" spans="1:7" x14ac:dyDescent="0.35">
      <c r="A230">
        <f t="shared" si="31"/>
        <v>-0.1171875</v>
      </c>
      <c r="B230">
        <f t="shared" si="25"/>
        <v>-0.28486495525911637</v>
      </c>
      <c r="C230">
        <f t="shared" si="26"/>
        <v>1.373291015625E-2</v>
      </c>
      <c r="D230">
        <f t="shared" si="27"/>
        <v>-1.6093254089355469E-3</v>
      </c>
      <c r="E230">
        <f t="shared" si="28"/>
        <v>-5.859375E-2</v>
      </c>
      <c r="F230">
        <f t="shared" si="29"/>
        <v>-0.17497658729553223</v>
      </c>
      <c r="G230">
        <f t="shared" si="30"/>
        <v>-0.22064208984375</v>
      </c>
    </row>
    <row r="231" spans="1:7" x14ac:dyDescent="0.35">
      <c r="A231">
        <f t="shared" si="31"/>
        <v>-0.11328125</v>
      </c>
      <c r="B231">
        <f t="shared" si="25"/>
        <v>-0.27586704650659583</v>
      </c>
      <c r="C231">
        <f t="shared" si="26"/>
        <v>1.28326416015625E-2</v>
      </c>
      <c r="D231">
        <f t="shared" si="27"/>
        <v>-1.453697681427002E-3</v>
      </c>
      <c r="E231">
        <f t="shared" si="28"/>
        <v>-5.6640625E-2</v>
      </c>
      <c r="F231">
        <f t="shared" si="29"/>
        <v>-0.1691950261592865</v>
      </c>
      <c r="G231">
        <f t="shared" si="30"/>
        <v>-0.2137298583984375</v>
      </c>
    </row>
    <row r="232" spans="1:7" x14ac:dyDescent="0.35">
      <c r="A232">
        <f t="shared" si="31"/>
        <v>-0.109375</v>
      </c>
      <c r="B232">
        <f t="shared" si="25"/>
        <v>-0.26682052735568029</v>
      </c>
      <c r="C232">
        <f t="shared" si="26"/>
        <v>1.1962890625E-2</v>
      </c>
      <c r="D232">
        <f t="shared" si="27"/>
        <v>-1.308441162109375E-3</v>
      </c>
      <c r="E232">
        <f t="shared" si="28"/>
        <v>-5.46875E-2</v>
      </c>
      <c r="F232">
        <f t="shared" si="29"/>
        <v>-0.16340827941894531</v>
      </c>
      <c r="G232">
        <f t="shared" si="30"/>
        <v>-0.206787109375</v>
      </c>
    </row>
    <row r="233" spans="1:7" x14ac:dyDescent="0.35">
      <c r="A233">
        <f t="shared" si="31"/>
        <v>-0.10546875</v>
      </c>
      <c r="B233">
        <f t="shared" si="25"/>
        <v>-0.25772674207454177</v>
      </c>
      <c r="C233">
        <f t="shared" si="26"/>
        <v>1.11236572265625E-2</v>
      </c>
      <c r="D233">
        <f t="shared" si="27"/>
        <v>-1.1731982231140137E-3</v>
      </c>
      <c r="E233">
        <f t="shared" si="28"/>
        <v>-5.2734375E-2</v>
      </c>
      <c r="F233">
        <f t="shared" si="29"/>
        <v>-0.15761652588844299</v>
      </c>
      <c r="G233">
        <f t="shared" si="30"/>
        <v>-0.1998138427734375</v>
      </c>
    </row>
    <row r="234" spans="1:7" x14ac:dyDescent="0.35">
      <c r="A234">
        <f t="shared" si="31"/>
        <v>-0.1015625</v>
      </c>
      <c r="B234">
        <f t="shared" si="25"/>
        <v>-0.24858706713598414</v>
      </c>
      <c r="C234">
        <f t="shared" si="26"/>
        <v>1.031494140625E-2</v>
      </c>
      <c r="D234">
        <f t="shared" si="27"/>
        <v>-1.0476112365722656E-3</v>
      </c>
      <c r="E234">
        <f t="shared" si="28"/>
        <v>-5.078125E-2</v>
      </c>
      <c r="F234">
        <f t="shared" si="29"/>
        <v>-0.15181994438171387</v>
      </c>
      <c r="G234">
        <f t="shared" si="30"/>
        <v>-0.19281005859375</v>
      </c>
    </row>
    <row r="235" spans="1:7" x14ac:dyDescent="0.35">
      <c r="A235">
        <f t="shared" si="31"/>
        <v>-9.765625E-2</v>
      </c>
      <c r="B235">
        <f t="shared" si="25"/>
        <v>-0.23940291052998319</v>
      </c>
      <c r="C235">
        <f t="shared" si="26"/>
        <v>9.5367431640625E-3</v>
      </c>
      <c r="D235">
        <f t="shared" si="27"/>
        <v>-9.3132257461547852E-4</v>
      </c>
      <c r="E235">
        <f t="shared" si="28"/>
        <v>-4.8828125E-2</v>
      </c>
      <c r="F235">
        <f t="shared" si="29"/>
        <v>-0.14601871371269226</v>
      </c>
      <c r="G235">
        <f t="shared" si="30"/>
        <v>-0.1857757568359375</v>
      </c>
    </row>
    <row r="236" spans="1:7" x14ac:dyDescent="0.35">
      <c r="A236">
        <f t="shared" si="31"/>
        <v>-9.375E-2</v>
      </c>
      <c r="B236">
        <f t="shared" si="25"/>
        <v>-0.230175711032133</v>
      </c>
      <c r="C236">
        <f t="shared" si="26"/>
        <v>8.7890625E-3</v>
      </c>
      <c r="D236">
        <f t="shared" si="27"/>
        <v>-8.23974609375E-4</v>
      </c>
      <c r="E236">
        <f t="shared" si="28"/>
        <v>-4.6875E-2</v>
      </c>
      <c r="F236">
        <f t="shared" si="29"/>
        <v>-0.1402130126953125</v>
      </c>
      <c r="G236">
        <f t="shared" si="30"/>
        <v>-0.1787109375</v>
      </c>
    </row>
    <row r="237" spans="1:7" x14ac:dyDescent="0.35">
      <c r="A237">
        <f t="shared" si="31"/>
        <v>-8.984375E-2</v>
      </c>
      <c r="B237">
        <f t="shared" si="25"/>
        <v>-0.2209069374285372</v>
      </c>
      <c r="C237">
        <f t="shared" si="26"/>
        <v>8.0718994140625E-3</v>
      </c>
      <c r="D237">
        <f t="shared" si="27"/>
        <v>-7.2520971298217773E-4</v>
      </c>
      <c r="E237">
        <f t="shared" si="28"/>
        <v>-4.4921875E-2</v>
      </c>
      <c r="F237">
        <f t="shared" si="29"/>
        <v>-0.13440302014350891</v>
      </c>
      <c r="G237">
        <f t="shared" si="30"/>
        <v>-0.1716156005859375</v>
      </c>
    </row>
    <row r="238" spans="1:7" x14ac:dyDescent="0.35">
      <c r="A238">
        <f t="shared" si="31"/>
        <v>-8.59375E-2</v>
      </c>
      <c r="B238">
        <f t="shared" si="25"/>
        <v>-0.21159808769779129</v>
      </c>
      <c r="C238">
        <f t="shared" si="26"/>
        <v>7.38525390625E-3</v>
      </c>
      <c r="D238">
        <f t="shared" si="27"/>
        <v>-6.3467025756835938E-4</v>
      </c>
      <c r="E238">
        <f t="shared" si="28"/>
        <v>-4.296875E-2</v>
      </c>
      <c r="F238">
        <f t="shared" si="29"/>
        <v>-0.12858891487121582</v>
      </c>
      <c r="G238">
        <f t="shared" si="30"/>
        <v>-0.16448974609375</v>
      </c>
    </row>
    <row r="239" spans="1:7" x14ac:dyDescent="0.35">
      <c r="A239">
        <f t="shared" si="31"/>
        <v>-8.203125E-2</v>
      </c>
      <c r="B239">
        <f t="shared" si="25"/>
        <v>-0.20225068815079633</v>
      </c>
      <c r="C239">
        <f t="shared" si="26"/>
        <v>6.7291259765625E-3</v>
      </c>
      <c r="D239">
        <f t="shared" si="27"/>
        <v>-5.5199861526489258E-4</v>
      </c>
      <c r="E239">
        <f t="shared" si="28"/>
        <v>-4.1015625E-2</v>
      </c>
      <c r="F239">
        <f t="shared" si="29"/>
        <v>-0.12277087569236755</v>
      </c>
      <c r="G239">
        <f t="shared" si="30"/>
        <v>-0.1573333740234375</v>
      </c>
    </row>
    <row r="240" spans="1:7" x14ac:dyDescent="0.35">
      <c r="A240">
        <f t="shared" si="31"/>
        <v>-7.8125E-2</v>
      </c>
      <c r="B240">
        <f t="shared" si="25"/>
        <v>-0.19286629252925089</v>
      </c>
      <c r="C240">
        <f t="shared" si="26"/>
        <v>6.103515625E-3</v>
      </c>
      <c r="D240">
        <f t="shared" si="27"/>
        <v>-4.76837158203125E-4</v>
      </c>
      <c r="E240">
        <f t="shared" si="28"/>
        <v>-3.90625E-2</v>
      </c>
      <c r="F240">
        <f t="shared" si="29"/>
        <v>-0.11694908142089844</v>
      </c>
      <c r="G240">
        <f t="shared" si="30"/>
        <v>-0.150146484375</v>
      </c>
    </row>
    <row r="241" spans="1:7" x14ac:dyDescent="0.35">
      <c r="A241">
        <f t="shared" si="31"/>
        <v>-7.421875E-2</v>
      </c>
      <c r="B241">
        <f t="shared" si="25"/>
        <v>-0.18344648106376396</v>
      </c>
      <c r="C241">
        <f t="shared" si="26"/>
        <v>5.5084228515625E-3</v>
      </c>
      <c r="D241">
        <f t="shared" si="27"/>
        <v>-4.088282585144043E-4</v>
      </c>
      <c r="E241">
        <f t="shared" si="28"/>
        <v>-3.7109375E-2</v>
      </c>
      <c r="F241">
        <f t="shared" si="29"/>
        <v>-0.1111237108707428</v>
      </c>
      <c r="G241">
        <f t="shared" si="30"/>
        <v>-0.1429290771484375</v>
      </c>
    </row>
    <row r="242" spans="1:7" x14ac:dyDescent="0.35">
      <c r="A242">
        <f t="shared" si="31"/>
        <v>-7.03125E-2</v>
      </c>
      <c r="B242">
        <f t="shared" si="25"/>
        <v>-0.17399285949263318</v>
      </c>
      <c r="C242">
        <f t="shared" si="26"/>
        <v>4.94384765625E-3</v>
      </c>
      <c r="D242">
        <f t="shared" si="27"/>
        <v>-3.4761428833007813E-4</v>
      </c>
      <c r="E242">
        <f t="shared" si="28"/>
        <v>-3.515625E-2</v>
      </c>
      <c r="F242">
        <f t="shared" si="29"/>
        <v>-0.10529494285583496</v>
      </c>
      <c r="G242">
        <f t="shared" si="30"/>
        <v>-0.13568115234375</v>
      </c>
    </row>
    <row r="243" spans="1:7" x14ac:dyDescent="0.35">
      <c r="A243">
        <f t="shared" si="31"/>
        <v>-6.640625E-2</v>
      </c>
      <c r="B243">
        <f t="shared" si="25"/>
        <v>-0.16450705804242946</v>
      </c>
      <c r="C243">
        <f t="shared" si="26"/>
        <v>4.4097900390625E-3</v>
      </c>
      <c r="D243">
        <f t="shared" si="27"/>
        <v>-2.9283761978149414E-4</v>
      </c>
      <c r="E243">
        <f t="shared" si="28"/>
        <v>-3.3203125E-2</v>
      </c>
      <c r="F243">
        <f t="shared" si="29"/>
        <v>-9.9462956190109253E-2</v>
      </c>
      <c r="G243">
        <f t="shared" si="30"/>
        <v>-0.1284027099609375</v>
      </c>
    </row>
    <row r="244" spans="1:7" x14ac:dyDescent="0.35">
      <c r="A244">
        <f t="shared" si="31"/>
        <v>-6.25E-2</v>
      </c>
      <c r="B244">
        <f t="shared" si="25"/>
        <v>-0.15499073037162348</v>
      </c>
      <c r="C244">
        <f t="shared" si="26"/>
        <v>3.90625E-3</v>
      </c>
      <c r="D244">
        <f t="shared" si="27"/>
        <v>-2.44140625E-4</v>
      </c>
      <c r="E244">
        <f t="shared" si="28"/>
        <v>-3.125E-2</v>
      </c>
      <c r="F244">
        <f t="shared" si="29"/>
        <v>-9.36279296875E-2</v>
      </c>
      <c r="G244">
        <f t="shared" si="30"/>
        <v>-0.12109375</v>
      </c>
    </row>
    <row r="245" spans="1:7" x14ac:dyDescent="0.35">
      <c r="A245">
        <f t="shared" si="31"/>
        <v>-5.859375E-2</v>
      </c>
      <c r="B245">
        <f t="shared" si="25"/>
        <v>-0.14544555247858676</v>
      </c>
      <c r="C245">
        <f t="shared" si="26"/>
        <v>3.4332275390625E-3</v>
      </c>
      <c r="D245">
        <f t="shared" si="27"/>
        <v>-2.0116567611694336E-4</v>
      </c>
      <c r="E245">
        <f t="shared" si="28"/>
        <v>-2.9296875E-2</v>
      </c>
      <c r="F245">
        <f t="shared" si="29"/>
        <v>-8.7790042161941528E-2</v>
      </c>
      <c r="G245">
        <f t="shared" si="30"/>
        <v>-0.1137542724609375</v>
      </c>
    </row>
    <row r="246" spans="1:7" x14ac:dyDescent="0.35">
      <c r="A246">
        <f t="shared" si="31"/>
        <v>-5.46875E-2</v>
      </c>
      <c r="B246">
        <f t="shared" si="25"/>
        <v>-0.1358732215753865</v>
      </c>
      <c r="C246">
        <f t="shared" si="26"/>
        <v>2.99072265625E-3</v>
      </c>
      <c r="D246">
        <f t="shared" si="27"/>
        <v>-1.6355514526367188E-4</v>
      </c>
      <c r="E246">
        <f t="shared" si="28"/>
        <v>-2.734375E-2</v>
      </c>
      <c r="F246">
        <f t="shared" si="29"/>
        <v>-8.1949472427368164E-2</v>
      </c>
      <c r="G246">
        <f t="shared" si="30"/>
        <v>-0.10638427734375</v>
      </c>
    </row>
    <row r="247" spans="1:7" x14ac:dyDescent="0.35">
      <c r="A247">
        <f t="shared" si="31"/>
        <v>-5.078125E-2</v>
      </c>
      <c r="B247">
        <f t="shared" si="25"/>
        <v>-0.12627545492888667</v>
      </c>
      <c r="C247">
        <f t="shared" si="26"/>
        <v>2.5787353515625E-3</v>
      </c>
      <c r="D247">
        <f t="shared" si="27"/>
        <v>-1.309514045715332E-4</v>
      </c>
      <c r="E247">
        <f t="shared" si="28"/>
        <v>-2.5390625E-2</v>
      </c>
      <c r="F247">
        <f t="shared" si="29"/>
        <v>-7.6106399297714233E-2</v>
      </c>
      <c r="G247">
        <f t="shared" si="30"/>
        <v>-9.89837646484375E-2</v>
      </c>
    </row>
    <row r="248" spans="1:7" x14ac:dyDescent="0.35">
      <c r="A248">
        <f t="shared" si="31"/>
        <v>-4.6875E-2</v>
      </c>
      <c r="B248">
        <f t="shared" si="25"/>
        <v>-0.11665398867074886</v>
      </c>
      <c r="C248">
        <f t="shared" si="26"/>
        <v>2.197265625E-3</v>
      </c>
      <c r="D248">
        <f t="shared" si="27"/>
        <v>-1.02996826171875E-4</v>
      </c>
      <c r="E248">
        <f t="shared" si="28"/>
        <v>-2.34375E-2</v>
      </c>
      <c r="F248">
        <f t="shared" si="29"/>
        <v>-7.0261001586914063E-2</v>
      </c>
      <c r="G248">
        <f t="shared" si="30"/>
        <v>-9.1552734375E-2</v>
      </c>
    </row>
    <row r="249" spans="1:7" x14ac:dyDescent="0.35">
      <c r="A249">
        <f t="shared" si="31"/>
        <v>-4.296875E-2</v>
      </c>
      <c r="B249">
        <f t="shared" si="25"/>
        <v>-0.10701057657801066</v>
      </c>
      <c r="C249">
        <f t="shared" si="26"/>
        <v>1.8463134765625E-3</v>
      </c>
      <c r="D249">
        <f t="shared" si="27"/>
        <v>-7.9333782196044922E-5</v>
      </c>
      <c r="E249">
        <f t="shared" si="28"/>
        <v>-2.1484375E-2</v>
      </c>
      <c r="F249">
        <f t="shared" si="29"/>
        <v>-6.4413458108901978E-2</v>
      </c>
      <c r="G249">
        <f t="shared" si="30"/>
        <v>-8.40911865234375E-2</v>
      </c>
    </row>
    <row r="250" spans="1:7" x14ac:dyDescent="0.35">
      <c r="A250">
        <f t="shared" si="31"/>
        <v>-3.90625E-2</v>
      </c>
      <c r="B250">
        <f t="shared" si="25"/>
        <v>-9.7346988825996877E-2</v>
      </c>
      <c r="C250">
        <f t="shared" si="26"/>
        <v>1.52587890625E-3</v>
      </c>
      <c r="D250">
        <f t="shared" si="27"/>
        <v>-5.9604644775390625E-5</v>
      </c>
      <c r="E250">
        <f t="shared" si="28"/>
        <v>-1.953125E-2</v>
      </c>
      <c r="F250">
        <f t="shared" si="29"/>
        <v>-5.8563947677612305E-2</v>
      </c>
      <c r="G250">
        <f t="shared" si="30"/>
        <v>-7.659912109375E-2</v>
      </c>
    </row>
    <row r="251" spans="1:7" x14ac:dyDescent="0.35">
      <c r="A251">
        <f t="shared" si="31"/>
        <v>-3.515625E-2</v>
      </c>
      <c r="B251">
        <f t="shared" si="25"/>
        <v>-8.7665010715391331E-2</v>
      </c>
      <c r="C251">
        <f t="shared" si="26"/>
        <v>1.2359619140625E-3</v>
      </c>
      <c r="D251">
        <f t="shared" si="27"/>
        <v>-4.3451786041259766E-5</v>
      </c>
      <c r="E251">
        <f t="shared" si="28"/>
        <v>-1.7578125E-2</v>
      </c>
      <c r="F251">
        <f t="shared" si="29"/>
        <v>-5.271264910697937E-2</v>
      </c>
      <c r="G251">
        <f t="shared" si="30"/>
        <v>-6.90765380859375E-2</v>
      </c>
    </row>
    <row r="252" spans="1:7" x14ac:dyDescent="0.35">
      <c r="A252">
        <f t="shared" si="31"/>
        <v>-3.125E-2</v>
      </c>
      <c r="B252">
        <f t="shared" si="25"/>
        <v>-7.7966441375368192E-2</v>
      </c>
      <c r="C252">
        <f t="shared" si="26"/>
        <v>9.765625E-4</v>
      </c>
      <c r="D252">
        <f t="shared" si="27"/>
        <v>-3.0517578125E-5</v>
      </c>
      <c r="E252">
        <f t="shared" si="28"/>
        <v>-1.5625E-2</v>
      </c>
      <c r="F252">
        <f t="shared" si="29"/>
        <v>-4.68597412109375E-2</v>
      </c>
      <c r="G252">
        <f t="shared" si="30"/>
        <v>-6.15234375E-2</v>
      </c>
    </row>
    <row r="253" spans="1:7" x14ac:dyDescent="0.35">
      <c r="A253">
        <f t="shared" si="31"/>
        <v>-2.734375E-2</v>
      </c>
      <c r="B253">
        <f t="shared" si="25"/>
        <v>-6.825309244474452E-2</v>
      </c>
      <c r="C253">
        <f t="shared" si="26"/>
        <v>7.476806640625E-4</v>
      </c>
      <c r="D253">
        <f t="shared" si="27"/>
        <v>-2.0444393157958984E-5</v>
      </c>
      <c r="E253">
        <f t="shared" si="28"/>
        <v>-1.3671875E-2</v>
      </c>
      <c r="F253">
        <f t="shared" si="29"/>
        <v>-4.1005402803421021E-2</v>
      </c>
      <c r="G253">
        <f t="shared" si="30"/>
        <v>-5.39398193359375E-2</v>
      </c>
    </row>
    <row r="254" spans="1:7" x14ac:dyDescent="0.35">
      <c r="A254">
        <f t="shared" si="31"/>
        <v>-2.34375E-2</v>
      </c>
      <c r="B254">
        <f t="shared" si="25"/>
        <v>-5.8526786733177197E-2</v>
      </c>
      <c r="C254">
        <f t="shared" si="26"/>
        <v>5.4931640625E-4</v>
      </c>
      <c r="D254">
        <f t="shared" si="27"/>
        <v>-1.2874603271484375E-5</v>
      </c>
      <c r="E254">
        <f t="shared" si="28"/>
        <v>-1.171875E-2</v>
      </c>
      <c r="F254">
        <f t="shared" si="29"/>
        <v>-3.5149812698364258E-2</v>
      </c>
      <c r="G254">
        <f t="shared" si="30"/>
        <v>-4.632568359375E-2</v>
      </c>
    </row>
    <row r="255" spans="1:7" x14ac:dyDescent="0.35">
      <c r="A255">
        <f t="shared" si="31"/>
        <v>-1.953125E-2</v>
      </c>
      <c r="B255">
        <f t="shared" si="25"/>
        <v>-4.8789356864479792E-2</v>
      </c>
      <c r="C255">
        <f t="shared" si="26"/>
        <v>3.814697265625E-4</v>
      </c>
      <c r="D255">
        <f t="shared" si="27"/>
        <v>-7.4505805969238281E-6</v>
      </c>
      <c r="E255">
        <f t="shared" si="28"/>
        <v>-9.765625E-3</v>
      </c>
      <c r="F255">
        <f t="shared" si="29"/>
        <v>-2.9293149709701538E-2</v>
      </c>
      <c r="G255">
        <f t="shared" si="30"/>
        <v>-3.86810302734375E-2</v>
      </c>
    </row>
    <row r="256" spans="1:7" x14ac:dyDescent="0.35">
      <c r="A256">
        <f t="shared" si="31"/>
        <v>-1.5625E-2</v>
      </c>
      <c r="B256">
        <f t="shared" si="25"/>
        <v>-3.9042643904185922E-2</v>
      </c>
      <c r="C256">
        <f t="shared" si="26"/>
        <v>2.44140625E-4</v>
      </c>
      <c r="D256">
        <f t="shared" si="27"/>
        <v>-3.814697265625E-6</v>
      </c>
      <c r="E256">
        <f t="shared" si="28"/>
        <v>-7.8125E-3</v>
      </c>
      <c r="F256">
        <f t="shared" si="29"/>
        <v>-2.3435592651367188E-2</v>
      </c>
      <c r="G256">
        <f t="shared" si="30"/>
        <v>-3.1005859375E-2</v>
      </c>
    </row>
    <row r="257" spans="1:7" x14ac:dyDescent="0.35">
      <c r="A257">
        <f t="shared" si="31"/>
        <v>-1.171875E-2</v>
      </c>
      <c r="B257">
        <f t="shared" si="25"/>
        <v>-2.9288495973527149E-2</v>
      </c>
      <c r="C257">
        <f t="shared" si="26"/>
        <v>1.373291015625E-4</v>
      </c>
      <c r="D257">
        <f t="shared" si="27"/>
        <v>-1.6093254089355469E-6</v>
      </c>
      <c r="E257">
        <f t="shared" si="28"/>
        <v>-5.859375E-3</v>
      </c>
      <c r="F257">
        <f t="shared" si="29"/>
        <v>-1.7577320337295532E-2</v>
      </c>
      <c r="G257">
        <f t="shared" si="30"/>
        <v>-2.33001708984375E-2</v>
      </c>
    </row>
    <row r="258" spans="1:7" x14ac:dyDescent="0.35">
      <c r="A258">
        <f t="shared" si="31"/>
        <v>-7.8125E-3</v>
      </c>
      <c r="B258">
        <f t="shared" si="25"/>
        <v>-1.9528766852031979E-2</v>
      </c>
      <c r="C258">
        <f t="shared" si="26"/>
        <v>6.103515625E-5</v>
      </c>
      <c r="D258">
        <f t="shared" si="27"/>
        <v>-4.76837158203125E-7</v>
      </c>
      <c r="E258">
        <f t="shared" si="28"/>
        <v>-3.90625E-3</v>
      </c>
      <c r="F258">
        <f t="shared" si="29"/>
        <v>-1.1718511581420898E-2</v>
      </c>
      <c r="G258">
        <f t="shared" si="30"/>
        <v>-1.556396484375E-2</v>
      </c>
    </row>
    <row r="259" spans="1:7" x14ac:dyDescent="0.35">
      <c r="A259">
        <f t="shared" si="31"/>
        <v>-3.90625E-3</v>
      </c>
      <c r="B259">
        <f t="shared" si="25"/>
        <v>-9.7653145709837175E-3</v>
      </c>
      <c r="C259">
        <f t="shared" si="26"/>
        <v>1.52587890625E-5</v>
      </c>
      <c r="D259">
        <f t="shared" si="27"/>
        <v>-5.9604644775390625E-8</v>
      </c>
      <c r="E259">
        <f t="shared" si="28"/>
        <v>-1.953125E-3</v>
      </c>
      <c r="F259">
        <f t="shared" si="29"/>
        <v>-5.8593451976776123E-3</v>
      </c>
      <c r="G259">
        <f t="shared" si="30"/>
        <v>-7.7972412109375E-3</v>
      </c>
    </row>
    <row r="260" spans="1:7" x14ac:dyDescent="0.35">
      <c r="A260">
        <f t="shared" si="31"/>
        <v>0</v>
      </c>
      <c r="B260">
        <f t="shared" ref="B260:B323" si="32">TANH(A260/$A$2)</f>
        <v>0</v>
      </c>
      <c r="C260">
        <f t="shared" si="26"/>
        <v>0</v>
      </c>
      <c r="D260">
        <f t="shared" si="27"/>
        <v>0</v>
      </c>
      <c r="E260">
        <f t="shared" si="28"/>
        <v>0</v>
      </c>
      <c r="F260">
        <f t="shared" si="29"/>
        <v>0</v>
      </c>
      <c r="G260">
        <f t="shared" si="30"/>
        <v>0</v>
      </c>
    </row>
    <row r="261" spans="1:7" x14ac:dyDescent="0.35">
      <c r="A261">
        <f t="shared" si="31"/>
        <v>3.90625E-3</v>
      </c>
      <c r="B261">
        <f t="shared" si="32"/>
        <v>9.7653145709837175E-3</v>
      </c>
      <c r="C261">
        <f t="shared" ref="C261:C324" si="33">$A261^2</f>
        <v>1.52587890625E-5</v>
      </c>
      <c r="D261">
        <f t="shared" ref="D261:D324" si="34">$C261*$A261</f>
        <v>5.9604644775390625E-8</v>
      </c>
      <c r="E261">
        <f t="shared" ref="E261:E324" si="35">$A261*$B$2</f>
        <v>1.953125E-3</v>
      </c>
      <c r="F261">
        <f t="shared" ref="F261:F324" si="36">($A261+$E261-$B$2*$D261)*$D$2</f>
        <v>5.8593451976776123E-3</v>
      </c>
      <c r="G261">
        <f t="shared" ref="G261:G324" si="37">(A261- SIGN(A261)*A261^2*$H$2)*$G$2</f>
        <v>7.7972412109375E-3</v>
      </c>
    </row>
    <row r="262" spans="1:7" x14ac:dyDescent="0.35">
      <c r="A262">
        <f t="shared" ref="A262:A325" si="38">A261+1/256</f>
        <v>7.8125E-3</v>
      </c>
      <c r="B262">
        <f t="shared" si="32"/>
        <v>1.9528766852031979E-2</v>
      </c>
      <c r="C262">
        <f t="shared" si="33"/>
        <v>6.103515625E-5</v>
      </c>
      <c r="D262">
        <f t="shared" si="34"/>
        <v>4.76837158203125E-7</v>
      </c>
      <c r="E262">
        <f t="shared" si="35"/>
        <v>3.90625E-3</v>
      </c>
      <c r="F262">
        <f t="shared" si="36"/>
        <v>1.1718511581420898E-2</v>
      </c>
      <c r="G262">
        <f t="shared" si="37"/>
        <v>1.556396484375E-2</v>
      </c>
    </row>
    <row r="263" spans="1:7" x14ac:dyDescent="0.35">
      <c r="A263">
        <f t="shared" si="38"/>
        <v>1.171875E-2</v>
      </c>
      <c r="B263">
        <f t="shared" si="32"/>
        <v>2.9288495973527149E-2</v>
      </c>
      <c r="C263">
        <f t="shared" si="33"/>
        <v>1.373291015625E-4</v>
      </c>
      <c r="D263">
        <f t="shared" si="34"/>
        <v>1.6093254089355469E-6</v>
      </c>
      <c r="E263">
        <f t="shared" si="35"/>
        <v>5.859375E-3</v>
      </c>
      <c r="F263">
        <f t="shared" si="36"/>
        <v>1.7577320337295532E-2</v>
      </c>
      <c r="G263">
        <f t="shared" si="37"/>
        <v>2.33001708984375E-2</v>
      </c>
    </row>
    <row r="264" spans="1:7" x14ac:dyDescent="0.35">
      <c r="A264">
        <f t="shared" si="38"/>
        <v>1.5625E-2</v>
      </c>
      <c r="B264">
        <f t="shared" si="32"/>
        <v>3.9042643904185922E-2</v>
      </c>
      <c r="C264">
        <f t="shared" si="33"/>
        <v>2.44140625E-4</v>
      </c>
      <c r="D264">
        <f t="shared" si="34"/>
        <v>3.814697265625E-6</v>
      </c>
      <c r="E264">
        <f t="shared" si="35"/>
        <v>7.8125E-3</v>
      </c>
      <c r="F264">
        <f t="shared" si="36"/>
        <v>2.3435592651367188E-2</v>
      </c>
      <c r="G264">
        <f t="shared" si="37"/>
        <v>3.1005859375E-2</v>
      </c>
    </row>
    <row r="265" spans="1:7" x14ac:dyDescent="0.35">
      <c r="A265">
        <f t="shared" si="38"/>
        <v>1.953125E-2</v>
      </c>
      <c r="B265">
        <f t="shared" si="32"/>
        <v>4.8789356864479792E-2</v>
      </c>
      <c r="C265">
        <f t="shared" si="33"/>
        <v>3.814697265625E-4</v>
      </c>
      <c r="D265">
        <f t="shared" si="34"/>
        <v>7.4505805969238281E-6</v>
      </c>
      <c r="E265">
        <f t="shared" si="35"/>
        <v>9.765625E-3</v>
      </c>
      <c r="F265">
        <f t="shared" si="36"/>
        <v>2.9293149709701538E-2</v>
      </c>
      <c r="G265">
        <f t="shared" si="37"/>
        <v>3.86810302734375E-2</v>
      </c>
    </row>
    <row r="266" spans="1:7" x14ac:dyDescent="0.35">
      <c r="A266">
        <f t="shared" si="38"/>
        <v>2.34375E-2</v>
      </c>
      <c r="B266">
        <f t="shared" si="32"/>
        <v>5.8526786733177197E-2</v>
      </c>
      <c r="C266">
        <f t="shared" si="33"/>
        <v>5.4931640625E-4</v>
      </c>
      <c r="D266">
        <f t="shared" si="34"/>
        <v>1.2874603271484375E-5</v>
      </c>
      <c r="E266">
        <f t="shared" si="35"/>
        <v>1.171875E-2</v>
      </c>
      <c r="F266">
        <f t="shared" si="36"/>
        <v>3.5149812698364258E-2</v>
      </c>
      <c r="G266">
        <f t="shared" si="37"/>
        <v>4.632568359375E-2</v>
      </c>
    </row>
    <row r="267" spans="1:7" x14ac:dyDescent="0.35">
      <c r="A267">
        <f t="shared" si="38"/>
        <v>2.734375E-2</v>
      </c>
      <c r="B267">
        <f t="shared" si="32"/>
        <v>6.825309244474452E-2</v>
      </c>
      <c r="C267">
        <f t="shared" si="33"/>
        <v>7.476806640625E-4</v>
      </c>
      <c r="D267">
        <f t="shared" si="34"/>
        <v>2.0444393157958984E-5</v>
      </c>
      <c r="E267">
        <f t="shared" si="35"/>
        <v>1.3671875E-2</v>
      </c>
      <c r="F267">
        <f t="shared" si="36"/>
        <v>4.1005402803421021E-2</v>
      </c>
      <c r="G267">
        <f t="shared" si="37"/>
        <v>5.39398193359375E-2</v>
      </c>
    </row>
    <row r="268" spans="1:7" x14ac:dyDescent="0.35">
      <c r="A268">
        <f t="shared" si="38"/>
        <v>3.125E-2</v>
      </c>
      <c r="B268">
        <f t="shared" si="32"/>
        <v>7.7966441375368192E-2</v>
      </c>
      <c r="C268">
        <f t="shared" si="33"/>
        <v>9.765625E-4</v>
      </c>
      <c r="D268">
        <f t="shared" si="34"/>
        <v>3.0517578125E-5</v>
      </c>
      <c r="E268">
        <f t="shared" si="35"/>
        <v>1.5625E-2</v>
      </c>
      <c r="F268">
        <f t="shared" si="36"/>
        <v>4.68597412109375E-2</v>
      </c>
      <c r="G268">
        <f t="shared" si="37"/>
        <v>6.15234375E-2</v>
      </c>
    </row>
    <row r="269" spans="1:7" x14ac:dyDescent="0.35">
      <c r="A269">
        <f t="shared" si="38"/>
        <v>3.515625E-2</v>
      </c>
      <c r="B269">
        <f t="shared" si="32"/>
        <v>8.7665010715391331E-2</v>
      </c>
      <c r="C269">
        <f t="shared" si="33"/>
        <v>1.2359619140625E-3</v>
      </c>
      <c r="D269">
        <f t="shared" si="34"/>
        <v>4.3451786041259766E-5</v>
      </c>
      <c r="E269">
        <f t="shared" si="35"/>
        <v>1.7578125E-2</v>
      </c>
      <c r="F269">
        <f t="shared" si="36"/>
        <v>5.271264910697937E-2</v>
      </c>
      <c r="G269">
        <f t="shared" si="37"/>
        <v>6.90765380859375E-2</v>
      </c>
    </row>
    <row r="270" spans="1:7" x14ac:dyDescent="0.35">
      <c r="A270">
        <f t="shared" si="38"/>
        <v>3.90625E-2</v>
      </c>
      <c r="B270">
        <f t="shared" si="32"/>
        <v>9.7346988825996877E-2</v>
      </c>
      <c r="C270">
        <f t="shared" si="33"/>
        <v>1.52587890625E-3</v>
      </c>
      <c r="D270">
        <f t="shared" si="34"/>
        <v>5.9604644775390625E-5</v>
      </c>
      <c r="E270">
        <f t="shared" si="35"/>
        <v>1.953125E-2</v>
      </c>
      <c r="F270">
        <f t="shared" si="36"/>
        <v>5.8563947677612305E-2</v>
      </c>
      <c r="G270">
        <f t="shared" si="37"/>
        <v>7.659912109375E-2</v>
      </c>
    </row>
    <row r="271" spans="1:7" x14ac:dyDescent="0.35">
      <c r="A271">
        <f t="shared" si="38"/>
        <v>4.296875E-2</v>
      </c>
      <c r="B271">
        <f t="shared" si="32"/>
        <v>0.10701057657801066</v>
      </c>
      <c r="C271">
        <f t="shared" si="33"/>
        <v>1.8463134765625E-3</v>
      </c>
      <c r="D271">
        <f t="shared" si="34"/>
        <v>7.9333782196044922E-5</v>
      </c>
      <c r="E271">
        <f t="shared" si="35"/>
        <v>2.1484375E-2</v>
      </c>
      <c r="F271">
        <f t="shared" si="36"/>
        <v>6.4413458108901978E-2</v>
      </c>
      <c r="G271">
        <f t="shared" si="37"/>
        <v>8.40911865234375E-2</v>
      </c>
    </row>
    <row r="272" spans="1:7" x14ac:dyDescent="0.35">
      <c r="A272">
        <f t="shared" si="38"/>
        <v>4.6875E-2</v>
      </c>
      <c r="B272">
        <f t="shared" si="32"/>
        <v>0.11665398867074886</v>
      </c>
      <c r="C272">
        <f t="shared" si="33"/>
        <v>2.197265625E-3</v>
      </c>
      <c r="D272">
        <f t="shared" si="34"/>
        <v>1.02996826171875E-4</v>
      </c>
      <c r="E272">
        <f t="shared" si="35"/>
        <v>2.34375E-2</v>
      </c>
      <c r="F272">
        <f t="shared" si="36"/>
        <v>7.0261001586914063E-2</v>
      </c>
      <c r="G272">
        <f t="shared" si="37"/>
        <v>9.1552734375E-2</v>
      </c>
    </row>
    <row r="273" spans="1:7" x14ac:dyDescent="0.35">
      <c r="A273">
        <f t="shared" si="38"/>
        <v>5.078125E-2</v>
      </c>
      <c r="B273">
        <f t="shared" si="32"/>
        <v>0.12627545492888667</v>
      </c>
      <c r="C273">
        <f t="shared" si="33"/>
        <v>2.5787353515625E-3</v>
      </c>
      <c r="D273">
        <f t="shared" si="34"/>
        <v>1.309514045715332E-4</v>
      </c>
      <c r="E273">
        <f t="shared" si="35"/>
        <v>2.5390625E-2</v>
      </c>
      <c r="F273">
        <f t="shared" si="36"/>
        <v>7.6106399297714233E-2</v>
      </c>
      <c r="G273">
        <f t="shared" si="37"/>
        <v>9.89837646484375E-2</v>
      </c>
    </row>
    <row r="274" spans="1:7" x14ac:dyDescent="0.35">
      <c r="A274">
        <f t="shared" si="38"/>
        <v>5.46875E-2</v>
      </c>
      <c r="B274">
        <f t="shared" si="32"/>
        <v>0.1358732215753865</v>
      </c>
      <c r="C274">
        <f t="shared" si="33"/>
        <v>2.99072265625E-3</v>
      </c>
      <c r="D274">
        <f t="shared" si="34"/>
        <v>1.6355514526367188E-4</v>
      </c>
      <c r="E274">
        <f t="shared" si="35"/>
        <v>2.734375E-2</v>
      </c>
      <c r="F274">
        <f t="shared" si="36"/>
        <v>8.1949472427368164E-2</v>
      </c>
      <c r="G274">
        <f t="shared" si="37"/>
        <v>0.10638427734375</v>
      </c>
    </row>
    <row r="275" spans="1:7" x14ac:dyDescent="0.35">
      <c r="A275">
        <f t="shared" si="38"/>
        <v>5.859375E-2</v>
      </c>
      <c r="B275">
        <f t="shared" si="32"/>
        <v>0.14544555247858676</v>
      </c>
      <c r="C275">
        <f t="shared" si="33"/>
        <v>3.4332275390625E-3</v>
      </c>
      <c r="D275">
        <f t="shared" si="34"/>
        <v>2.0116567611694336E-4</v>
      </c>
      <c r="E275">
        <f t="shared" si="35"/>
        <v>2.9296875E-2</v>
      </c>
      <c r="F275">
        <f t="shared" si="36"/>
        <v>8.7790042161941528E-2</v>
      </c>
      <c r="G275">
        <f t="shared" si="37"/>
        <v>0.1137542724609375</v>
      </c>
    </row>
    <row r="276" spans="1:7" x14ac:dyDescent="0.35">
      <c r="A276">
        <f t="shared" si="38"/>
        <v>6.25E-2</v>
      </c>
      <c r="B276">
        <f t="shared" si="32"/>
        <v>0.15499073037162348</v>
      </c>
      <c r="C276">
        <f t="shared" si="33"/>
        <v>3.90625E-3</v>
      </c>
      <c r="D276">
        <f t="shared" si="34"/>
        <v>2.44140625E-4</v>
      </c>
      <c r="E276">
        <f t="shared" si="35"/>
        <v>3.125E-2</v>
      </c>
      <c r="F276">
        <f t="shared" si="36"/>
        <v>9.36279296875E-2</v>
      </c>
      <c r="G276">
        <f t="shared" si="37"/>
        <v>0.12109375</v>
      </c>
    </row>
    <row r="277" spans="1:7" x14ac:dyDescent="0.35">
      <c r="A277">
        <f t="shared" si="38"/>
        <v>6.640625E-2</v>
      </c>
      <c r="B277">
        <f t="shared" si="32"/>
        <v>0.16450705804242946</v>
      </c>
      <c r="C277">
        <f t="shared" si="33"/>
        <v>4.4097900390625E-3</v>
      </c>
      <c r="D277">
        <f t="shared" si="34"/>
        <v>2.9283761978149414E-4</v>
      </c>
      <c r="E277">
        <f t="shared" si="35"/>
        <v>3.3203125E-2</v>
      </c>
      <c r="F277">
        <f t="shared" si="36"/>
        <v>9.9462956190109253E-2</v>
      </c>
      <c r="G277">
        <f t="shared" si="37"/>
        <v>0.1284027099609375</v>
      </c>
    </row>
    <row r="278" spans="1:7" x14ac:dyDescent="0.35">
      <c r="A278">
        <f t="shared" si="38"/>
        <v>7.03125E-2</v>
      </c>
      <c r="B278">
        <f t="shared" si="32"/>
        <v>0.17399285949263318</v>
      </c>
      <c r="C278">
        <f t="shared" si="33"/>
        <v>4.94384765625E-3</v>
      </c>
      <c r="D278">
        <f t="shared" si="34"/>
        <v>3.4761428833007813E-4</v>
      </c>
      <c r="E278">
        <f t="shared" si="35"/>
        <v>3.515625E-2</v>
      </c>
      <c r="F278">
        <f t="shared" si="36"/>
        <v>0.10529494285583496</v>
      </c>
      <c r="G278">
        <f t="shared" si="37"/>
        <v>0.13568115234375</v>
      </c>
    </row>
    <row r="279" spans="1:7" x14ac:dyDescent="0.35">
      <c r="A279">
        <f t="shared" si="38"/>
        <v>7.421875E-2</v>
      </c>
      <c r="B279">
        <f t="shared" si="32"/>
        <v>0.18344648106376396</v>
      </c>
      <c r="C279">
        <f t="shared" si="33"/>
        <v>5.5084228515625E-3</v>
      </c>
      <c r="D279">
        <f t="shared" si="34"/>
        <v>4.088282585144043E-4</v>
      </c>
      <c r="E279">
        <f t="shared" si="35"/>
        <v>3.7109375E-2</v>
      </c>
      <c r="F279">
        <f t="shared" si="36"/>
        <v>0.1111237108707428</v>
      </c>
      <c r="G279">
        <f t="shared" si="37"/>
        <v>0.1429290771484375</v>
      </c>
    </row>
    <row r="280" spans="1:7" x14ac:dyDescent="0.35">
      <c r="A280">
        <f t="shared" si="38"/>
        <v>7.8125E-2</v>
      </c>
      <c r="B280">
        <f t="shared" si="32"/>
        <v>0.19286629252925089</v>
      </c>
      <c r="C280">
        <f t="shared" si="33"/>
        <v>6.103515625E-3</v>
      </c>
      <c r="D280">
        <f t="shared" si="34"/>
        <v>4.76837158203125E-4</v>
      </c>
      <c r="E280">
        <f t="shared" si="35"/>
        <v>3.90625E-2</v>
      </c>
      <c r="F280">
        <f t="shared" si="36"/>
        <v>0.11694908142089844</v>
      </c>
      <c r="G280">
        <f t="shared" si="37"/>
        <v>0.150146484375</v>
      </c>
    </row>
    <row r="281" spans="1:7" x14ac:dyDescent="0.35">
      <c r="A281">
        <f t="shared" si="38"/>
        <v>8.203125E-2</v>
      </c>
      <c r="B281">
        <f t="shared" si="32"/>
        <v>0.20225068815079633</v>
      </c>
      <c r="C281">
        <f t="shared" si="33"/>
        <v>6.7291259765625E-3</v>
      </c>
      <c r="D281">
        <f t="shared" si="34"/>
        <v>5.5199861526489258E-4</v>
      </c>
      <c r="E281">
        <f t="shared" si="35"/>
        <v>4.1015625E-2</v>
      </c>
      <c r="F281">
        <f t="shared" si="36"/>
        <v>0.12277087569236755</v>
      </c>
      <c r="G281">
        <f t="shared" si="37"/>
        <v>0.1573333740234375</v>
      </c>
    </row>
    <row r="282" spans="1:7" x14ac:dyDescent="0.35">
      <c r="A282">
        <f t="shared" si="38"/>
        <v>8.59375E-2</v>
      </c>
      <c r="B282">
        <f t="shared" si="32"/>
        <v>0.21159808769779129</v>
      </c>
      <c r="C282">
        <f t="shared" si="33"/>
        <v>7.38525390625E-3</v>
      </c>
      <c r="D282">
        <f t="shared" si="34"/>
        <v>6.3467025756835938E-4</v>
      </c>
      <c r="E282">
        <f t="shared" si="35"/>
        <v>4.296875E-2</v>
      </c>
      <c r="F282">
        <f t="shared" si="36"/>
        <v>0.12858891487121582</v>
      </c>
      <c r="G282">
        <f t="shared" si="37"/>
        <v>0.16448974609375</v>
      </c>
    </row>
    <row r="283" spans="1:7" x14ac:dyDescent="0.35">
      <c r="A283">
        <f t="shared" si="38"/>
        <v>8.984375E-2</v>
      </c>
      <c r="B283">
        <f t="shared" si="32"/>
        <v>0.2209069374285372</v>
      </c>
      <c r="C283">
        <f t="shared" si="33"/>
        <v>8.0718994140625E-3</v>
      </c>
      <c r="D283">
        <f t="shared" si="34"/>
        <v>7.2520971298217773E-4</v>
      </c>
      <c r="E283">
        <f t="shared" si="35"/>
        <v>4.4921875E-2</v>
      </c>
      <c r="F283">
        <f t="shared" si="36"/>
        <v>0.13440302014350891</v>
      </c>
      <c r="G283">
        <f t="shared" si="37"/>
        <v>0.1716156005859375</v>
      </c>
    </row>
    <row r="284" spans="1:7" x14ac:dyDescent="0.35">
      <c r="A284">
        <f t="shared" si="38"/>
        <v>9.375E-2</v>
      </c>
      <c r="B284">
        <f t="shared" si="32"/>
        <v>0.230175711032133</v>
      </c>
      <c r="C284">
        <f t="shared" si="33"/>
        <v>8.7890625E-3</v>
      </c>
      <c r="D284">
        <f t="shared" si="34"/>
        <v>8.23974609375E-4</v>
      </c>
      <c r="E284">
        <f t="shared" si="35"/>
        <v>4.6875E-2</v>
      </c>
      <c r="F284">
        <f t="shared" si="36"/>
        <v>0.1402130126953125</v>
      </c>
      <c r="G284">
        <f t="shared" si="37"/>
        <v>0.1787109375</v>
      </c>
    </row>
    <row r="285" spans="1:7" x14ac:dyDescent="0.35">
      <c r="A285">
        <f t="shared" si="38"/>
        <v>9.765625E-2</v>
      </c>
      <c r="B285">
        <f t="shared" si="32"/>
        <v>0.23940291052998319</v>
      </c>
      <c r="C285">
        <f t="shared" si="33"/>
        <v>9.5367431640625E-3</v>
      </c>
      <c r="D285">
        <f t="shared" si="34"/>
        <v>9.3132257461547852E-4</v>
      </c>
      <c r="E285">
        <f t="shared" si="35"/>
        <v>4.8828125E-2</v>
      </c>
      <c r="F285">
        <f t="shared" si="36"/>
        <v>0.14601871371269226</v>
      </c>
      <c r="G285">
        <f t="shared" si="37"/>
        <v>0.1857757568359375</v>
      </c>
    </row>
    <row r="286" spans="1:7" x14ac:dyDescent="0.35">
      <c r="A286">
        <f t="shared" si="38"/>
        <v>0.1015625</v>
      </c>
      <c r="B286">
        <f t="shared" si="32"/>
        <v>0.24858706713598414</v>
      </c>
      <c r="C286">
        <f t="shared" si="33"/>
        <v>1.031494140625E-2</v>
      </c>
      <c r="D286">
        <f t="shared" si="34"/>
        <v>1.0476112365722656E-3</v>
      </c>
      <c r="E286">
        <f t="shared" si="35"/>
        <v>5.078125E-2</v>
      </c>
      <c r="F286">
        <f t="shared" si="36"/>
        <v>0.15181994438171387</v>
      </c>
      <c r="G286">
        <f t="shared" si="37"/>
        <v>0.19281005859375</v>
      </c>
    </row>
    <row r="287" spans="1:7" x14ac:dyDescent="0.35">
      <c r="A287">
        <f t="shared" si="38"/>
        <v>0.10546875</v>
      </c>
      <c r="B287">
        <f t="shared" si="32"/>
        <v>0.25772674207454177</v>
      </c>
      <c r="C287">
        <f t="shared" si="33"/>
        <v>1.11236572265625E-2</v>
      </c>
      <c r="D287">
        <f t="shared" si="34"/>
        <v>1.1731982231140137E-3</v>
      </c>
      <c r="E287">
        <f t="shared" si="35"/>
        <v>5.2734375E-2</v>
      </c>
      <c r="F287">
        <f t="shared" si="36"/>
        <v>0.15761652588844299</v>
      </c>
      <c r="G287">
        <f t="shared" si="37"/>
        <v>0.1998138427734375</v>
      </c>
    </row>
    <row r="288" spans="1:7" x14ac:dyDescent="0.35">
      <c r="A288">
        <f t="shared" si="38"/>
        <v>0.109375</v>
      </c>
      <c r="B288">
        <f t="shared" si="32"/>
        <v>0.26682052735568029</v>
      </c>
      <c r="C288">
        <f t="shared" si="33"/>
        <v>1.1962890625E-2</v>
      </c>
      <c r="D288">
        <f t="shared" si="34"/>
        <v>1.308441162109375E-3</v>
      </c>
      <c r="E288">
        <f t="shared" si="35"/>
        <v>5.46875E-2</v>
      </c>
      <c r="F288">
        <f t="shared" si="36"/>
        <v>0.16340827941894531</v>
      </c>
      <c r="G288">
        <f t="shared" si="37"/>
        <v>0.206787109375</v>
      </c>
    </row>
    <row r="289" spans="1:7" x14ac:dyDescent="0.35">
      <c r="A289">
        <f t="shared" si="38"/>
        <v>0.11328125</v>
      </c>
      <c r="B289">
        <f t="shared" si="32"/>
        <v>0.27586704650659583</v>
      </c>
      <c r="C289">
        <f t="shared" si="33"/>
        <v>1.28326416015625E-2</v>
      </c>
      <c r="D289">
        <f t="shared" si="34"/>
        <v>1.453697681427002E-3</v>
      </c>
      <c r="E289">
        <f t="shared" si="35"/>
        <v>5.6640625E-2</v>
      </c>
      <c r="F289">
        <f t="shared" si="36"/>
        <v>0.1691950261592865</v>
      </c>
      <c r="G289">
        <f t="shared" si="37"/>
        <v>0.2137298583984375</v>
      </c>
    </row>
    <row r="290" spans="1:7" x14ac:dyDescent="0.35">
      <c r="A290">
        <f t="shared" si="38"/>
        <v>0.1171875</v>
      </c>
      <c r="B290">
        <f t="shared" si="32"/>
        <v>0.28486495525911637</v>
      </c>
      <c r="C290">
        <f t="shared" si="33"/>
        <v>1.373291015625E-2</v>
      </c>
      <c r="D290">
        <f t="shared" si="34"/>
        <v>1.6093254089355469E-3</v>
      </c>
      <c r="E290">
        <f t="shared" si="35"/>
        <v>5.859375E-2</v>
      </c>
      <c r="F290">
        <f t="shared" si="36"/>
        <v>0.17497658729553223</v>
      </c>
      <c r="G290">
        <f t="shared" si="37"/>
        <v>0.22064208984375</v>
      </c>
    </row>
    <row r="291" spans="1:7" x14ac:dyDescent="0.35">
      <c r="A291">
        <f t="shared" si="38"/>
        <v>0.12109375</v>
      </c>
      <c r="B291">
        <f t="shared" si="32"/>
        <v>0.29381294219262516</v>
      </c>
      <c r="C291">
        <f t="shared" si="33"/>
        <v>1.46636962890625E-2</v>
      </c>
      <c r="D291">
        <f t="shared" si="34"/>
        <v>1.7756819725036621E-3</v>
      </c>
      <c r="E291">
        <f t="shared" si="35"/>
        <v>6.0546875E-2</v>
      </c>
      <c r="F291">
        <f t="shared" si="36"/>
        <v>0.18075278401374817</v>
      </c>
      <c r="G291">
        <f t="shared" si="37"/>
        <v>0.2275238037109375</v>
      </c>
    </row>
    <row r="292" spans="1:7" x14ac:dyDescent="0.35">
      <c r="A292">
        <f t="shared" si="38"/>
        <v>0.125</v>
      </c>
      <c r="B292">
        <f t="shared" si="32"/>
        <v>0.30270972933210849</v>
      </c>
      <c r="C292">
        <f t="shared" si="33"/>
        <v>1.5625E-2</v>
      </c>
      <c r="D292">
        <f t="shared" si="34"/>
        <v>1.953125E-3</v>
      </c>
      <c r="E292">
        <f t="shared" si="35"/>
        <v>6.25E-2</v>
      </c>
      <c r="F292">
        <f t="shared" si="36"/>
        <v>0.1865234375</v>
      </c>
      <c r="G292">
        <f t="shared" si="37"/>
        <v>0.234375</v>
      </c>
    </row>
    <row r="293" spans="1:7" x14ac:dyDescent="0.35">
      <c r="A293">
        <f t="shared" si="38"/>
        <v>0.12890625</v>
      </c>
      <c r="B293">
        <f t="shared" si="32"/>
        <v>0.31155407270108448</v>
      </c>
      <c r="C293">
        <f t="shared" si="33"/>
        <v>1.66168212890625E-2</v>
      </c>
      <c r="D293">
        <f t="shared" si="34"/>
        <v>2.1420121192932129E-3</v>
      </c>
      <c r="E293">
        <f t="shared" si="35"/>
        <v>6.4453125E-2</v>
      </c>
      <c r="F293">
        <f t="shared" si="36"/>
        <v>0.19228836894035339</v>
      </c>
      <c r="G293">
        <f t="shared" si="37"/>
        <v>0.2411956787109375</v>
      </c>
    </row>
    <row r="294" spans="1:7" x14ac:dyDescent="0.35">
      <c r="A294">
        <f t="shared" si="38"/>
        <v>0.1328125</v>
      </c>
      <c r="B294">
        <f t="shared" si="32"/>
        <v>0.32034476282927049</v>
      </c>
      <c r="C294">
        <f t="shared" si="33"/>
        <v>1.763916015625E-2</v>
      </c>
      <c r="D294">
        <f t="shared" si="34"/>
        <v>2.3427009582519531E-3</v>
      </c>
      <c r="E294">
        <f t="shared" si="35"/>
        <v>6.640625E-2</v>
      </c>
      <c r="F294">
        <f t="shared" si="36"/>
        <v>0.19804739952087402</v>
      </c>
      <c r="G294">
        <f t="shared" si="37"/>
        <v>0.24798583984375</v>
      </c>
    </row>
    <row r="295" spans="1:7" x14ac:dyDescent="0.35">
      <c r="A295">
        <f t="shared" si="38"/>
        <v>0.13671875</v>
      </c>
      <c r="B295">
        <f t="shared" si="32"/>
        <v>0.32908062521494014</v>
      </c>
      <c r="C295">
        <f t="shared" si="33"/>
        <v>1.86920166015625E-2</v>
      </c>
      <c r="D295">
        <f t="shared" si="34"/>
        <v>2.555549144744873E-3</v>
      </c>
      <c r="E295">
        <f t="shared" si="35"/>
        <v>6.8359375E-2</v>
      </c>
      <c r="F295">
        <f t="shared" si="36"/>
        <v>0.20380035042762756</v>
      </c>
      <c r="G295">
        <f t="shared" si="37"/>
        <v>0.2547454833984375</v>
      </c>
    </row>
    <row r="296" spans="1:7" x14ac:dyDescent="0.35">
      <c r="A296">
        <f t="shared" si="38"/>
        <v>0.140625</v>
      </c>
      <c r="B296">
        <f t="shared" si="32"/>
        <v>0.33776052074201712</v>
      </c>
      <c r="C296">
        <f t="shared" si="33"/>
        <v>1.9775390625E-2</v>
      </c>
      <c r="D296">
        <f t="shared" si="34"/>
        <v>2.780914306640625E-3</v>
      </c>
      <c r="E296">
        <f t="shared" si="35"/>
        <v>7.03125E-2</v>
      </c>
      <c r="F296">
        <f t="shared" si="36"/>
        <v>0.20954704284667969</v>
      </c>
      <c r="G296">
        <f t="shared" si="37"/>
        <v>0.261474609375</v>
      </c>
    </row>
    <row r="297" spans="1:7" x14ac:dyDescent="0.35">
      <c r="A297">
        <f t="shared" si="38"/>
        <v>0.14453125</v>
      </c>
      <c r="B297">
        <f t="shared" si="32"/>
        <v>0.34638334605204391</v>
      </c>
      <c r="C297">
        <f t="shared" si="33"/>
        <v>2.08892822265625E-2</v>
      </c>
      <c r="D297">
        <f t="shared" si="34"/>
        <v>3.0191540718078613E-3</v>
      </c>
      <c r="E297">
        <f t="shared" si="35"/>
        <v>7.2265625E-2</v>
      </c>
      <c r="F297">
        <f t="shared" si="36"/>
        <v>0.21528729796409607</v>
      </c>
      <c r="G297">
        <f t="shared" si="37"/>
        <v>0.2681732177734375</v>
      </c>
    </row>
    <row r="298" spans="1:7" x14ac:dyDescent="0.35">
      <c r="A298">
        <f t="shared" si="38"/>
        <v>0.1484375</v>
      </c>
      <c r="B298">
        <f t="shared" si="32"/>
        <v>0.35494803387125462</v>
      </c>
      <c r="C298">
        <f t="shared" si="33"/>
        <v>2.203369140625E-2</v>
      </c>
      <c r="D298">
        <f t="shared" si="34"/>
        <v>3.2706260681152344E-3</v>
      </c>
      <c r="E298">
        <f t="shared" si="35"/>
        <v>7.421875E-2</v>
      </c>
      <c r="F298">
        <f t="shared" si="36"/>
        <v>0.22102093696594238</v>
      </c>
      <c r="G298">
        <f t="shared" si="37"/>
        <v>0.27484130859375</v>
      </c>
    </row>
    <row r="299" spans="1:7" x14ac:dyDescent="0.35">
      <c r="A299">
        <f t="shared" si="38"/>
        <v>0.15234375</v>
      </c>
      <c r="B299">
        <f t="shared" si="32"/>
        <v>0.36345355329306545</v>
      </c>
      <c r="C299">
        <f t="shared" si="33"/>
        <v>2.32086181640625E-2</v>
      </c>
      <c r="D299">
        <f t="shared" si="34"/>
        <v>3.5356879234313965E-3</v>
      </c>
      <c r="E299">
        <f t="shared" si="35"/>
        <v>7.6171875E-2</v>
      </c>
      <c r="F299">
        <f t="shared" si="36"/>
        <v>0.2267477810382843</v>
      </c>
      <c r="G299">
        <f t="shared" si="37"/>
        <v>0.2814788818359375</v>
      </c>
    </row>
    <row r="300" spans="1:7" x14ac:dyDescent="0.35">
      <c r="A300">
        <f t="shared" si="38"/>
        <v>0.15625</v>
      </c>
      <c r="B300">
        <f t="shared" si="32"/>
        <v>0.37189891001638509</v>
      </c>
      <c r="C300">
        <f t="shared" si="33"/>
        <v>2.44140625E-2</v>
      </c>
      <c r="D300">
        <f t="shared" si="34"/>
        <v>3.814697265625E-3</v>
      </c>
      <c r="E300">
        <f t="shared" si="35"/>
        <v>7.8125E-2</v>
      </c>
      <c r="F300">
        <f t="shared" si="36"/>
        <v>0.2324676513671875</v>
      </c>
      <c r="G300">
        <f t="shared" si="37"/>
        <v>0.2880859375</v>
      </c>
    </row>
    <row r="301" spans="1:7" x14ac:dyDescent="0.35">
      <c r="A301">
        <f t="shared" si="38"/>
        <v>0.16015625</v>
      </c>
      <c r="B301">
        <f t="shared" si="32"/>
        <v>0.38028314654022305</v>
      </c>
      <c r="C301">
        <f t="shared" si="33"/>
        <v>2.56500244140625E-2</v>
      </c>
      <c r="D301">
        <f t="shared" si="34"/>
        <v>4.1080117225646973E-3</v>
      </c>
      <c r="E301">
        <f t="shared" si="35"/>
        <v>8.0078125E-2</v>
      </c>
      <c r="F301">
        <f t="shared" si="36"/>
        <v>0.23818036913871765</v>
      </c>
      <c r="G301">
        <f t="shared" si="37"/>
        <v>0.2946624755859375</v>
      </c>
    </row>
    <row r="302" spans="1:7" x14ac:dyDescent="0.35">
      <c r="A302">
        <f t="shared" si="38"/>
        <v>0.1640625</v>
      </c>
      <c r="B302">
        <f t="shared" si="32"/>
        <v>0.38860534231515709</v>
      </c>
      <c r="C302">
        <f t="shared" si="33"/>
        <v>2.691650390625E-2</v>
      </c>
      <c r="D302">
        <f t="shared" si="34"/>
        <v>4.4159889221191406E-3</v>
      </c>
      <c r="E302">
        <f t="shared" si="35"/>
        <v>8.203125E-2</v>
      </c>
      <c r="F302">
        <f t="shared" si="36"/>
        <v>0.24388575553894043</v>
      </c>
      <c r="G302">
        <f t="shared" si="37"/>
        <v>0.30120849609375</v>
      </c>
    </row>
    <row r="303" spans="1:7" x14ac:dyDescent="0.35">
      <c r="A303">
        <f t="shared" si="38"/>
        <v>0.16796875</v>
      </c>
      <c r="B303">
        <f t="shared" si="32"/>
        <v>0.39686461385229149</v>
      </c>
      <c r="C303">
        <f t="shared" si="33"/>
        <v>2.82135009765625E-2</v>
      </c>
      <c r="D303">
        <f t="shared" si="34"/>
        <v>4.7389864921569824E-3</v>
      </c>
      <c r="E303">
        <f t="shared" si="35"/>
        <v>8.3984375E-2</v>
      </c>
      <c r="F303">
        <f t="shared" si="36"/>
        <v>0.24958363175392151</v>
      </c>
      <c r="G303">
        <f t="shared" si="37"/>
        <v>0.3077239990234375</v>
      </c>
    </row>
    <row r="304" spans="1:7" x14ac:dyDescent="0.35">
      <c r="A304">
        <f t="shared" si="38"/>
        <v>0.171875</v>
      </c>
      <c r="B304">
        <f t="shared" si="32"/>
        <v>0.40506011479041054</v>
      </c>
      <c r="C304">
        <f t="shared" si="33"/>
        <v>2.9541015625E-2</v>
      </c>
      <c r="D304">
        <f t="shared" si="34"/>
        <v>5.077362060546875E-3</v>
      </c>
      <c r="E304">
        <f t="shared" si="35"/>
        <v>8.59375E-2</v>
      </c>
      <c r="F304">
        <f t="shared" si="36"/>
        <v>0.25527381896972656</v>
      </c>
      <c r="G304">
        <f t="shared" si="37"/>
        <v>0.314208984375</v>
      </c>
    </row>
    <row r="305" spans="1:7" x14ac:dyDescent="0.35">
      <c r="A305">
        <f t="shared" si="38"/>
        <v>0.17578125</v>
      </c>
      <c r="B305">
        <f t="shared" si="32"/>
        <v>0.41319103592210077</v>
      </c>
      <c r="C305">
        <f t="shared" si="33"/>
        <v>3.08990478515625E-2</v>
      </c>
      <c r="D305">
        <f t="shared" si="34"/>
        <v>5.4314732551574707E-3</v>
      </c>
      <c r="E305">
        <f t="shared" si="35"/>
        <v>8.7890625E-2</v>
      </c>
      <c r="F305">
        <f t="shared" si="36"/>
        <v>0.26095613837242126</v>
      </c>
      <c r="G305">
        <f t="shared" si="37"/>
        <v>0.3206634521484375</v>
      </c>
    </row>
    <row r="306" spans="1:7" x14ac:dyDescent="0.35">
      <c r="A306">
        <f t="shared" si="38"/>
        <v>0.1796875</v>
      </c>
      <c r="B306">
        <f t="shared" si="32"/>
        <v>0.42125660517967356</v>
      </c>
      <c r="C306">
        <f t="shared" si="33"/>
        <v>3.228759765625E-2</v>
      </c>
      <c r="D306">
        <f t="shared" si="34"/>
        <v>5.8016777038574219E-3</v>
      </c>
      <c r="E306">
        <f t="shared" si="35"/>
        <v>8.984375E-2</v>
      </c>
      <c r="F306">
        <f t="shared" si="36"/>
        <v>0.26663041114807129</v>
      </c>
      <c r="G306">
        <f t="shared" si="37"/>
        <v>0.32708740234375</v>
      </c>
    </row>
    <row r="307" spans="1:7" x14ac:dyDescent="0.35">
      <c r="A307">
        <f t="shared" si="38"/>
        <v>0.18359375</v>
      </c>
      <c r="B307">
        <f t="shared" si="32"/>
        <v>0.42925608758178652</v>
      </c>
      <c r="C307">
        <f t="shared" si="33"/>
        <v>3.37066650390625E-2</v>
      </c>
      <c r="D307">
        <f t="shared" si="34"/>
        <v>6.1883330345153809E-3</v>
      </c>
      <c r="E307">
        <f t="shared" si="35"/>
        <v>9.1796875E-2</v>
      </c>
      <c r="F307">
        <f t="shared" si="36"/>
        <v>0.27229645848274231</v>
      </c>
      <c r="G307">
        <f t="shared" si="37"/>
        <v>0.3334808349609375</v>
      </c>
    </row>
    <row r="308" spans="1:7" x14ac:dyDescent="0.35">
      <c r="A308">
        <f t="shared" si="38"/>
        <v>0.1875</v>
      </c>
      <c r="B308">
        <f t="shared" si="32"/>
        <v>0.43718878514171222</v>
      </c>
      <c r="C308">
        <f t="shared" si="33"/>
        <v>3.515625E-2</v>
      </c>
      <c r="D308">
        <f t="shared" si="34"/>
        <v>6.591796875E-3</v>
      </c>
      <c r="E308">
        <f t="shared" si="35"/>
        <v>9.375E-2</v>
      </c>
      <c r="F308">
        <f t="shared" si="36"/>
        <v>0.2779541015625</v>
      </c>
      <c r="G308">
        <f t="shared" si="37"/>
        <v>0.33984375</v>
      </c>
    </row>
    <row r="309" spans="1:7" x14ac:dyDescent="0.35">
      <c r="A309">
        <f t="shared" si="38"/>
        <v>0.19140625</v>
      </c>
      <c r="B309">
        <f t="shared" si="32"/>
        <v>0.44505403673825755</v>
      </c>
      <c r="C309">
        <f t="shared" si="33"/>
        <v>3.66363525390625E-2</v>
      </c>
      <c r="D309">
        <f t="shared" si="34"/>
        <v>7.0124268531799316E-3</v>
      </c>
      <c r="E309">
        <f t="shared" si="35"/>
        <v>9.5703125E-2</v>
      </c>
      <c r="F309">
        <f t="shared" si="36"/>
        <v>0.28360316157341003</v>
      </c>
      <c r="G309">
        <f t="shared" si="37"/>
        <v>0.3461761474609375</v>
      </c>
    </row>
    <row r="310" spans="1:7" x14ac:dyDescent="0.35">
      <c r="A310">
        <f t="shared" si="38"/>
        <v>0.1953125</v>
      </c>
      <c r="B310">
        <f t="shared" si="32"/>
        <v>0.45285121795038108</v>
      </c>
      <c r="C310">
        <f t="shared" si="33"/>
        <v>3.814697265625E-2</v>
      </c>
      <c r="D310">
        <f t="shared" si="34"/>
        <v>7.4505805969238281E-3</v>
      </c>
      <c r="E310">
        <f t="shared" si="35"/>
        <v>9.765625E-2</v>
      </c>
      <c r="F310">
        <f t="shared" si="36"/>
        <v>0.28924345970153809</v>
      </c>
      <c r="G310">
        <f t="shared" si="37"/>
        <v>0.35247802734375</v>
      </c>
    </row>
    <row r="311" spans="1:7" x14ac:dyDescent="0.35">
      <c r="A311">
        <f t="shared" si="38"/>
        <v>0.19921875</v>
      </c>
      <c r="B311">
        <f t="shared" si="32"/>
        <v>0.46057974085660758</v>
      </c>
      <c r="C311">
        <f t="shared" si="33"/>
        <v>3.96881103515625E-2</v>
      </c>
      <c r="D311">
        <f t="shared" si="34"/>
        <v>7.9066157341003418E-3</v>
      </c>
      <c r="E311">
        <f t="shared" si="35"/>
        <v>9.9609375E-2</v>
      </c>
      <c r="F311">
        <f t="shared" si="36"/>
        <v>0.29487481713294983</v>
      </c>
      <c r="G311">
        <f t="shared" si="37"/>
        <v>0.3587493896484375</v>
      </c>
    </row>
    <row r="312" spans="1:7" x14ac:dyDescent="0.35">
      <c r="A312">
        <f t="shared" si="38"/>
        <v>0.203125</v>
      </c>
      <c r="B312">
        <f t="shared" si="32"/>
        <v>0.46823905380036612</v>
      </c>
      <c r="C312">
        <f t="shared" si="33"/>
        <v>4.1259765625E-2</v>
      </c>
      <c r="D312">
        <f t="shared" si="34"/>
        <v>8.380889892578125E-3</v>
      </c>
      <c r="E312">
        <f t="shared" si="35"/>
        <v>0.1015625</v>
      </c>
      <c r="F312">
        <f t="shared" si="36"/>
        <v>0.30049705505371094</v>
      </c>
      <c r="G312">
        <f t="shared" si="37"/>
        <v>0.364990234375</v>
      </c>
    </row>
    <row r="313" spans="1:7" x14ac:dyDescent="0.35">
      <c r="A313">
        <f t="shared" si="38"/>
        <v>0.20703125</v>
      </c>
      <c r="B313">
        <f t="shared" si="32"/>
        <v>0.47582864112242579</v>
      </c>
      <c r="C313">
        <f t="shared" si="33"/>
        <v>4.28619384765625E-2</v>
      </c>
      <c r="D313">
        <f t="shared" si="34"/>
        <v>8.8737607002258301E-3</v>
      </c>
      <c r="E313">
        <f t="shared" si="35"/>
        <v>0.103515625</v>
      </c>
      <c r="F313">
        <f t="shared" si="36"/>
        <v>0.30610999464988708</v>
      </c>
      <c r="G313">
        <f t="shared" si="37"/>
        <v>0.3712005615234375</v>
      </c>
    </row>
    <row r="314" spans="1:7" x14ac:dyDescent="0.35">
      <c r="A314">
        <f t="shared" si="38"/>
        <v>0.2109375</v>
      </c>
      <c r="B314">
        <f t="shared" si="32"/>
        <v>0.48334802286162554</v>
      </c>
      <c r="C314">
        <f t="shared" si="33"/>
        <v>4.449462890625E-2</v>
      </c>
      <c r="D314">
        <f t="shared" si="34"/>
        <v>9.3855857849121094E-3</v>
      </c>
      <c r="E314">
        <f t="shared" si="35"/>
        <v>0.10546875</v>
      </c>
      <c r="F314">
        <f t="shared" si="36"/>
        <v>0.31171345710754395</v>
      </c>
      <c r="G314">
        <f t="shared" si="37"/>
        <v>0.37738037109375</v>
      </c>
    </row>
    <row r="315" spans="1:7" x14ac:dyDescent="0.35">
      <c r="A315">
        <f t="shared" si="38"/>
        <v>0.21484375</v>
      </c>
      <c r="B315">
        <f t="shared" si="32"/>
        <v>0.4907967544251296</v>
      </c>
      <c r="C315">
        <f t="shared" si="33"/>
        <v>4.61578369140625E-2</v>
      </c>
      <c r="D315">
        <f t="shared" si="34"/>
        <v>9.9167227745056152E-3</v>
      </c>
      <c r="E315">
        <f t="shared" si="35"/>
        <v>0.107421875</v>
      </c>
      <c r="F315">
        <f t="shared" si="36"/>
        <v>0.31730726361274719</v>
      </c>
      <c r="G315">
        <f t="shared" si="37"/>
        <v>0.3835296630859375</v>
      </c>
    </row>
    <row r="316" spans="1:7" x14ac:dyDescent="0.35">
      <c r="A316">
        <f t="shared" si="38"/>
        <v>0.21875</v>
      </c>
      <c r="B316">
        <f t="shared" si="32"/>
        <v>0.49817442622945513</v>
      </c>
      <c r="C316">
        <f t="shared" si="33"/>
        <v>4.78515625E-2</v>
      </c>
      <c r="D316">
        <f t="shared" si="34"/>
        <v>1.0467529296875E-2</v>
      </c>
      <c r="E316">
        <f t="shared" si="35"/>
        <v>0.109375</v>
      </c>
      <c r="F316">
        <f t="shared" si="36"/>
        <v>0.3228912353515625</v>
      </c>
      <c r="G316">
        <f t="shared" si="37"/>
        <v>0.3896484375</v>
      </c>
    </row>
    <row r="317" spans="1:7" x14ac:dyDescent="0.35">
      <c r="A317">
        <f t="shared" si="38"/>
        <v>0.22265625</v>
      </c>
      <c r="B317">
        <f t="shared" si="32"/>
        <v>0.50548066331354735</v>
      </c>
      <c r="C317">
        <f t="shared" si="33"/>
        <v>4.95758056640625E-2</v>
      </c>
      <c r="D317">
        <f t="shared" si="34"/>
        <v>1.1038362979888916E-2</v>
      </c>
      <c r="E317">
        <f t="shared" si="35"/>
        <v>0.111328125</v>
      </c>
      <c r="F317">
        <f t="shared" si="36"/>
        <v>0.32846519351005554</v>
      </c>
      <c r="G317">
        <f t="shared" si="37"/>
        <v>0.3957366943359375</v>
      </c>
    </row>
    <row r="318" spans="1:7" x14ac:dyDescent="0.35">
      <c r="A318">
        <f t="shared" si="38"/>
        <v>0.2265625</v>
      </c>
      <c r="B318">
        <f t="shared" si="32"/>
        <v>0.51271512492518734</v>
      </c>
      <c r="C318">
        <f t="shared" si="33"/>
        <v>5.133056640625E-2</v>
      </c>
      <c r="D318">
        <f t="shared" si="34"/>
        <v>1.1629581451416016E-2</v>
      </c>
      <c r="E318">
        <f t="shared" si="35"/>
        <v>0.11328125</v>
      </c>
      <c r="F318">
        <f t="shared" si="36"/>
        <v>0.33402895927429199</v>
      </c>
      <c r="G318">
        <f t="shared" si="37"/>
        <v>0.40179443359375</v>
      </c>
    </row>
    <row r="319" spans="1:7" x14ac:dyDescent="0.35">
      <c r="A319">
        <f t="shared" si="38"/>
        <v>0.23046875</v>
      </c>
      <c r="B319">
        <f t="shared" si="32"/>
        <v>0.51987750408203015</v>
      </c>
      <c r="C319">
        <f t="shared" si="33"/>
        <v>5.31158447265625E-2</v>
      </c>
      <c r="D319">
        <f t="shared" si="34"/>
        <v>1.2241542339324951E-2</v>
      </c>
      <c r="E319">
        <f t="shared" si="35"/>
        <v>0.115234375</v>
      </c>
      <c r="F319">
        <f t="shared" si="36"/>
        <v>0.33958235383033752</v>
      </c>
      <c r="G319">
        <f t="shared" si="37"/>
        <v>0.4078216552734375</v>
      </c>
    </row>
    <row r="320" spans="1:7" x14ac:dyDescent="0.35">
      <c r="A320">
        <f t="shared" si="38"/>
        <v>0.234375</v>
      </c>
      <c r="B320">
        <f t="shared" si="32"/>
        <v>0.52696752710858474</v>
      </c>
      <c r="C320">
        <f t="shared" si="33"/>
        <v>5.4931640625E-2</v>
      </c>
      <c r="D320">
        <f t="shared" si="34"/>
        <v>1.2874603271484375E-2</v>
      </c>
      <c r="E320">
        <f t="shared" si="35"/>
        <v>0.1171875</v>
      </c>
      <c r="F320">
        <f t="shared" si="36"/>
        <v>0.34512519836425781</v>
      </c>
      <c r="G320">
        <f t="shared" si="37"/>
        <v>0.413818359375</v>
      </c>
    </row>
    <row r="321" spans="1:7" x14ac:dyDescent="0.35">
      <c r="A321">
        <f t="shared" si="38"/>
        <v>0.23828125</v>
      </c>
      <c r="B321">
        <f t="shared" si="32"/>
        <v>0.53398495315044636</v>
      </c>
      <c r="C321">
        <f t="shared" si="33"/>
        <v>5.67779541015625E-2</v>
      </c>
      <c r="D321">
        <f t="shared" si="34"/>
        <v>1.3529121875762939E-2</v>
      </c>
      <c r="E321">
        <f t="shared" si="35"/>
        <v>0.119140625</v>
      </c>
      <c r="F321">
        <f t="shared" si="36"/>
        <v>0.35065731406211853</v>
      </c>
      <c r="G321">
        <f t="shared" si="37"/>
        <v>0.4197845458984375</v>
      </c>
    </row>
    <row r="322" spans="1:7" x14ac:dyDescent="0.35">
      <c r="A322">
        <f t="shared" si="38"/>
        <v>0.2421875</v>
      </c>
      <c r="B322">
        <f t="shared" si="32"/>
        <v>0.54092957366709515</v>
      </c>
      <c r="C322">
        <f t="shared" si="33"/>
        <v>5.865478515625E-2</v>
      </c>
      <c r="D322">
        <f t="shared" si="34"/>
        <v>1.4205455780029297E-2</v>
      </c>
      <c r="E322">
        <f t="shared" si="35"/>
        <v>0.12109375</v>
      </c>
      <c r="F322">
        <f t="shared" si="36"/>
        <v>0.35617852210998535</v>
      </c>
      <c r="G322">
        <f t="shared" si="37"/>
        <v>0.42572021484375</v>
      </c>
    </row>
    <row r="323" spans="1:7" x14ac:dyDescent="0.35">
      <c r="A323">
        <f t="shared" si="38"/>
        <v>0.24609375</v>
      </c>
      <c r="B323">
        <f t="shared" si="32"/>
        <v>0.54780121190457853</v>
      </c>
      <c r="C323">
        <f t="shared" si="33"/>
        <v>6.05621337890625E-2</v>
      </c>
      <c r="D323">
        <f t="shared" si="34"/>
        <v>1.49039626121521E-2</v>
      </c>
      <c r="E323">
        <f t="shared" si="35"/>
        <v>0.123046875</v>
      </c>
      <c r="F323">
        <f t="shared" si="36"/>
        <v>0.36168864369392395</v>
      </c>
      <c r="G323">
        <f t="shared" si="37"/>
        <v>0.4316253662109375</v>
      </c>
    </row>
    <row r="324" spans="1:7" x14ac:dyDescent="0.35">
      <c r="A324">
        <f t="shared" si="38"/>
        <v>0.25</v>
      </c>
      <c r="B324">
        <f t="shared" ref="B324:B387" si="39">TANH(A324/$A$2)</f>
        <v>0.55459972234938226</v>
      </c>
      <c r="C324">
        <f t="shared" si="33"/>
        <v>6.25E-2</v>
      </c>
      <c r="D324">
        <f t="shared" si="34"/>
        <v>1.5625E-2</v>
      </c>
      <c r="E324">
        <f t="shared" si="35"/>
        <v>0.125</v>
      </c>
      <c r="F324">
        <f t="shared" si="36"/>
        <v>0.3671875</v>
      </c>
      <c r="G324">
        <f t="shared" si="37"/>
        <v>0.4375</v>
      </c>
    </row>
    <row r="325" spans="1:7" x14ac:dyDescent="0.35">
      <c r="A325">
        <f t="shared" si="38"/>
        <v>0.25390625</v>
      </c>
      <c r="B325">
        <f t="shared" si="39"/>
        <v>0.5613249901647942</v>
      </c>
      <c r="C325">
        <f t="shared" ref="C325:C388" si="40">$A325^2</f>
        <v>6.44683837890625E-2</v>
      </c>
      <c r="D325">
        <f t="shared" ref="D325:D388" si="41">$C325*$A325</f>
        <v>1.636892557144165E-2</v>
      </c>
      <c r="E325">
        <f t="shared" ref="E325:E388" si="42">$A325*$B$2</f>
        <v>0.126953125</v>
      </c>
      <c r="F325">
        <f t="shared" ref="F325:F388" si="43">($A325+$E325-$B$2*$D325)*$D$2</f>
        <v>0.37267491221427917</v>
      </c>
      <c r="G325">
        <f t="shared" ref="G325:G388" si="44">(A325- SIGN(A325)*A325^2*$H$2)*$G$2</f>
        <v>0.4433441162109375</v>
      </c>
    </row>
    <row r="326" spans="1:7" x14ac:dyDescent="0.35">
      <c r="A326">
        <f t="shared" ref="A326:A389" si="45">A325+1/256</f>
        <v>0.2578125</v>
      </c>
      <c r="B326">
        <f t="shared" si="39"/>
        <v>0.56797693061105037</v>
      </c>
      <c r="C326">
        <f t="shared" si="40"/>
        <v>6.646728515625E-2</v>
      </c>
      <c r="D326">
        <f t="shared" si="41"/>
        <v>1.7136096954345703E-2</v>
      </c>
      <c r="E326">
        <f t="shared" si="42"/>
        <v>0.12890625</v>
      </c>
      <c r="F326">
        <f t="shared" si="43"/>
        <v>0.37815070152282715</v>
      </c>
      <c r="G326">
        <f t="shared" si="44"/>
        <v>0.44915771484375</v>
      </c>
    </row>
    <row r="327" spans="1:7" x14ac:dyDescent="0.35">
      <c r="A327">
        <f t="shared" si="45"/>
        <v>0.26171875</v>
      </c>
      <c r="B327">
        <f t="shared" si="39"/>
        <v>0.57455548845054227</v>
      </c>
      <c r="C327">
        <f t="shared" si="40"/>
        <v>6.84967041015625E-2</v>
      </c>
      <c r="D327">
        <f t="shared" si="41"/>
        <v>1.7926871776580811E-2</v>
      </c>
      <c r="E327">
        <f t="shared" si="42"/>
        <v>0.130859375</v>
      </c>
      <c r="F327">
        <f t="shared" si="43"/>
        <v>0.38361468911170959</v>
      </c>
      <c r="G327">
        <f t="shared" si="44"/>
        <v>0.4549407958984375</v>
      </c>
    </row>
    <row r="328" spans="1:7" x14ac:dyDescent="0.35">
      <c r="A328">
        <f t="shared" si="45"/>
        <v>0.265625</v>
      </c>
      <c r="B328">
        <f t="shared" si="39"/>
        <v>0.58106063733934943</v>
      </c>
      <c r="C328">
        <f t="shared" si="40"/>
        <v>7.0556640625E-2</v>
      </c>
      <c r="D328">
        <f t="shared" si="41"/>
        <v>1.8741607666015625E-2</v>
      </c>
      <c r="E328">
        <f t="shared" si="42"/>
        <v>0.1328125</v>
      </c>
      <c r="F328">
        <f t="shared" si="43"/>
        <v>0.38906669616699219</v>
      </c>
      <c r="G328">
        <f t="shared" si="44"/>
        <v>0.460693359375</v>
      </c>
    </row>
    <row r="329" spans="1:7" x14ac:dyDescent="0.35">
      <c r="A329">
        <f t="shared" si="45"/>
        <v>0.26953125</v>
      </c>
      <c r="B329">
        <f t="shared" si="39"/>
        <v>0.58749237920633912</v>
      </c>
      <c r="C329">
        <f t="shared" si="40"/>
        <v>7.26470947265625E-2</v>
      </c>
      <c r="D329">
        <f t="shared" si="41"/>
        <v>1.9580662250518799E-2</v>
      </c>
      <c r="E329">
        <f t="shared" si="42"/>
        <v>0.134765625</v>
      </c>
      <c r="F329">
        <f t="shared" si="43"/>
        <v>0.3945065438747406</v>
      </c>
      <c r="G329">
        <f t="shared" si="44"/>
        <v>0.4664154052734375</v>
      </c>
    </row>
    <row r="330" spans="1:7" x14ac:dyDescent="0.35">
      <c r="A330">
        <f t="shared" si="45"/>
        <v>0.2734375</v>
      </c>
      <c r="B330">
        <f t="shared" si="39"/>
        <v>0.59385074362105961</v>
      </c>
      <c r="C330">
        <f t="shared" si="40"/>
        <v>7.476806640625E-2</v>
      </c>
      <c r="D330">
        <f t="shared" si="41"/>
        <v>2.0444393157958984E-2</v>
      </c>
      <c r="E330">
        <f t="shared" si="42"/>
        <v>0.13671875</v>
      </c>
      <c r="F330">
        <f t="shared" si="43"/>
        <v>0.39993405342102051</v>
      </c>
      <c r="G330">
        <f t="shared" si="44"/>
        <v>0.47210693359375</v>
      </c>
    </row>
    <row r="331" spans="1:7" x14ac:dyDescent="0.35">
      <c r="A331">
        <f t="shared" si="45"/>
        <v>0.27734375</v>
      </c>
      <c r="B331">
        <f t="shared" si="39"/>
        <v>0.60013578715162996</v>
      </c>
      <c r="C331">
        <f t="shared" si="40"/>
        <v>7.69195556640625E-2</v>
      </c>
      <c r="D331">
        <f t="shared" si="41"/>
        <v>2.1333158016204834E-2</v>
      </c>
      <c r="E331">
        <f t="shared" si="42"/>
        <v>0.138671875</v>
      </c>
      <c r="F331">
        <f t="shared" si="43"/>
        <v>0.40534904599189758</v>
      </c>
      <c r="G331">
        <f t="shared" si="44"/>
        <v>0.4777679443359375</v>
      </c>
    </row>
    <row r="332" spans="1:7" x14ac:dyDescent="0.35">
      <c r="A332">
        <f t="shared" si="45"/>
        <v>0.28125</v>
      </c>
      <c r="B332">
        <f t="shared" si="39"/>
        <v>0.60634759271380301</v>
      </c>
      <c r="C332">
        <f t="shared" si="40"/>
        <v>7.91015625E-2</v>
      </c>
      <c r="D332">
        <f t="shared" si="41"/>
        <v>2.2247314453125E-2</v>
      </c>
      <c r="E332">
        <f t="shared" si="42"/>
        <v>0.140625</v>
      </c>
      <c r="F332">
        <f t="shared" si="43"/>
        <v>0.4107513427734375</v>
      </c>
      <c r="G332">
        <f t="shared" si="44"/>
        <v>0.4833984375</v>
      </c>
    </row>
    <row r="333" spans="1:7" x14ac:dyDescent="0.35">
      <c r="A333">
        <f t="shared" si="45"/>
        <v>0.28515625</v>
      </c>
      <c r="B333">
        <f t="shared" si="39"/>
        <v>0.61248626891235636</v>
      </c>
      <c r="C333">
        <f t="shared" si="40"/>
        <v>8.13140869140625E-2</v>
      </c>
      <c r="D333">
        <f t="shared" si="41"/>
        <v>2.3187220096588135E-2</v>
      </c>
      <c r="E333">
        <f t="shared" si="42"/>
        <v>0.142578125</v>
      </c>
      <c r="F333">
        <f t="shared" si="43"/>
        <v>0.41614076495170593</v>
      </c>
      <c r="G333">
        <f t="shared" si="44"/>
        <v>0.4889984130859375</v>
      </c>
    </row>
    <row r="334" spans="1:7" x14ac:dyDescent="0.35">
      <c r="A334">
        <f t="shared" si="45"/>
        <v>0.2890625</v>
      </c>
      <c r="B334">
        <f t="shared" si="39"/>
        <v>0.61855194937593261</v>
      </c>
      <c r="C334">
        <f t="shared" si="40"/>
        <v>8.355712890625E-2</v>
      </c>
      <c r="D334">
        <f t="shared" si="41"/>
        <v>2.4153232574462891E-2</v>
      </c>
      <c r="E334">
        <f t="shared" si="42"/>
        <v>0.14453125</v>
      </c>
      <c r="F334">
        <f t="shared" si="43"/>
        <v>0.42151713371276855</v>
      </c>
      <c r="G334">
        <f t="shared" si="44"/>
        <v>0.49456787109375</v>
      </c>
    </row>
    <row r="335" spans="1:7" x14ac:dyDescent="0.35">
      <c r="A335">
        <f t="shared" si="45"/>
        <v>0.29296875</v>
      </c>
      <c r="B335">
        <f t="shared" si="39"/>
        <v>0.6245447920864291</v>
      </c>
      <c r="C335">
        <f t="shared" si="40"/>
        <v>8.58306884765625E-2</v>
      </c>
      <c r="D335">
        <f t="shared" si="41"/>
        <v>2.514570951461792E-2</v>
      </c>
      <c r="E335">
        <f t="shared" si="42"/>
        <v>0.146484375</v>
      </c>
      <c r="F335">
        <f t="shared" si="43"/>
        <v>0.42688027024269104</v>
      </c>
      <c r="G335">
        <f t="shared" si="44"/>
        <v>0.5001068115234375</v>
      </c>
    </row>
    <row r="336" spans="1:7" x14ac:dyDescent="0.35">
      <c r="A336">
        <f t="shared" si="45"/>
        <v>0.296875</v>
      </c>
      <c r="B336">
        <f t="shared" si="39"/>
        <v>0.63046497870399987</v>
      </c>
      <c r="C336">
        <f t="shared" si="40"/>
        <v>8.8134765625E-2</v>
      </c>
      <c r="D336">
        <f t="shared" si="41"/>
        <v>2.6165008544921875E-2</v>
      </c>
      <c r="E336">
        <f t="shared" si="42"/>
        <v>0.1484375</v>
      </c>
      <c r="F336">
        <f t="shared" si="43"/>
        <v>0.43222999572753906</v>
      </c>
      <c r="G336">
        <f t="shared" si="44"/>
        <v>0.505615234375</v>
      </c>
    </row>
    <row r="337" spans="1:7" x14ac:dyDescent="0.35">
      <c r="A337">
        <f t="shared" si="45"/>
        <v>0.30078125</v>
      </c>
      <c r="B337">
        <f t="shared" si="39"/>
        <v>0.63631271388870492</v>
      </c>
      <c r="C337">
        <f t="shared" si="40"/>
        <v>9.04693603515625E-2</v>
      </c>
      <c r="D337">
        <f t="shared" si="41"/>
        <v>2.7211487293243408E-2</v>
      </c>
      <c r="E337">
        <f t="shared" si="42"/>
        <v>0.150390625</v>
      </c>
      <c r="F337">
        <f t="shared" si="43"/>
        <v>0.4375661313533783</v>
      </c>
      <c r="G337">
        <f t="shared" si="44"/>
        <v>0.5110931396484375</v>
      </c>
    </row>
    <row r="338" spans="1:7" x14ac:dyDescent="0.35">
      <c r="A338">
        <f t="shared" si="45"/>
        <v>0.3046875</v>
      </c>
      <c r="B338">
        <f t="shared" si="39"/>
        <v>0.64208822461980908</v>
      </c>
      <c r="C338">
        <f t="shared" si="40"/>
        <v>9.283447265625E-2</v>
      </c>
      <c r="D338">
        <f t="shared" si="41"/>
        <v>2.8285503387451172E-2</v>
      </c>
      <c r="E338">
        <f t="shared" si="42"/>
        <v>0.15234375</v>
      </c>
      <c r="F338">
        <f t="shared" si="43"/>
        <v>0.44288849830627441</v>
      </c>
      <c r="G338">
        <f t="shared" si="44"/>
        <v>0.51654052734375</v>
      </c>
    </row>
    <row r="339" spans="1:7" x14ac:dyDescent="0.35">
      <c r="A339">
        <f t="shared" si="45"/>
        <v>0.30859375</v>
      </c>
      <c r="B339">
        <f t="shared" si="39"/>
        <v>0.64779175951369805</v>
      </c>
      <c r="C339">
        <f t="shared" si="40"/>
        <v>9.52301025390625E-2</v>
      </c>
      <c r="D339">
        <f t="shared" si="41"/>
        <v>2.9387414455413818E-2</v>
      </c>
      <c r="E339">
        <f t="shared" si="42"/>
        <v>0.154296875</v>
      </c>
      <c r="F339">
        <f t="shared" si="43"/>
        <v>0.44819691777229309</v>
      </c>
      <c r="G339">
        <f t="shared" si="44"/>
        <v>0.5219573974609375</v>
      </c>
    </row>
    <row r="340" spans="1:7" x14ac:dyDescent="0.35">
      <c r="A340">
        <f t="shared" si="45"/>
        <v>0.3125</v>
      </c>
      <c r="B340">
        <f t="shared" si="39"/>
        <v>0.65342358814134671</v>
      </c>
      <c r="C340">
        <f t="shared" si="40"/>
        <v>9.765625E-2</v>
      </c>
      <c r="D340">
        <f t="shared" si="41"/>
        <v>3.0517578125E-2</v>
      </c>
      <c r="E340">
        <f t="shared" si="42"/>
        <v>0.15625</v>
      </c>
      <c r="F340">
        <f t="shared" si="43"/>
        <v>0.4534912109375</v>
      </c>
      <c r="G340">
        <f t="shared" si="44"/>
        <v>0.52734375</v>
      </c>
    </row>
    <row r="341" spans="1:7" x14ac:dyDescent="0.35">
      <c r="A341">
        <f t="shared" si="45"/>
        <v>0.31640625</v>
      </c>
      <c r="B341">
        <f t="shared" si="39"/>
        <v>0.65898400034623894</v>
      </c>
      <c r="C341">
        <f t="shared" si="40"/>
        <v>0.1001129150390625</v>
      </c>
      <c r="D341">
        <f t="shared" si="41"/>
        <v>3.1676352024078369E-2</v>
      </c>
      <c r="E341">
        <f t="shared" si="42"/>
        <v>0.158203125</v>
      </c>
      <c r="F341">
        <f t="shared" si="43"/>
        <v>0.45877119898796082</v>
      </c>
      <c r="G341">
        <f t="shared" si="44"/>
        <v>0.5326995849609375</v>
      </c>
    </row>
    <row r="342" spans="1:7" x14ac:dyDescent="0.35">
      <c r="A342">
        <f t="shared" si="45"/>
        <v>0.3203125</v>
      </c>
      <c r="B342">
        <f t="shared" si="39"/>
        <v>0.66447330556360162</v>
      </c>
      <c r="C342">
        <f t="shared" si="40"/>
        <v>0.10260009765625</v>
      </c>
      <c r="D342">
        <f t="shared" si="41"/>
        <v>3.2864093780517578E-2</v>
      </c>
      <c r="E342">
        <f t="shared" si="42"/>
        <v>0.16015625</v>
      </c>
      <c r="F342">
        <f t="shared" si="43"/>
        <v>0.46403670310974121</v>
      </c>
      <c r="G342">
        <f t="shared" si="44"/>
        <v>0.53802490234375</v>
      </c>
    </row>
    <row r="343" spans="1:7" x14ac:dyDescent="0.35">
      <c r="A343">
        <f t="shared" si="45"/>
        <v>0.32421875</v>
      </c>
      <c r="B343">
        <f t="shared" si="39"/>
        <v>0.66989183214178472</v>
      </c>
      <c r="C343">
        <f t="shared" si="40"/>
        <v>0.1051177978515625</v>
      </c>
      <c r="D343">
        <f t="shared" si="41"/>
        <v>3.4081161022186279E-2</v>
      </c>
      <c r="E343">
        <f t="shared" si="42"/>
        <v>0.162109375</v>
      </c>
      <c r="F343">
        <f t="shared" si="43"/>
        <v>0.46928754448890686</v>
      </c>
      <c r="G343">
        <f t="shared" si="44"/>
        <v>0.5433197021484375</v>
      </c>
    </row>
    <row r="344" spans="1:7" x14ac:dyDescent="0.35">
      <c r="A344">
        <f t="shared" si="45"/>
        <v>0.328125</v>
      </c>
      <c r="B344">
        <f t="shared" si="39"/>
        <v>0.67523992666657828</v>
      </c>
      <c r="C344">
        <f t="shared" si="40"/>
        <v>0.107666015625</v>
      </c>
      <c r="D344">
        <f t="shared" si="41"/>
        <v>3.5327911376953125E-2</v>
      </c>
      <c r="E344">
        <f t="shared" si="42"/>
        <v>0.1640625</v>
      </c>
      <c r="F344">
        <f t="shared" si="43"/>
        <v>0.47452354431152344</v>
      </c>
      <c r="G344">
        <f t="shared" si="44"/>
        <v>0.548583984375</v>
      </c>
    </row>
    <row r="345" spans="1:7" x14ac:dyDescent="0.35">
      <c r="A345">
        <f t="shared" si="45"/>
        <v>0.33203125</v>
      </c>
      <c r="B345">
        <f t="shared" si="39"/>
        <v>0.68051795328922171</v>
      </c>
      <c r="C345">
        <f t="shared" si="40"/>
        <v>0.1102447509765625</v>
      </c>
      <c r="D345">
        <f t="shared" si="41"/>
        <v>3.6604702472686768E-2</v>
      </c>
      <c r="E345">
        <f t="shared" si="42"/>
        <v>0.166015625</v>
      </c>
      <c r="F345">
        <f t="shared" si="43"/>
        <v>0.47974452376365662</v>
      </c>
      <c r="G345">
        <f t="shared" si="44"/>
        <v>0.5538177490234375</v>
      </c>
    </row>
    <row r="346" spans="1:7" x14ac:dyDescent="0.35">
      <c r="A346">
        <f t="shared" si="45"/>
        <v>0.3359375</v>
      </c>
      <c r="B346">
        <f t="shared" si="39"/>
        <v>0.68572629305882882</v>
      </c>
      <c r="C346">
        <f t="shared" si="40"/>
        <v>0.11285400390625</v>
      </c>
      <c r="D346">
        <f t="shared" si="41"/>
        <v>3.7911891937255859E-2</v>
      </c>
      <c r="E346">
        <f t="shared" si="42"/>
        <v>0.16796875</v>
      </c>
      <c r="F346">
        <f t="shared" si="43"/>
        <v>0.48495030403137207</v>
      </c>
      <c r="G346">
        <f t="shared" si="44"/>
        <v>0.55902099609375</v>
      </c>
    </row>
    <row r="347" spans="1:7" x14ac:dyDescent="0.35">
      <c r="A347">
        <f t="shared" si="45"/>
        <v>0.33984375</v>
      </c>
      <c r="B347">
        <f t="shared" si="39"/>
        <v>0.69086534325991167</v>
      </c>
      <c r="C347">
        <f t="shared" si="40"/>
        <v>0.1154937744140625</v>
      </c>
      <c r="D347">
        <f t="shared" si="41"/>
        <v>3.9249837398529053E-2</v>
      </c>
      <c r="E347">
        <f t="shared" si="42"/>
        <v>0.169921875</v>
      </c>
      <c r="F347">
        <f t="shared" si="43"/>
        <v>0.49014070630073547</v>
      </c>
      <c r="G347">
        <f t="shared" si="44"/>
        <v>0.5641937255859375</v>
      </c>
    </row>
    <row r="348" spans="1:7" x14ac:dyDescent="0.35">
      <c r="A348">
        <f t="shared" si="45"/>
        <v>0.34375</v>
      </c>
      <c r="B348">
        <f t="shared" si="39"/>
        <v>0.69593551675565157</v>
      </c>
      <c r="C348">
        <f t="shared" si="40"/>
        <v>0.1181640625</v>
      </c>
      <c r="D348">
        <f t="shared" si="41"/>
        <v>4.0618896484375E-2</v>
      </c>
      <c r="E348">
        <f t="shared" si="42"/>
        <v>0.171875</v>
      </c>
      <c r="F348">
        <f t="shared" si="43"/>
        <v>0.4953155517578125</v>
      </c>
      <c r="G348">
        <f t="shared" si="44"/>
        <v>0.5693359375</v>
      </c>
    </row>
    <row r="349" spans="1:7" x14ac:dyDescent="0.35">
      <c r="A349">
        <f t="shared" si="45"/>
        <v>0.34765625</v>
      </c>
      <c r="B349">
        <f t="shared" si="39"/>
        <v>0.70093724133753099</v>
      </c>
      <c r="C349">
        <f t="shared" si="40"/>
        <v>0.1208648681640625</v>
      </c>
      <c r="D349">
        <f t="shared" si="41"/>
        <v>4.2019426822662354E-2</v>
      </c>
      <c r="E349">
        <f t="shared" si="42"/>
        <v>0.173828125</v>
      </c>
      <c r="F349">
        <f t="shared" si="43"/>
        <v>0.50047466158866882</v>
      </c>
      <c r="G349">
        <f t="shared" si="44"/>
        <v>0.5744476318359375</v>
      </c>
    </row>
    <row r="350" spans="1:7" x14ac:dyDescent="0.35">
      <c r="A350">
        <f t="shared" si="45"/>
        <v>0.3515625</v>
      </c>
      <c r="B350">
        <f t="shared" si="39"/>
        <v>0.70587095908190456</v>
      </c>
      <c r="C350">
        <f t="shared" si="40"/>
        <v>0.12359619140625</v>
      </c>
      <c r="D350">
        <f t="shared" si="41"/>
        <v>4.3451786041259766E-2</v>
      </c>
      <c r="E350">
        <f t="shared" si="42"/>
        <v>0.17578125</v>
      </c>
      <c r="F350">
        <f t="shared" si="43"/>
        <v>0.50561785697937012</v>
      </c>
      <c r="G350">
        <f t="shared" si="44"/>
        <v>0.57952880859375</v>
      </c>
    </row>
    <row r="351" spans="1:7" x14ac:dyDescent="0.35">
      <c r="A351">
        <f t="shared" si="45"/>
        <v>0.35546875</v>
      </c>
      <c r="B351">
        <f t="shared" si="39"/>
        <v>0.71073712571404946</v>
      </c>
      <c r="C351">
        <f t="shared" si="40"/>
        <v>0.1263580322265625</v>
      </c>
      <c r="D351">
        <f t="shared" si="41"/>
        <v>4.4916331768035889E-2</v>
      </c>
      <c r="E351">
        <f t="shared" si="42"/>
        <v>0.177734375</v>
      </c>
      <c r="F351">
        <f t="shared" si="43"/>
        <v>0.51074495911598206</v>
      </c>
      <c r="G351">
        <f t="shared" si="44"/>
        <v>0.5845794677734375</v>
      </c>
    </row>
    <row r="352" spans="1:7" x14ac:dyDescent="0.35">
      <c r="A352">
        <f t="shared" si="45"/>
        <v>0.359375</v>
      </c>
      <c r="B352">
        <f t="shared" si="39"/>
        <v>0.71553620998020739</v>
      </c>
      <c r="C352">
        <f t="shared" si="40"/>
        <v>0.129150390625</v>
      </c>
      <c r="D352">
        <f t="shared" si="41"/>
        <v>4.6413421630859375E-2</v>
      </c>
      <c r="E352">
        <f t="shared" si="42"/>
        <v>0.1796875</v>
      </c>
      <c r="F352">
        <f t="shared" si="43"/>
        <v>0.51585578918457031</v>
      </c>
      <c r="G352">
        <f t="shared" si="44"/>
        <v>0.589599609375</v>
      </c>
    </row>
    <row r="353" spans="1:7" x14ac:dyDescent="0.35">
      <c r="A353">
        <f t="shared" si="45"/>
        <v>0.36328125</v>
      </c>
      <c r="B353">
        <f t="shared" si="39"/>
        <v>0.72026869302808794</v>
      </c>
      <c r="C353">
        <f t="shared" si="40"/>
        <v>0.1319732666015625</v>
      </c>
      <c r="D353">
        <f t="shared" si="41"/>
        <v>4.7943413257598877E-2</v>
      </c>
      <c r="E353">
        <f t="shared" si="42"/>
        <v>0.181640625</v>
      </c>
      <c r="F353">
        <f t="shared" si="43"/>
        <v>0.52095016837120056</v>
      </c>
      <c r="G353">
        <f t="shared" si="44"/>
        <v>0.5945892333984375</v>
      </c>
    </row>
    <row r="354" spans="1:7" x14ac:dyDescent="0.35">
      <c r="A354">
        <f t="shared" si="45"/>
        <v>0.3671875</v>
      </c>
      <c r="B354">
        <f t="shared" si="39"/>
        <v>0.72493506779627825</v>
      </c>
      <c r="C354">
        <f t="shared" si="40"/>
        <v>0.13482666015625</v>
      </c>
      <c r="D354">
        <f t="shared" si="41"/>
        <v>4.9506664276123047E-2</v>
      </c>
      <c r="E354">
        <f t="shared" si="42"/>
        <v>0.18359375</v>
      </c>
      <c r="F354">
        <f t="shared" si="43"/>
        <v>0.52602791786193848</v>
      </c>
      <c r="G354">
        <f t="shared" si="44"/>
        <v>0.59954833984375</v>
      </c>
    </row>
    <row r="355" spans="1:7" x14ac:dyDescent="0.35">
      <c r="A355">
        <f t="shared" si="45"/>
        <v>0.37109375</v>
      </c>
      <c r="B355">
        <f t="shared" si="39"/>
        <v>0.72953583841296432</v>
      </c>
      <c r="C355">
        <f t="shared" si="40"/>
        <v>0.1377105712890625</v>
      </c>
      <c r="D355">
        <f t="shared" si="41"/>
        <v>5.1103532314300537E-2</v>
      </c>
      <c r="E355">
        <f t="shared" si="42"/>
        <v>0.185546875</v>
      </c>
      <c r="F355">
        <f t="shared" si="43"/>
        <v>0.53108885884284973</v>
      </c>
      <c r="G355">
        <f t="shared" si="44"/>
        <v>0.6044769287109375</v>
      </c>
    </row>
    <row r="356" spans="1:7" x14ac:dyDescent="0.35">
      <c r="A356">
        <f t="shared" si="45"/>
        <v>0.375</v>
      </c>
      <c r="B356">
        <f t="shared" si="39"/>
        <v>0.73407151960434147</v>
      </c>
      <c r="C356">
        <f t="shared" si="40"/>
        <v>0.140625</v>
      </c>
      <c r="D356">
        <f t="shared" si="41"/>
        <v>5.2734375E-2</v>
      </c>
      <c r="E356">
        <f t="shared" si="42"/>
        <v>0.1875</v>
      </c>
      <c r="F356">
        <f t="shared" si="43"/>
        <v>0.5361328125</v>
      </c>
      <c r="G356">
        <f t="shared" si="44"/>
        <v>0.609375</v>
      </c>
    </row>
    <row r="357" spans="1:7" x14ac:dyDescent="0.35">
      <c r="A357">
        <f t="shared" si="45"/>
        <v>0.37890625</v>
      </c>
      <c r="B357">
        <f t="shared" si="39"/>
        <v>0.73854263611305937</v>
      </c>
      <c r="C357">
        <f t="shared" si="40"/>
        <v>0.1435699462890625</v>
      </c>
      <c r="D357">
        <f t="shared" si="41"/>
        <v>5.4399549961090088E-2</v>
      </c>
      <c r="E357">
        <f t="shared" si="42"/>
        <v>0.189453125</v>
      </c>
      <c r="F357">
        <f t="shared" si="43"/>
        <v>0.54115960001945496</v>
      </c>
      <c r="G357">
        <f t="shared" si="44"/>
        <v>0.6142425537109375</v>
      </c>
    </row>
    <row r="358" spans="1:7" x14ac:dyDescent="0.35">
      <c r="A358">
        <f t="shared" si="45"/>
        <v>0.3828125</v>
      </c>
      <c r="B358">
        <f t="shared" si="39"/>
        <v>0.74294972212701371</v>
      </c>
      <c r="C358">
        <f t="shared" si="40"/>
        <v>0.14654541015625</v>
      </c>
      <c r="D358">
        <f t="shared" si="41"/>
        <v>5.6099414825439453E-2</v>
      </c>
      <c r="E358">
        <f t="shared" si="42"/>
        <v>0.19140625</v>
      </c>
      <c r="F358">
        <f t="shared" si="43"/>
        <v>0.54616904258728027</v>
      </c>
      <c r="G358">
        <f t="shared" si="44"/>
        <v>0.61907958984375</v>
      </c>
    </row>
    <row r="359" spans="1:7" x14ac:dyDescent="0.35">
      <c r="A359">
        <f t="shared" si="45"/>
        <v>0.38671875</v>
      </c>
      <c r="B359">
        <f t="shared" si="39"/>
        <v>0.74729332071877341</v>
      </c>
      <c r="C359">
        <f t="shared" si="40"/>
        <v>0.1495513916015625</v>
      </c>
      <c r="D359">
        <f t="shared" si="41"/>
        <v>5.7834327220916748E-2</v>
      </c>
      <c r="E359">
        <f t="shared" si="42"/>
        <v>0.193359375</v>
      </c>
      <c r="F359">
        <f t="shared" si="43"/>
        <v>0.55116096138954163</v>
      </c>
      <c r="G359">
        <f t="shared" si="44"/>
        <v>0.6238861083984375</v>
      </c>
    </row>
    <row r="360" spans="1:7" x14ac:dyDescent="0.35">
      <c r="A360">
        <f t="shared" si="45"/>
        <v>0.390625</v>
      </c>
      <c r="B360">
        <f t="shared" si="39"/>
        <v>0.7515739832958932</v>
      </c>
      <c r="C360">
        <f t="shared" si="40"/>
        <v>0.152587890625</v>
      </c>
      <c r="D360">
        <f t="shared" si="41"/>
        <v>5.9604644775390625E-2</v>
      </c>
      <c r="E360">
        <f t="shared" si="42"/>
        <v>0.1953125</v>
      </c>
      <c r="F360">
        <f t="shared" si="43"/>
        <v>0.55613517761230469</v>
      </c>
      <c r="G360">
        <f t="shared" si="44"/>
        <v>0.628662109375</v>
      </c>
    </row>
    <row r="361" spans="1:7" x14ac:dyDescent="0.35">
      <c r="A361">
        <f t="shared" si="45"/>
        <v>0.39453125</v>
      </c>
      <c r="B361">
        <f t="shared" si="39"/>
        <v>0.75579226906234709</v>
      </c>
      <c r="C361">
        <f t="shared" si="40"/>
        <v>0.1556549072265625</v>
      </c>
      <c r="D361">
        <f t="shared" si="41"/>
        <v>6.1410725116729736E-2</v>
      </c>
      <c r="E361">
        <f t="shared" si="42"/>
        <v>0.197265625</v>
      </c>
      <c r="F361">
        <f t="shared" si="43"/>
        <v>0.56109151244163513</v>
      </c>
      <c r="G361">
        <f t="shared" si="44"/>
        <v>0.6334075927734375</v>
      </c>
    </row>
    <row r="362" spans="1:7" x14ac:dyDescent="0.35">
      <c r="A362">
        <f t="shared" si="45"/>
        <v>0.3984375</v>
      </c>
      <c r="B362">
        <f t="shared" si="39"/>
        <v>0.75994874449127725</v>
      </c>
      <c r="C362">
        <f t="shared" si="40"/>
        <v>0.15875244140625</v>
      </c>
      <c r="D362">
        <f t="shared" si="41"/>
        <v>6.3252925872802734E-2</v>
      </c>
      <c r="E362">
        <f t="shared" si="42"/>
        <v>0.19921875</v>
      </c>
      <c r="F362">
        <f t="shared" si="43"/>
        <v>0.56602978706359863</v>
      </c>
      <c r="G362">
        <f t="shared" si="44"/>
        <v>0.63812255859375</v>
      </c>
    </row>
    <row r="363" spans="1:7" x14ac:dyDescent="0.35">
      <c r="A363">
        <f t="shared" si="45"/>
        <v>0.40234375</v>
      </c>
      <c r="B363">
        <f t="shared" si="39"/>
        <v>0.76404398280923469</v>
      </c>
      <c r="C363">
        <f t="shared" si="40"/>
        <v>0.1618804931640625</v>
      </c>
      <c r="D363">
        <f t="shared" si="41"/>
        <v>6.5131604671478271E-2</v>
      </c>
      <c r="E363">
        <f t="shared" si="42"/>
        <v>0.201171875</v>
      </c>
      <c r="F363">
        <f t="shared" si="43"/>
        <v>0.57094982266426086</v>
      </c>
      <c r="G363">
        <f t="shared" si="44"/>
        <v>0.6428070068359375</v>
      </c>
    </row>
    <row r="364" spans="1:7" x14ac:dyDescent="0.35">
      <c r="A364">
        <f t="shared" si="45"/>
        <v>0.40625</v>
      </c>
      <c r="B364">
        <f t="shared" si="39"/>
        <v>0.76807856349206649</v>
      </c>
      <c r="C364">
        <f t="shared" si="40"/>
        <v>0.1650390625</v>
      </c>
      <c r="D364">
        <f t="shared" si="41"/>
        <v>6.7047119140625E-2</v>
      </c>
      <c r="E364">
        <f t="shared" si="42"/>
        <v>0.203125</v>
      </c>
      <c r="F364">
        <f t="shared" si="43"/>
        <v>0.5758514404296875</v>
      </c>
      <c r="G364">
        <f t="shared" si="44"/>
        <v>0.6474609375</v>
      </c>
    </row>
    <row r="365" spans="1:7" x14ac:dyDescent="0.35">
      <c r="A365">
        <f t="shared" si="45"/>
        <v>0.41015625</v>
      </c>
      <c r="B365">
        <f t="shared" si="39"/>
        <v>0.77205307177256532</v>
      </c>
      <c r="C365">
        <f t="shared" si="40"/>
        <v>0.1682281494140625</v>
      </c>
      <c r="D365">
        <f t="shared" si="41"/>
        <v>6.8999826908111572E-2</v>
      </c>
      <c r="E365">
        <f t="shared" si="42"/>
        <v>0.205078125</v>
      </c>
      <c r="F365">
        <f t="shared" si="43"/>
        <v>0.58073446154594421</v>
      </c>
      <c r="G365">
        <f t="shared" si="44"/>
        <v>0.6520843505859375</v>
      </c>
    </row>
    <row r="366" spans="1:7" x14ac:dyDescent="0.35">
      <c r="A366">
        <f t="shared" si="45"/>
        <v>0.4140625</v>
      </c>
      <c r="B366">
        <f t="shared" si="39"/>
        <v>0.77596809815999268</v>
      </c>
      <c r="C366">
        <f t="shared" si="40"/>
        <v>0.17144775390625</v>
      </c>
      <c r="D366">
        <f t="shared" si="41"/>
        <v>7.0990085601806641E-2</v>
      </c>
      <c r="E366">
        <f t="shared" si="42"/>
        <v>0.20703125</v>
      </c>
      <c r="F366">
        <f t="shared" si="43"/>
        <v>0.58559870719909668</v>
      </c>
      <c r="G366">
        <f t="shared" si="44"/>
        <v>0.65667724609375</v>
      </c>
    </row>
    <row r="367" spans="1:7" x14ac:dyDescent="0.35">
      <c r="A367">
        <f t="shared" si="45"/>
        <v>0.41796875</v>
      </c>
      <c r="B367">
        <f t="shared" si="39"/>
        <v>0.7798242379715502</v>
      </c>
      <c r="C367">
        <f t="shared" si="40"/>
        <v>0.1746978759765625</v>
      </c>
      <c r="D367">
        <f t="shared" si="41"/>
        <v>7.3018252849578857E-2</v>
      </c>
      <c r="E367">
        <f t="shared" si="42"/>
        <v>0.208984375</v>
      </c>
      <c r="F367">
        <f t="shared" si="43"/>
        <v>0.59044399857521057</v>
      </c>
      <c r="G367">
        <f t="shared" si="44"/>
        <v>0.6612396240234375</v>
      </c>
    </row>
    <row r="368" spans="1:7" x14ac:dyDescent="0.35">
      <c r="A368">
        <f t="shared" si="45"/>
        <v>0.421875</v>
      </c>
      <c r="B368">
        <f t="shared" si="39"/>
        <v>0.78362209087585943</v>
      </c>
      <c r="C368">
        <f t="shared" si="40"/>
        <v>0.177978515625</v>
      </c>
      <c r="D368">
        <f t="shared" si="41"/>
        <v>7.5084686279296875E-2</v>
      </c>
      <c r="E368">
        <f t="shared" si="42"/>
        <v>0.2109375</v>
      </c>
      <c r="F368">
        <f t="shared" si="43"/>
        <v>0.59527015686035156</v>
      </c>
      <c r="G368">
        <f t="shared" si="44"/>
        <v>0.665771484375</v>
      </c>
    </row>
    <row r="369" spans="1:7" x14ac:dyDescent="0.35">
      <c r="A369">
        <f t="shared" si="45"/>
        <v>0.42578125</v>
      </c>
      <c r="B369">
        <f t="shared" si="39"/>
        <v>0.78736226044848479</v>
      </c>
      <c r="C369">
        <f t="shared" si="40"/>
        <v>0.1812896728515625</v>
      </c>
      <c r="D369">
        <f t="shared" si="41"/>
        <v>7.7189743518829346E-2</v>
      </c>
      <c r="E369">
        <f t="shared" si="42"/>
        <v>0.212890625</v>
      </c>
      <c r="F369">
        <f t="shared" si="43"/>
        <v>0.60007700324058533</v>
      </c>
      <c r="G369">
        <f t="shared" si="44"/>
        <v>0.6702728271484375</v>
      </c>
    </row>
    <row r="370" spans="1:7" x14ac:dyDescent="0.35">
      <c r="A370">
        <f t="shared" si="45"/>
        <v>0.4296875</v>
      </c>
      <c r="B370">
        <f t="shared" si="39"/>
        <v>0.791045353739526</v>
      </c>
      <c r="C370">
        <f t="shared" si="40"/>
        <v>0.18463134765625</v>
      </c>
      <c r="D370">
        <f t="shared" si="41"/>
        <v>7.9333782196044922E-2</v>
      </c>
      <c r="E370">
        <f t="shared" si="42"/>
        <v>0.21484375</v>
      </c>
      <c r="F370">
        <f t="shared" si="43"/>
        <v>0.60486435890197754</v>
      </c>
      <c r="G370">
        <f t="shared" si="44"/>
        <v>0.67474365234375</v>
      </c>
    </row>
    <row r="371" spans="1:7" x14ac:dyDescent="0.35">
      <c r="A371">
        <f t="shared" si="45"/>
        <v>0.43359375</v>
      </c>
      <c r="B371">
        <f t="shared" si="39"/>
        <v>0.79467198085326907</v>
      </c>
      <c r="C371">
        <f t="shared" si="40"/>
        <v>0.1880035400390625</v>
      </c>
      <c r="D371">
        <f t="shared" si="41"/>
        <v>8.1517159938812256E-2</v>
      </c>
      <c r="E371">
        <f t="shared" si="42"/>
        <v>0.216796875</v>
      </c>
      <c r="F371">
        <f t="shared" si="43"/>
        <v>0.60963204503059387</v>
      </c>
      <c r="G371">
        <f t="shared" si="44"/>
        <v>0.6791839599609375</v>
      </c>
    </row>
    <row r="372" spans="1:7" x14ac:dyDescent="0.35">
      <c r="A372">
        <f t="shared" si="45"/>
        <v>0.4375</v>
      </c>
      <c r="B372">
        <f t="shared" si="39"/>
        <v>0.79824275453988702</v>
      </c>
      <c r="C372">
        <f t="shared" si="40"/>
        <v>0.19140625</v>
      </c>
      <c r="D372">
        <f t="shared" si="41"/>
        <v>8.3740234375E-2</v>
      </c>
      <c r="E372">
        <f t="shared" si="42"/>
        <v>0.21875</v>
      </c>
      <c r="F372">
        <f t="shared" si="43"/>
        <v>0.6143798828125</v>
      </c>
      <c r="G372">
        <f t="shared" si="44"/>
        <v>0.68359375</v>
      </c>
    </row>
    <row r="373" spans="1:7" x14ac:dyDescent="0.35">
      <c r="A373">
        <f t="shared" si="45"/>
        <v>0.44140625</v>
      </c>
      <c r="B373">
        <f t="shared" si="39"/>
        <v>0.80175828979915076</v>
      </c>
      <c r="C373">
        <f t="shared" si="40"/>
        <v>0.1948394775390625</v>
      </c>
      <c r="D373">
        <f t="shared" si="41"/>
        <v>8.6003363132476807E-2</v>
      </c>
      <c r="E373">
        <f t="shared" si="42"/>
        <v>0.220703125</v>
      </c>
      <c r="F373">
        <f t="shared" si="43"/>
        <v>0.6191076934337616</v>
      </c>
      <c r="G373">
        <f t="shared" si="44"/>
        <v>0.6879730224609375</v>
      </c>
    </row>
    <row r="374" spans="1:7" x14ac:dyDescent="0.35">
      <c r="A374">
        <f t="shared" si="45"/>
        <v>0.4453125</v>
      </c>
      <c r="B374">
        <f t="shared" si="39"/>
        <v>0.80521920349610432</v>
      </c>
      <c r="C374">
        <f t="shared" si="40"/>
        <v>0.19830322265625</v>
      </c>
      <c r="D374">
        <f t="shared" si="41"/>
        <v>8.8306903839111328E-2</v>
      </c>
      <c r="E374">
        <f t="shared" si="42"/>
        <v>0.22265625</v>
      </c>
      <c r="F374">
        <f t="shared" si="43"/>
        <v>0.62381529808044434</v>
      </c>
      <c r="G374">
        <f t="shared" si="44"/>
        <v>0.69232177734375</v>
      </c>
    </row>
    <row r="375" spans="1:7" x14ac:dyDescent="0.35">
      <c r="A375">
        <f t="shared" si="45"/>
        <v>0.44921875</v>
      </c>
      <c r="B375">
        <f t="shared" si="39"/>
        <v>0.80862611398863382</v>
      </c>
      <c r="C375">
        <f t="shared" si="40"/>
        <v>0.2017974853515625</v>
      </c>
      <c r="D375">
        <f t="shared" si="41"/>
        <v>9.0651214122772217E-2</v>
      </c>
      <c r="E375">
        <f t="shared" si="42"/>
        <v>0.224609375</v>
      </c>
      <c r="F375">
        <f t="shared" si="43"/>
        <v>0.62850251793861389</v>
      </c>
      <c r="G375">
        <f t="shared" si="44"/>
        <v>0.6966400146484375</v>
      </c>
    </row>
    <row r="376" spans="1:7" x14ac:dyDescent="0.35">
      <c r="A376">
        <f t="shared" si="45"/>
        <v>0.453125</v>
      </c>
      <c r="B376">
        <f t="shared" si="39"/>
        <v>0.81197964076685547</v>
      </c>
      <c r="C376">
        <f t="shared" si="40"/>
        <v>0.205322265625</v>
      </c>
      <c r="D376">
        <f t="shared" si="41"/>
        <v>9.3036651611328125E-2</v>
      </c>
      <c r="E376">
        <f t="shared" si="42"/>
        <v>0.2265625</v>
      </c>
      <c r="F376">
        <f t="shared" si="43"/>
        <v>0.63316917419433594</v>
      </c>
      <c r="G376">
        <f t="shared" si="44"/>
        <v>0.700927734375</v>
      </c>
    </row>
    <row r="377" spans="1:7" x14ac:dyDescent="0.35">
      <c r="A377">
        <f t="shared" si="45"/>
        <v>0.45703125</v>
      </c>
      <c r="B377">
        <f t="shared" si="39"/>
        <v>0.81528040410423019</v>
      </c>
      <c r="C377">
        <f t="shared" si="40"/>
        <v>0.2088775634765625</v>
      </c>
      <c r="D377">
        <f t="shared" si="41"/>
        <v>9.5463573932647705E-2</v>
      </c>
      <c r="E377">
        <f t="shared" si="42"/>
        <v>0.228515625</v>
      </c>
      <c r="F377">
        <f t="shared" si="43"/>
        <v>0.63781508803367615</v>
      </c>
      <c r="G377">
        <f t="shared" si="44"/>
        <v>0.7051849365234375</v>
      </c>
    </row>
    <row r="378" spans="1:7" x14ac:dyDescent="0.35">
      <c r="A378">
        <f t="shared" si="45"/>
        <v>0.4609375</v>
      </c>
      <c r="B378">
        <f t="shared" si="39"/>
        <v>0.81852902472029798</v>
      </c>
      <c r="C378">
        <f t="shared" si="40"/>
        <v>0.21246337890625</v>
      </c>
      <c r="D378">
        <f t="shared" si="41"/>
        <v>9.7932338714599609E-2</v>
      </c>
      <c r="E378">
        <f t="shared" si="42"/>
        <v>0.23046875</v>
      </c>
      <c r="F378">
        <f t="shared" si="43"/>
        <v>0.6424400806427002</v>
      </c>
      <c r="G378">
        <f t="shared" si="44"/>
        <v>0.70941162109375</v>
      </c>
    </row>
    <row r="379" spans="1:7" x14ac:dyDescent="0.35">
      <c r="A379">
        <f t="shared" si="45"/>
        <v>0.46484375</v>
      </c>
      <c r="B379">
        <f t="shared" si="39"/>
        <v>0.82172612345491691</v>
      </c>
      <c r="C379">
        <f t="shared" si="40"/>
        <v>0.2160797119140625</v>
      </c>
      <c r="D379">
        <f t="shared" si="41"/>
        <v>0.10044330358505249</v>
      </c>
      <c r="E379">
        <f t="shared" si="42"/>
        <v>0.232421875</v>
      </c>
      <c r="F379">
        <f t="shared" si="43"/>
        <v>0.64704397320747375</v>
      </c>
      <c r="G379">
        <f t="shared" si="44"/>
        <v>0.7136077880859375</v>
      </c>
    </row>
    <row r="380" spans="1:7" x14ac:dyDescent="0.35">
      <c r="A380">
        <f t="shared" si="45"/>
        <v>0.46875</v>
      </c>
      <c r="B380">
        <f t="shared" si="39"/>
        <v>0.82487232095388274</v>
      </c>
      <c r="C380">
        <f t="shared" si="40"/>
        <v>0.2197265625</v>
      </c>
      <c r="D380">
        <f t="shared" si="41"/>
        <v>0.102996826171875</v>
      </c>
      <c r="E380">
        <f t="shared" si="42"/>
        <v>0.234375</v>
      </c>
      <c r="F380">
        <f t="shared" si="43"/>
        <v>0.6516265869140625</v>
      </c>
      <c r="G380">
        <f t="shared" si="44"/>
        <v>0.7177734375</v>
      </c>
    </row>
    <row r="381" spans="1:7" x14ac:dyDescent="0.35">
      <c r="A381">
        <f t="shared" si="45"/>
        <v>0.47265625</v>
      </c>
      <c r="B381">
        <f t="shared" si="39"/>
        <v>0.82796823736578862</v>
      </c>
      <c r="C381">
        <f t="shared" si="40"/>
        <v>0.2234039306640625</v>
      </c>
      <c r="D381">
        <f t="shared" si="41"/>
        <v>0.10559326410293579</v>
      </c>
      <c r="E381">
        <f t="shared" si="42"/>
        <v>0.236328125</v>
      </c>
      <c r="F381">
        <f t="shared" si="43"/>
        <v>0.6561877429485321</v>
      </c>
      <c r="G381">
        <f t="shared" si="44"/>
        <v>0.7219085693359375</v>
      </c>
    </row>
    <row r="382" spans="1:7" x14ac:dyDescent="0.35">
      <c r="A382">
        <f t="shared" si="45"/>
        <v>0.4765625</v>
      </c>
      <c r="B382">
        <f t="shared" si="39"/>
        <v>0.83101449204998157</v>
      </c>
      <c r="C382">
        <f t="shared" si="40"/>
        <v>0.22711181640625</v>
      </c>
      <c r="D382">
        <f t="shared" si="41"/>
        <v>0.10823297500610352</v>
      </c>
      <c r="E382">
        <f t="shared" si="42"/>
        <v>0.23828125</v>
      </c>
      <c r="F382">
        <f t="shared" si="43"/>
        <v>0.66072726249694824</v>
      </c>
      <c r="G382">
        <f t="shared" si="44"/>
        <v>0.72601318359375</v>
      </c>
    </row>
    <row r="383" spans="1:7" x14ac:dyDescent="0.35">
      <c r="A383">
        <f t="shared" si="45"/>
        <v>0.48046875</v>
      </c>
      <c r="B383">
        <f t="shared" si="39"/>
        <v>0.83401170329546193</v>
      </c>
      <c r="C383">
        <f t="shared" si="40"/>
        <v>0.2308502197265625</v>
      </c>
      <c r="D383">
        <f t="shared" si="41"/>
        <v>0.11091631650924683</v>
      </c>
      <c r="E383">
        <f t="shared" si="42"/>
        <v>0.240234375</v>
      </c>
      <c r="F383">
        <f t="shared" si="43"/>
        <v>0.66524496674537659</v>
      </c>
      <c r="G383">
        <f t="shared" si="44"/>
        <v>0.7300872802734375</v>
      </c>
    </row>
    <row r="384" spans="1:7" x14ac:dyDescent="0.35">
      <c r="A384">
        <f t="shared" si="45"/>
        <v>0.484375</v>
      </c>
      <c r="B384">
        <f t="shared" si="39"/>
        <v>0.83696048805056222</v>
      </c>
      <c r="C384">
        <f t="shared" si="40"/>
        <v>0.234619140625</v>
      </c>
      <c r="D384">
        <f t="shared" si="41"/>
        <v>0.11364364624023438</v>
      </c>
      <c r="E384">
        <f t="shared" si="42"/>
        <v>0.2421875</v>
      </c>
      <c r="F384">
        <f t="shared" si="43"/>
        <v>0.66974067687988281</v>
      </c>
      <c r="G384">
        <f t="shared" si="44"/>
        <v>0.734130859375</v>
      </c>
    </row>
    <row r="385" spans="1:7" x14ac:dyDescent="0.35">
      <c r="A385">
        <f t="shared" si="45"/>
        <v>0.48828125</v>
      </c>
      <c r="B385">
        <f t="shared" si="39"/>
        <v>0.83986146166323838</v>
      </c>
      <c r="C385">
        <f t="shared" si="40"/>
        <v>0.2384185791015625</v>
      </c>
      <c r="D385">
        <f t="shared" si="41"/>
        <v>0.11641532182693481</v>
      </c>
      <c r="E385">
        <f t="shared" si="42"/>
        <v>0.244140625</v>
      </c>
      <c r="F385">
        <f t="shared" si="43"/>
        <v>0.67421421408653259</v>
      </c>
      <c r="G385">
        <f t="shared" si="44"/>
        <v>0.7381439208984375</v>
      </c>
    </row>
    <row r="386" spans="1:7" x14ac:dyDescent="0.35">
      <c r="A386">
        <f t="shared" si="45"/>
        <v>0.4921875</v>
      </c>
      <c r="B386">
        <f t="shared" si="39"/>
        <v>0.84271523763179712</v>
      </c>
      <c r="C386">
        <f t="shared" si="40"/>
        <v>0.24224853515625</v>
      </c>
      <c r="D386">
        <f t="shared" si="41"/>
        <v>0.1192317008972168</v>
      </c>
      <c r="E386">
        <f t="shared" si="42"/>
        <v>0.24609375</v>
      </c>
      <c r="F386">
        <f t="shared" si="43"/>
        <v>0.6786653995513916</v>
      </c>
      <c r="G386">
        <f t="shared" si="44"/>
        <v>0.74212646484375</v>
      </c>
    </row>
    <row r="387" spans="1:7" x14ac:dyDescent="0.35">
      <c r="A387">
        <f t="shared" si="45"/>
        <v>0.49609375</v>
      </c>
      <c r="B387">
        <f t="shared" si="39"/>
        <v>0.84552242736587946</v>
      </c>
      <c r="C387">
        <f t="shared" si="40"/>
        <v>0.2461090087890625</v>
      </c>
      <c r="D387">
        <f t="shared" si="41"/>
        <v>0.12209314107894897</v>
      </c>
      <c r="E387">
        <f t="shared" si="42"/>
        <v>0.248046875</v>
      </c>
      <c r="F387">
        <f t="shared" si="43"/>
        <v>0.68309405446052551</v>
      </c>
      <c r="G387">
        <f t="shared" si="44"/>
        <v>0.7460784912109375</v>
      </c>
    </row>
    <row r="388" spans="1:7" x14ac:dyDescent="0.35">
      <c r="A388">
        <f t="shared" si="45"/>
        <v>0.5</v>
      </c>
      <c r="B388">
        <f t="shared" ref="B388:B451" si="46">TANH(A388/$A$2)</f>
        <v>0.84828363995751288</v>
      </c>
      <c r="C388">
        <f t="shared" si="40"/>
        <v>0.25</v>
      </c>
      <c r="D388">
        <f t="shared" si="41"/>
        <v>0.125</v>
      </c>
      <c r="E388">
        <f t="shared" si="42"/>
        <v>0.25</v>
      </c>
      <c r="F388">
        <f t="shared" si="43"/>
        <v>0.6875</v>
      </c>
      <c r="G388">
        <f t="shared" si="44"/>
        <v>0.75</v>
      </c>
    </row>
    <row r="389" spans="1:7" x14ac:dyDescent="0.35">
      <c r="A389">
        <f t="shared" si="45"/>
        <v>0.50390625</v>
      </c>
      <c r="B389">
        <f t="shared" si="46"/>
        <v>0.85099948196204367</v>
      </c>
      <c r="C389">
        <f t="shared" ref="C389:C452" si="47">$A389^2</f>
        <v>0.2539215087890625</v>
      </c>
      <c r="D389">
        <f t="shared" ref="D389:D452" si="48">$C389*$A389</f>
        <v>0.12795263528823853</v>
      </c>
      <c r="E389">
        <f t="shared" ref="E389:E452" si="49">$A389*$B$2</f>
        <v>0.251953125</v>
      </c>
      <c r="F389">
        <f t="shared" ref="F389:F452" si="50">($A389+$E389-$B$2*$D389)*$D$2</f>
        <v>0.69188305735588074</v>
      </c>
      <c r="G389">
        <f t="shared" ref="G389:G452" si="51">(A389- SIGN(A389)*A389^2*$H$2)*$G$2</f>
        <v>0.7538909912109375</v>
      </c>
    </row>
    <row r="390" spans="1:7" x14ac:dyDescent="0.35">
      <c r="A390">
        <f t="shared" ref="A390:A453" si="52">A389+1/256</f>
        <v>0.5078125</v>
      </c>
      <c r="B390">
        <f t="shared" si="46"/>
        <v>0.85367055718875329</v>
      </c>
      <c r="C390">
        <f t="shared" si="47"/>
        <v>0.25787353515625</v>
      </c>
      <c r="D390">
        <f t="shared" si="48"/>
        <v>0.1309514045715332</v>
      </c>
      <c r="E390">
        <f t="shared" si="49"/>
        <v>0.25390625</v>
      </c>
      <c r="F390">
        <f t="shared" si="50"/>
        <v>0.6962430477142334</v>
      </c>
      <c r="G390">
        <f t="shared" si="51"/>
        <v>0.75775146484375</v>
      </c>
    </row>
    <row r="391" spans="1:7" x14ac:dyDescent="0.35">
      <c r="A391">
        <f t="shared" si="52"/>
        <v>0.51171875</v>
      </c>
      <c r="B391">
        <f t="shared" si="46"/>
        <v>0.85629746650096139</v>
      </c>
      <c r="C391">
        <f t="shared" si="47"/>
        <v>0.2618560791015625</v>
      </c>
      <c r="D391">
        <f t="shared" si="48"/>
        <v>0.13399666547775269</v>
      </c>
      <c r="E391">
        <f t="shared" si="49"/>
        <v>0.255859375</v>
      </c>
      <c r="F391">
        <f t="shared" si="50"/>
        <v>0.70057979226112366</v>
      </c>
      <c r="G391">
        <f t="shared" si="51"/>
        <v>0.7615814208984375</v>
      </c>
    </row>
    <row r="392" spans="1:7" x14ac:dyDescent="0.35">
      <c r="A392">
        <f t="shared" si="52"/>
        <v>0.515625</v>
      </c>
      <c r="B392">
        <f t="shared" si="46"/>
        <v>0.85888080762541397</v>
      </c>
      <c r="C392">
        <f t="shared" si="47"/>
        <v>0.265869140625</v>
      </c>
      <c r="D392">
        <f t="shared" si="48"/>
        <v>0.13708877563476563</v>
      </c>
      <c r="E392">
        <f t="shared" si="49"/>
        <v>0.2578125</v>
      </c>
      <c r="F392">
        <f t="shared" si="50"/>
        <v>0.70489311218261719</v>
      </c>
      <c r="G392">
        <f t="shared" si="51"/>
        <v>0.765380859375</v>
      </c>
    </row>
    <row r="393" spans="1:7" x14ac:dyDescent="0.35">
      <c r="A393">
        <f t="shared" si="52"/>
        <v>0.51953125</v>
      </c>
      <c r="B393">
        <f t="shared" si="46"/>
        <v>0.86142117497075688</v>
      </c>
      <c r="C393">
        <f t="shared" si="47"/>
        <v>0.2699127197265625</v>
      </c>
      <c r="D393">
        <f t="shared" si="48"/>
        <v>0.14022809267044067</v>
      </c>
      <c r="E393">
        <f t="shared" si="49"/>
        <v>0.259765625</v>
      </c>
      <c r="F393">
        <f t="shared" si="50"/>
        <v>0.70918282866477966</v>
      </c>
      <c r="G393">
        <f t="shared" si="51"/>
        <v>0.7691497802734375</v>
      </c>
    </row>
    <row r="394" spans="1:7" x14ac:dyDescent="0.35">
      <c r="A394">
        <f t="shared" si="52"/>
        <v>0.5234375</v>
      </c>
      <c r="B394">
        <f t="shared" si="46"/>
        <v>0.86391915945488207</v>
      </c>
      <c r="C394">
        <f t="shared" si="47"/>
        <v>0.27398681640625</v>
      </c>
      <c r="D394">
        <f t="shared" si="48"/>
        <v>0.14341497421264648</v>
      </c>
      <c r="E394">
        <f t="shared" si="49"/>
        <v>0.26171875</v>
      </c>
      <c r="F394">
        <f t="shared" si="50"/>
        <v>0.71344876289367676</v>
      </c>
      <c r="G394">
        <f t="shared" si="51"/>
        <v>0.77288818359375</v>
      </c>
    </row>
    <row r="395" spans="1:7" x14ac:dyDescent="0.35">
      <c r="A395">
        <f t="shared" si="52"/>
        <v>0.52734375</v>
      </c>
      <c r="B395">
        <f t="shared" si="46"/>
        <v>0.86637534834094809</v>
      </c>
      <c r="C395">
        <f t="shared" si="47"/>
        <v>0.2780914306640625</v>
      </c>
      <c r="D395">
        <f t="shared" si="48"/>
        <v>0.14664977788925171</v>
      </c>
      <c r="E395">
        <f t="shared" si="49"/>
        <v>0.263671875</v>
      </c>
      <c r="F395">
        <f t="shared" si="50"/>
        <v>0.71769073605537415</v>
      </c>
      <c r="G395">
        <f t="shared" si="51"/>
        <v>0.7765960693359375</v>
      </c>
    </row>
    <row r="396" spans="1:7" x14ac:dyDescent="0.35">
      <c r="A396">
        <f t="shared" si="52"/>
        <v>0.53125</v>
      </c>
      <c r="B396">
        <f t="shared" si="46"/>
        <v>0.86879032508186149</v>
      </c>
      <c r="C396">
        <f t="shared" si="47"/>
        <v>0.2822265625</v>
      </c>
      <c r="D396">
        <f t="shared" si="48"/>
        <v>0.149932861328125</v>
      </c>
      <c r="E396">
        <f t="shared" si="49"/>
        <v>0.265625</v>
      </c>
      <c r="F396">
        <f t="shared" si="50"/>
        <v>0.7219085693359375</v>
      </c>
      <c r="G396">
        <f t="shared" si="51"/>
        <v>0.7802734375</v>
      </c>
    </row>
    <row r="397" spans="1:7" x14ac:dyDescent="0.35">
      <c r="A397">
        <f t="shared" si="52"/>
        <v>0.53515625</v>
      </c>
      <c r="B397">
        <f t="shared" si="46"/>
        <v>0.87116466917301194</v>
      </c>
      <c r="C397">
        <f t="shared" si="47"/>
        <v>0.2863922119140625</v>
      </c>
      <c r="D397">
        <f t="shared" si="48"/>
        <v>0.15326458215713501</v>
      </c>
      <c r="E397">
        <f t="shared" si="49"/>
        <v>0.267578125</v>
      </c>
      <c r="F397">
        <f t="shared" si="50"/>
        <v>0.7261020839214325</v>
      </c>
      <c r="G397">
        <f t="shared" si="51"/>
        <v>0.7839202880859375</v>
      </c>
    </row>
    <row r="398" spans="1:7" x14ac:dyDescent="0.35">
      <c r="A398">
        <f t="shared" si="52"/>
        <v>0.5390625</v>
      </c>
      <c r="B398">
        <f t="shared" si="46"/>
        <v>0.87349895601305361</v>
      </c>
      <c r="C398">
        <f t="shared" si="47"/>
        <v>0.29058837890625</v>
      </c>
      <c r="D398">
        <f t="shared" si="48"/>
        <v>0.15664529800415039</v>
      </c>
      <c r="E398">
        <f t="shared" si="49"/>
        <v>0.26953125</v>
      </c>
      <c r="F398">
        <f t="shared" si="50"/>
        <v>0.7302711009979248</v>
      </c>
      <c r="G398">
        <f t="shared" si="51"/>
        <v>0.78753662109375</v>
      </c>
    </row>
    <row r="399" spans="1:7" x14ac:dyDescent="0.35">
      <c r="A399">
        <f t="shared" si="52"/>
        <v>0.54296875</v>
      </c>
      <c r="B399">
        <f t="shared" si="46"/>
        <v>0.87579375677252014</v>
      </c>
      <c r="C399">
        <f t="shared" si="47"/>
        <v>0.2948150634765625</v>
      </c>
      <c r="D399">
        <f t="shared" si="48"/>
        <v>0.16007536649703979</v>
      </c>
      <c r="E399">
        <f t="shared" si="49"/>
        <v>0.271484375</v>
      </c>
      <c r="F399">
        <f t="shared" si="50"/>
        <v>0.7344154417514801</v>
      </c>
      <c r="G399">
        <f t="shared" si="51"/>
        <v>0.7911224365234375</v>
      </c>
    </row>
    <row r="400" spans="1:7" x14ac:dyDescent="0.35">
      <c r="A400">
        <f t="shared" si="52"/>
        <v>0.546875</v>
      </c>
      <c r="B400">
        <f t="shared" si="46"/>
        <v>0.87804963827007032</v>
      </c>
      <c r="C400">
        <f t="shared" si="47"/>
        <v>0.299072265625</v>
      </c>
      <c r="D400">
        <f t="shared" si="48"/>
        <v>0.16355514526367188</v>
      </c>
      <c r="E400">
        <f t="shared" si="49"/>
        <v>0.2734375</v>
      </c>
      <c r="F400">
        <f t="shared" si="50"/>
        <v>0.73853492736816406</v>
      </c>
      <c r="G400">
        <f t="shared" si="51"/>
        <v>0.794677734375</v>
      </c>
    </row>
    <row r="401" spans="1:7" x14ac:dyDescent="0.35">
      <c r="A401">
        <f t="shared" si="52"/>
        <v>0.55078125</v>
      </c>
      <c r="B401">
        <f t="shared" si="46"/>
        <v>0.8802671628561497</v>
      </c>
      <c r="C401">
        <f t="shared" si="47"/>
        <v>0.3033599853515625</v>
      </c>
      <c r="D401">
        <f t="shared" si="48"/>
        <v>0.16708499193191528</v>
      </c>
      <c r="E401">
        <f t="shared" si="49"/>
        <v>0.275390625</v>
      </c>
      <c r="F401">
        <f t="shared" si="50"/>
        <v>0.74262937903404236</v>
      </c>
      <c r="G401">
        <f t="shared" si="51"/>
        <v>0.7982025146484375</v>
      </c>
    </row>
    <row r="402" spans="1:7" x14ac:dyDescent="0.35">
      <c r="A402">
        <f t="shared" si="52"/>
        <v>0.5546875</v>
      </c>
      <c r="B402">
        <f t="shared" si="46"/>
        <v>0.88244688830386631</v>
      </c>
      <c r="C402">
        <f t="shared" si="47"/>
        <v>0.30767822265625</v>
      </c>
      <c r="D402">
        <f t="shared" si="48"/>
        <v>0.17066526412963867</v>
      </c>
      <c r="E402">
        <f t="shared" si="49"/>
        <v>0.27734375</v>
      </c>
      <c r="F402">
        <f t="shared" si="50"/>
        <v>0.74669861793518066</v>
      </c>
      <c r="G402">
        <f t="shared" si="51"/>
        <v>0.80169677734375</v>
      </c>
    </row>
    <row r="403" spans="1:7" x14ac:dyDescent="0.35">
      <c r="A403">
        <f t="shared" si="52"/>
        <v>0.55859375</v>
      </c>
      <c r="B403">
        <f t="shared" si="46"/>
        <v>0.88458936770687335</v>
      </c>
      <c r="C403">
        <f t="shared" si="47"/>
        <v>0.3120269775390625</v>
      </c>
      <c r="D403">
        <f t="shared" si="48"/>
        <v>0.17429631948471069</v>
      </c>
      <c r="E403">
        <f t="shared" si="49"/>
        <v>0.279296875</v>
      </c>
      <c r="F403">
        <f t="shared" si="50"/>
        <v>0.75074246525764465</v>
      </c>
      <c r="G403">
        <f t="shared" si="51"/>
        <v>0.8051605224609375</v>
      </c>
    </row>
    <row r="404" spans="1:7" x14ac:dyDescent="0.35">
      <c r="A404">
        <f t="shared" si="52"/>
        <v>0.5625</v>
      </c>
      <c r="B404">
        <f t="shared" si="46"/>
        <v>0.88669514938405225</v>
      </c>
      <c r="C404">
        <f t="shared" si="47"/>
        <v>0.31640625</v>
      </c>
      <c r="D404">
        <f t="shared" si="48"/>
        <v>0.177978515625</v>
      </c>
      <c r="E404">
        <f t="shared" si="49"/>
        <v>0.28125</v>
      </c>
      <c r="F404">
        <f t="shared" si="50"/>
        <v>0.7547607421875</v>
      </c>
      <c r="G404">
        <f t="shared" si="51"/>
        <v>0.80859375</v>
      </c>
    </row>
    <row r="405" spans="1:7" x14ac:dyDescent="0.35">
      <c r="A405">
        <f t="shared" si="52"/>
        <v>0.56640625</v>
      </c>
      <c r="B405">
        <f t="shared" si="46"/>
        <v>0.88876477679079691</v>
      </c>
      <c r="C405">
        <f t="shared" si="47"/>
        <v>0.3208160400390625</v>
      </c>
      <c r="D405">
        <f t="shared" si="48"/>
        <v>0.18171221017837524</v>
      </c>
      <c r="E405">
        <f t="shared" si="49"/>
        <v>0.283203125</v>
      </c>
      <c r="F405">
        <f t="shared" si="50"/>
        <v>0.75875326991081238</v>
      </c>
      <c r="G405">
        <f t="shared" si="51"/>
        <v>0.8119964599609375</v>
      </c>
    </row>
    <row r="406" spans="1:7" x14ac:dyDescent="0.35">
      <c r="A406">
        <f t="shared" si="52"/>
        <v>0.5703125</v>
      </c>
      <c r="B406">
        <f t="shared" si="46"/>
        <v>0.89079878843669513</v>
      </c>
      <c r="C406">
        <f t="shared" si="47"/>
        <v>0.32525634765625</v>
      </c>
      <c r="D406">
        <f t="shared" si="48"/>
        <v>0.18549776077270508</v>
      </c>
      <c r="E406">
        <f t="shared" si="49"/>
        <v>0.28515625</v>
      </c>
      <c r="F406">
        <f t="shared" si="50"/>
        <v>0.76271986961364746</v>
      </c>
      <c r="G406">
        <f t="shared" si="51"/>
        <v>0.81536865234375</v>
      </c>
    </row>
    <row r="407" spans="1:7" x14ac:dyDescent="0.35">
      <c r="A407">
        <f t="shared" si="52"/>
        <v>0.57421875</v>
      </c>
      <c r="B407">
        <f t="shared" si="46"/>
        <v>0.89279771780941164</v>
      </c>
      <c r="C407">
        <f t="shared" si="47"/>
        <v>0.3297271728515625</v>
      </c>
      <c r="D407">
        <f t="shared" si="48"/>
        <v>0.18933552503585815</v>
      </c>
      <c r="E407">
        <f t="shared" si="49"/>
        <v>0.287109375</v>
      </c>
      <c r="F407">
        <f t="shared" si="50"/>
        <v>0.76666036248207092</v>
      </c>
      <c r="G407">
        <f t="shared" si="51"/>
        <v>0.8187103271484375</v>
      </c>
    </row>
    <row r="408" spans="1:7" x14ac:dyDescent="0.35">
      <c r="A408">
        <f t="shared" si="52"/>
        <v>0.578125</v>
      </c>
      <c r="B408">
        <f t="shared" si="46"/>
        <v>0.89476209330457257</v>
      </c>
      <c r="C408">
        <f t="shared" si="47"/>
        <v>0.334228515625</v>
      </c>
      <c r="D408">
        <f t="shared" si="48"/>
        <v>0.19322586059570313</v>
      </c>
      <c r="E408">
        <f t="shared" si="49"/>
        <v>0.2890625</v>
      </c>
      <c r="F408">
        <f t="shared" si="50"/>
        <v>0.77057456970214844</v>
      </c>
      <c r="G408">
        <f t="shared" si="51"/>
        <v>0.822021484375</v>
      </c>
    </row>
    <row r="409" spans="1:7" x14ac:dyDescent="0.35">
      <c r="A409">
        <f t="shared" si="52"/>
        <v>0.58203125</v>
      </c>
      <c r="B409">
        <f t="shared" si="46"/>
        <v>0.89669243816146249</v>
      </c>
      <c r="C409">
        <f t="shared" si="47"/>
        <v>0.3387603759765625</v>
      </c>
      <c r="D409">
        <f t="shared" si="48"/>
        <v>0.19716912508010864</v>
      </c>
      <c r="E409">
        <f t="shared" si="49"/>
        <v>0.291015625</v>
      </c>
      <c r="F409">
        <f t="shared" si="50"/>
        <v>0.77446231245994568</v>
      </c>
      <c r="G409">
        <f t="shared" si="51"/>
        <v>0.8253021240234375</v>
      </c>
    </row>
    <row r="410" spans="1:7" x14ac:dyDescent="0.35">
      <c r="A410">
        <f t="shared" si="52"/>
        <v>0.5859375</v>
      </c>
      <c r="B410">
        <f t="shared" si="46"/>
        <v>0.89858927040433911</v>
      </c>
      <c r="C410">
        <f t="shared" si="47"/>
        <v>0.34332275390625</v>
      </c>
      <c r="D410">
        <f t="shared" si="48"/>
        <v>0.20116567611694336</v>
      </c>
      <c r="E410">
        <f t="shared" si="49"/>
        <v>0.29296875</v>
      </c>
      <c r="F410">
        <f t="shared" si="50"/>
        <v>0.77832341194152832</v>
      </c>
      <c r="G410">
        <f t="shared" si="51"/>
        <v>0.82855224609375</v>
      </c>
    </row>
    <row r="411" spans="1:7" x14ac:dyDescent="0.35">
      <c r="A411">
        <f t="shared" si="52"/>
        <v>0.58984375</v>
      </c>
      <c r="B411">
        <f t="shared" si="46"/>
        <v>0.90045310278917501</v>
      </c>
      <c r="C411">
        <f t="shared" si="47"/>
        <v>0.3479156494140625</v>
      </c>
      <c r="D411">
        <f t="shared" si="48"/>
        <v>0.20521587133407593</v>
      </c>
      <c r="E411">
        <f t="shared" si="49"/>
        <v>0.294921875</v>
      </c>
      <c r="F411">
        <f t="shared" si="50"/>
        <v>0.78215768933296204</v>
      </c>
      <c r="G411">
        <f t="shared" si="51"/>
        <v>0.8317718505859375</v>
      </c>
    </row>
    <row r="412" spans="1:7" x14ac:dyDescent="0.35">
      <c r="A412">
        <f t="shared" si="52"/>
        <v>0.59375</v>
      </c>
      <c r="B412">
        <f t="shared" si="46"/>
        <v>0.90228444275565034</v>
      </c>
      <c r="C412">
        <f t="shared" si="47"/>
        <v>0.3525390625</v>
      </c>
      <c r="D412">
        <f t="shared" si="48"/>
        <v>0.209320068359375</v>
      </c>
      <c r="E412">
        <f t="shared" si="49"/>
        <v>0.296875</v>
      </c>
      <c r="F412">
        <f t="shared" si="50"/>
        <v>0.7859649658203125</v>
      </c>
      <c r="G412">
        <f t="shared" si="51"/>
        <v>0.8349609375</v>
      </c>
    </row>
    <row r="413" spans="1:7" x14ac:dyDescent="0.35">
      <c r="A413">
        <f t="shared" si="52"/>
        <v>0.59765625</v>
      </c>
      <c r="B413">
        <f t="shared" si="46"/>
        <v>0.90408379238420045</v>
      </c>
      <c r="C413">
        <f t="shared" si="47"/>
        <v>0.3571929931640625</v>
      </c>
      <c r="D413">
        <f t="shared" si="48"/>
        <v>0.21347862482070923</v>
      </c>
      <c r="E413">
        <f t="shared" si="49"/>
        <v>0.298828125</v>
      </c>
      <c r="F413">
        <f t="shared" si="50"/>
        <v>0.78974506258964539</v>
      </c>
      <c r="G413">
        <f t="shared" si="51"/>
        <v>0.8381195068359375</v>
      </c>
    </row>
    <row r="414" spans="1:7" x14ac:dyDescent="0.35">
      <c r="A414">
        <f t="shared" si="52"/>
        <v>0.6015625</v>
      </c>
      <c r="B414">
        <f t="shared" si="46"/>
        <v>0.90585164835795184</v>
      </c>
      <c r="C414">
        <f t="shared" si="47"/>
        <v>0.36187744140625</v>
      </c>
      <c r="D414">
        <f t="shared" si="48"/>
        <v>0.21769189834594727</v>
      </c>
      <c r="E414">
        <f t="shared" si="49"/>
        <v>0.30078125</v>
      </c>
      <c r="F414">
        <f t="shared" si="50"/>
        <v>0.79349780082702637</v>
      </c>
      <c r="G414">
        <f t="shared" si="51"/>
        <v>0.84124755859375</v>
      </c>
    </row>
    <row r="415" spans="1:7" x14ac:dyDescent="0.35">
      <c r="A415">
        <f t="shared" si="52"/>
        <v>0.60546875</v>
      </c>
      <c r="B415">
        <f t="shared" si="46"/>
        <v>0.90758850192936102</v>
      </c>
      <c r="C415">
        <f t="shared" si="47"/>
        <v>0.3665924072265625</v>
      </c>
      <c r="D415">
        <f t="shared" si="48"/>
        <v>0.22196024656295776</v>
      </c>
      <c r="E415">
        <f t="shared" si="49"/>
        <v>0.302734375</v>
      </c>
      <c r="F415">
        <f t="shared" si="50"/>
        <v>0.79722300171852112</v>
      </c>
      <c r="G415">
        <f t="shared" si="51"/>
        <v>0.8443450927734375</v>
      </c>
    </row>
    <row r="416" spans="1:7" x14ac:dyDescent="0.35">
      <c r="A416">
        <f t="shared" si="52"/>
        <v>0.609375</v>
      </c>
      <c r="B416">
        <f t="shared" si="46"/>
        <v>0.90929483889138707</v>
      </c>
      <c r="C416">
        <f t="shared" si="47"/>
        <v>0.371337890625</v>
      </c>
      <c r="D416">
        <f t="shared" si="48"/>
        <v>0.22628402709960938</v>
      </c>
      <c r="E416">
        <f t="shared" si="49"/>
        <v>0.3046875</v>
      </c>
      <c r="F416">
        <f t="shared" si="50"/>
        <v>0.80092048645019531</v>
      </c>
      <c r="G416">
        <f t="shared" si="51"/>
        <v>0.847412109375</v>
      </c>
    </row>
    <row r="417" spans="1:7" x14ac:dyDescent="0.35">
      <c r="A417">
        <f t="shared" si="52"/>
        <v>0.61328125</v>
      </c>
      <c r="B417">
        <f t="shared" si="46"/>
        <v>0.91097113955303022</v>
      </c>
      <c r="C417">
        <f t="shared" si="47"/>
        <v>0.3761138916015625</v>
      </c>
      <c r="D417">
        <f t="shared" si="48"/>
        <v>0.23066359758377075</v>
      </c>
      <c r="E417">
        <f t="shared" si="49"/>
        <v>0.306640625</v>
      </c>
      <c r="F417">
        <f t="shared" si="50"/>
        <v>0.80459007620811462</v>
      </c>
      <c r="G417">
        <f t="shared" si="51"/>
        <v>0.8504486083984375</v>
      </c>
    </row>
    <row r="418" spans="1:7" x14ac:dyDescent="0.35">
      <c r="A418">
        <f t="shared" si="52"/>
        <v>0.6171875</v>
      </c>
      <c r="B418">
        <f t="shared" si="46"/>
        <v>0.91261787871906375</v>
      </c>
      <c r="C418">
        <f t="shared" si="47"/>
        <v>0.38092041015625</v>
      </c>
      <c r="D418">
        <f t="shared" si="48"/>
        <v>0.23509931564331055</v>
      </c>
      <c r="E418">
        <f t="shared" si="49"/>
        <v>0.30859375</v>
      </c>
      <c r="F418">
        <f t="shared" si="50"/>
        <v>0.80823159217834473</v>
      </c>
      <c r="G418">
        <f t="shared" si="51"/>
        <v>0.85345458984375</v>
      </c>
    </row>
    <row r="419" spans="1:7" x14ac:dyDescent="0.35">
      <c r="A419">
        <f t="shared" si="52"/>
        <v>0.62109375</v>
      </c>
      <c r="B419">
        <f t="shared" si="46"/>
        <v>0.91423552567380584</v>
      </c>
      <c r="C419">
        <f t="shared" si="47"/>
        <v>0.3857574462890625</v>
      </c>
      <c r="D419">
        <f t="shared" si="48"/>
        <v>0.23959153890609741</v>
      </c>
      <c r="E419">
        <f t="shared" si="49"/>
        <v>0.310546875</v>
      </c>
      <c r="F419">
        <f t="shared" si="50"/>
        <v>0.81184485554695129</v>
      </c>
      <c r="G419">
        <f t="shared" si="51"/>
        <v>0.8564300537109375</v>
      </c>
    </row>
    <row r="420" spans="1:7" x14ac:dyDescent="0.35">
      <c r="A420">
        <f t="shared" si="52"/>
        <v>0.625</v>
      </c>
      <c r="B420">
        <f t="shared" si="46"/>
        <v>0.91582454416876236</v>
      </c>
      <c r="C420">
        <f t="shared" si="47"/>
        <v>0.390625</v>
      </c>
      <c r="D420">
        <f t="shared" si="48"/>
        <v>0.244140625</v>
      </c>
      <c r="E420">
        <f t="shared" si="49"/>
        <v>0.3125</v>
      </c>
      <c r="F420">
        <f t="shared" si="50"/>
        <v>0.8154296875</v>
      </c>
      <c r="G420">
        <f t="shared" si="51"/>
        <v>0.859375</v>
      </c>
    </row>
    <row r="421" spans="1:7" x14ac:dyDescent="0.35">
      <c r="A421">
        <f t="shared" si="52"/>
        <v>0.62890625</v>
      </c>
      <c r="B421">
        <f t="shared" si="46"/>
        <v>0.91738539241399131</v>
      </c>
      <c r="C421">
        <f t="shared" si="47"/>
        <v>0.3955230712890625</v>
      </c>
      <c r="D421">
        <f t="shared" si="48"/>
        <v>0.24874693155288696</v>
      </c>
      <c r="E421">
        <f t="shared" si="49"/>
        <v>0.314453125</v>
      </c>
      <c r="F421">
        <f t="shared" si="50"/>
        <v>0.81898590922355652</v>
      </c>
      <c r="G421">
        <f t="shared" si="51"/>
        <v>0.8622894287109375</v>
      </c>
    </row>
    <row r="422" spans="1:7" x14ac:dyDescent="0.35">
      <c r="A422">
        <f t="shared" si="52"/>
        <v>0.6328125</v>
      </c>
      <c r="B422">
        <f t="shared" si="46"/>
        <v>0.91891852307303634</v>
      </c>
      <c r="C422">
        <f t="shared" si="47"/>
        <v>0.40045166015625</v>
      </c>
      <c r="D422">
        <f t="shared" si="48"/>
        <v>0.25341081619262695</v>
      </c>
      <c r="E422">
        <f t="shared" si="49"/>
        <v>0.31640625</v>
      </c>
      <c r="F422">
        <f t="shared" si="50"/>
        <v>0.82251334190368652</v>
      </c>
      <c r="G422">
        <f t="shared" si="51"/>
        <v>0.86517333984375</v>
      </c>
    </row>
    <row r="423" spans="1:7" x14ac:dyDescent="0.35">
      <c r="A423">
        <f t="shared" si="52"/>
        <v>0.63671875</v>
      </c>
      <c r="B423">
        <f t="shared" si="46"/>
        <v>0.92042438326127507</v>
      </c>
      <c r="C423">
        <f t="shared" si="47"/>
        <v>0.4054107666015625</v>
      </c>
      <c r="D423">
        <f t="shared" si="48"/>
        <v>0.25813263654708862</v>
      </c>
      <c r="E423">
        <f t="shared" si="49"/>
        <v>0.318359375</v>
      </c>
      <c r="F423">
        <f t="shared" si="50"/>
        <v>0.82601180672645569</v>
      </c>
      <c r="G423">
        <f t="shared" si="51"/>
        <v>0.8680267333984375</v>
      </c>
    </row>
    <row r="424" spans="1:7" x14ac:dyDescent="0.35">
      <c r="A424">
        <f t="shared" si="52"/>
        <v>0.640625</v>
      </c>
      <c r="B424">
        <f t="shared" si="46"/>
        <v>0.92190341454754732</v>
      </c>
      <c r="C424">
        <f t="shared" si="47"/>
        <v>0.410400390625</v>
      </c>
      <c r="D424">
        <f t="shared" si="48"/>
        <v>0.26291275024414063</v>
      </c>
      <c r="E424">
        <f t="shared" si="49"/>
        <v>0.3203125</v>
      </c>
      <c r="F424">
        <f t="shared" si="50"/>
        <v>0.82948112487792969</v>
      </c>
      <c r="G424">
        <f t="shared" si="51"/>
        <v>0.870849609375</v>
      </c>
    </row>
    <row r="425" spans="1:7" x14ac:dyDescent="0.35">
      <c r="A425">
        <f t="shared" si="52"/>
        <v>0.64453125</v>
      </c>
      <c r="B425">
        <f t="shared" si="46"/>
        <v>0.92335605295890888</v>
      </c>
      <c r="C425">
        <f t="shared" si="47"/>
        <v>0.4154205322265625</v>
      </c>
      <c r="D425">
        <f t="shared" si="48"/>
        <v>0.26775151491165161</v>
      </c>
      <c r="E425">
        <f t="shared" si="49"/>
        <v>0.322265625</v>
      </c>
      <c r="F425">
        <f t="shared" si="50"/>
        <v>0.83292111754417419</v>
      </c>
      <c r="G425">
        <f t="shared" si="51"/>
        <v>0.8736419677734375</v>
      </c>
    </row>
    <row r="426" spans="1:7" x14ac:dyDescent="0.35">
      <c r="A426">
        <f t="shared" si="52"/>
        <v>0.6484375</v>
      </c>
      <c r="B426">
        <f t="shared" si="46"/>
        <v>0.92478272898838698</v>
      </c>
      <c r="C426">
        <f t="shared" si="47"/>
        <v>0.42047119140625</v>
      </c>
      <c r="D426">
        <f t="shared" si="48"/>
        <v>0.27264928817749023</v>
      </c>
      <c r="E426">
        <f t="shared" si="49"/>
        <v>0.32421875</v>
      </c>
      <c r="F426">
        <f t="shared" si="50"/>
        <v>0.83633160591125488</v>
      </c>
      <c r="G426">
        <f t="shared" si="51"/>
        <v>0.87640380859375</v>
      </c>
    </row>
    <row r="427" spans="1:7" x14ac:dyDescent="0.35">
      <c r="A427">
        <f t="shared" si="52"/>
        <v>0.65234375</v>
      </c>
      <c r="B427">
        <f t="shared" si="46"/>
        <v>0.92618386760558979</v>
      </c>
      <c r="C427">
        <f t="shared" si="47"/>
        <v>0.4255523681640625</v>
      </c>
      <c r="D427">
        <f t="shared" si="48"/>
        <v>0.27760642766952515</v>
      </c>
      <c r="E427">
        <f t="shared" si="49"/>
        <v>0.326171875</v>
      </c>
      <c r="F427">
        <f t="shared" si="50"/>
        <v>0.83971241116523743</v>
      </c>
      <c r="G427">
        <f t="shared" si="51"/>
        <v>0.8791351318359375</v>
      </c>
    </row>
    <row r="428" spans="1:7" x14ac:dyDescent="0.35">
      <c r="A428">
        <f t="shared" si="52"/>
        <v>0.65625</v>
      </c>
      <c r="B428">
        <f t="shared" si="46"/>
        <v>0.92755988827005054</v>
      </c>
      <c r="C428">
        <f t="shared" si="47"/>
        <v>0.4306640625</v>
      </c>
      <c r="D428">
        <f t="shared" si="48"/>
        <v>0.282623291015625</v>
      </c>
      <c r="E428">
        <f t="shared" si="49"/>
        <v>0.328125</v>
      </c>
      <c r="F428">
        <f t="shared" si="50"/>
        <v>0.8430633544921875</v>
      </c>
      <c r="G428">
        <f t="shared" si="51"/>
        <v>0.8818359375</v>
      </c>
    </row>
    <row r="429" spans="1:7" x14ac:dyDescent="0.35">
      <c r="A429">
        <f t="shared" si="52"/>
        <v>0.66015625</v>
      </c>
      <c r="B429">
        <f t="shared" si="46"/>
        <v>0.92891120494717039</v>
      </c>
      <c r="C429">
        <f t="shared" si="47"/>
        <v>0.4358062744140625</v>
      </c>
      <c r="D429">
        <f t="shared" si="48"/>
        <v>0.28770023584365845</v>
      </c>
      <c r="E429">
        <f t="shared" si="49"/>
        <v>0.330078125</v>
      </c>
      <c r="F429">
        <f t="shared" si="50"/>
        <v>0.84638425707817078</v>
      </c>
      <c r="G429">
        <f t="shared" si="51"/>
        <v>0.8845062255859375</v>
      </c>
    </row>
    <row r="430" spans="1:7" x14ac:dyDescent="0.35">
      <c r="A430">
        <f t="shared" si="52"/>
        <v>0.6640625</v>
      </c>
      <c r="B430">
        <f t="shared" si="46"/>
        <v>0.93023822612664153</v>
      </c>
      <c r="C430">
        <f t="shared" si="47"/>
        <v>0.44097900390625</v>
      </c>
      <c r="D430">
        <f t="shared" si="48"/>
        <v>0.29283761978149414</v>
      </c>
      <c r="E430">
        <f t="shared" si="49"/>
        <v>0.33203125</v>
      </c>
      <c r="F430">
        <f t="shared" si="50"/>
        <v>0.84967494010925293</v>
      </c>
      <c r="G430">
        <f t="shared" si="51"/>
        <v>0.88714599609375</v>
      </c>
    </row>
    <row r="431" spans="1:7" x14ac:dyDescent="0.35">
      <c r="A431">
        <f t="shared" si="52"/>
        <v>0.66796875</v>
      </c>
      <c r="B431">
        <f t="shared" si="46"/>
        <v>0.93154135484322886</v>
      </c>
      <c r="C431">
        <f t="shared" si="47"/>
        <v>0.4461822509765625</v>
      </c>
      <c r="D431">
        <f t="shared" si="48"/>
        <v>0.29803580045700073</v>
      </c>
      <c r="E431">
        <f t="shared" si="49"/>
        <v>0.333984375</v>
      </c>
      <c r="F431">
        <f t="shared" si="50"/>
        <v>0.85293522477149963</v>
      </c>
      <c r="G431">
        <f t="shared" si="51"/>
        <v>0.8897552490234375</v>
      </c>
    </row>
    <row r="432" spans="1:7" x14ac:dyDescent="0.35">
      <c r="A432">
        <f t="shared" si="52"/>
        <v>0.671875</v>
      </c>
      <c r="B432">
        <f t="shared" si="46"/>
        <v>0.93282098869979191</v>
      </c>
      <c r="C432">
        <f t="shared" si="47"/>
        <v>0.451416015625</v>
      </c>
      <c r="D432">
        <f t="shared" si="48"/>
        <v>0.30329513549804688</v>
      </c>
      <c r="E432">
        <f t="shared" si="49"/>
        <v>0.3359375</v>
      </c>
      <c r="F432">
        <f t="shared" si="50"/>
        <v>0.85616493225097656</v>
      </c>
      <c r="G432">
        <f t="shared" si="51"/>
        <v>0.892333984375</v>
      </c>
    </row>
    <row r="433" spans="1:7" x14ac:dyDescent="0.35">
      <c r="A433">
        <f t="shared" si="52"/>
        <v>0.67578125</v>
      </c>
      <c r="B433">
        <f t="shared" si="46"/>
        <v>0.93407751989243748</v>
      </c>
      <c r="C433">
        <f t="shared" si="47"/>
        <v>0.4566802978515625</v>
      </c>
      <c r="D433">
        <f t="shared" si="48"/>
        <v>0.30861598253250122</v>
      </c>
      <c r="E433">
        <f t="shared" si="49"/>
        <v>0.337890625</v>
      </c>
      <c r="F433">
        <f t="shared" si="50"/>
        <v>0.85936388373374939</v>
      </c>
      <c r="G433">
        <f t="shared" si="51"/>
        <v>0.8948822021484375</v>
      </c>
    </row>
    <row r="434" spans="1:7" x14ac:dyDescent="0.35">
      <c r="A434">
        <f t="shared" si="52"/>
        <v>0.6796875</v>
      </c>
      <c r="B434">
        <f t="shared" si="46"/>
        <v>0.93531133523768573</v>
      </c>
      <c r="C434">
        <f t="shared" si="47"/>
        <v>0.46197509765625</v>
      </c>
      <c r="D434">
        <f t="shared" si="48"/>
        <v>0.31399869918823242</v>
      </c>
      <c r="E434">
        <f t="shared" si="49"/>
        <v>0.33984375</v>
      </c>
      <c r="F434">
        <f t="shared" si="50"/>
        <v>0.86253190040588379</v>
      </c>
      <c r="G434">
        <f t="shared" si="51"/>
        <v>0.89739990234375</v>
      </c>
    </row>
    <row r="435" spans="1:7" x14ac:dyDescent="0.35">
      <c r="A435">
        <f t="shared" si="52"/>
        <v>0.68359375</v>
      </c>
      <c r="B435">
        <f t="shared" si="46"/>
        <v>0.93652281620155409</v>
      </c>
      <c r="C435">
        <f t="shared" si="47"/>
        <v>0.4673004150390625</v>
      </c>
      <c r="D435">
        <f t="shared" si="48"/>
        <v>0.31944364309310913</v>
      </c>
      <c r="E435">
        <f t="shared" si="49"/>
        <v>0.341796875</v>
      </c>
      <c r="F435">
        <f t="shared" si="50"/>
        <v>0.86566880345344543</v>
      </c>
      <c r="G435">
        <f t="shared" si="51"/>
        <v>0.8998870849609375</v>
      </c>
    </row>
    <row r="436" spans="1:7" x14ac:dyDescent="0.35">
      <c r="A436">
        <f t="shared" si="52"/>
        <v>0.6875</v>
      </c>
      <c r="B436">
        <f t="shared" si="46"/>
        <v>0.93771233893044315</v>
      </c>
      <c r="C436">
        <f t="shared" si="47"/>
        <v>0.47265625</v>
      </c>
      <c r="D436">
        <f t="shared" si="48"/>
        <v>0.324951171875</v>
      </c>
      <c r="E436">
        <f t="shared" si="49"/>
        <v>0.34375</v>
      </c>
      <c r="F436">
        <f t="shared" si="50"/>
        <v>0.8687744140625</v>
      </c>
      <c r="G436">
        <f t="shared" si="51"/>
        <v>0.90234375</v>
      </c>
    </row>
    <row r="437" spans="1:7" x14ac:dyDescent="0.35">
      <c r="A437">
        <f t="shared" si="52"/>
        <v>0.69140625</v>
      </c>
      <c r="B437">
        <f t="shared" si="46"/>
        <v>0.93888027428373422</v>
      </c>
      <c r="C437">
        <f t="shared" si="47"/>
        <v>0.4780426025390625</v>
      </c>
      <c r="D437">
        <f t="shared" si="48"/>
        <v>0.33052164316177368</v>
      </c>
      <c r="E437">
        <f t="shared" si="49"/>
        <v>0.345703125</v>
      </c>
      <c r="F437">
        <f t="shared" si="50"/>
        <v>0.87184855341911316</v>
      </c>
      <c r="G437">
        <f t="shared" si="51"/>
        <v>0.9047698974609375</v>
      </c>
    </row>
    <row r="438" spans="1:7" x14ac:dyDescent="0.35">
      <c r="A438">
        <f t="shared" si="52"/>
        <v>0.6953125</v>
      </c>
      <c r="B438">
        <f t="shared" si="46"/>
        <v>0.94002698786799688</v>
      </c>
      <c r="C438">
        <f t="shared" si="47"/>
        <v>0.48345947265625</v>
      </c>
      <c r="D438">
        <f t="shared" si="48"/>
        <v>0.33615541458129883</v>
      </c>
      <c r="E438">
        <f t="shared" si="49"/>
        <v>0.34765625</v>
      </c>
      <c r="F438">
        <f t="shared" si="50"/>
        <v>0.87489104270935059</v>
      </c>
      <c r="G438">
        <f t="shared" si="51"/>
        <v>0.90716552734375</v>
      </c>
    </row>
    <row r="439" spans="1:7" x14ac:dyDescent="0.35">
      <c r="A439">
        <f t="shared" si="52"/>
        <v>0.69921875</v>
      </c>
      <c r="B439">
        <f t="shared" si="46"/>
        <v>0.94115284007271249</v>
      </c>
      <c r="C439">
        <f t="shared" si="47"/>
        <v>0.4889068603515625</v>
      </c>
      <c r="D439">
        <f t="shared" si="48"/>
        <v>0.34185284376144409</v>
      </c>
      <c r="E439">
        <f t="shared" si="49"/>
        <v>0.349609375</v>
      </c>
      <c r="F439">
        <f t="shared" si="50"/>
        <v>0.87790170311927795</v>
      </c>
      <c r="G439">
        <f t="shared" si="51"/>
        <v>0.9095306396484375</v>
      </c>
    </row>
    <row r="440" spans="1:7" x14ac:dyDescent="0.35">
      <c r="A440">
        <f t="shared" si="52"/>
        <v>0.703125</v>
      </c>
      <c r="B440">
        <f t="shared" si="46"/>
        <v>0.94225818610742429</v>
      </c>
      <c r="C440">
        <f t="shared" si="47"/>
        <v>0.494384765625</v>
      </c>
      <c r="D440">
        <f t="shared" si="48"/>
        <v>0.34761428833007813</v>
      </c>
      <c r="E440">
        <f t="shared" si="49"/>
        <v>0.3515625</v>
      </c>
      <c r="F440">
        <f t="shared" si="50"/>
        <v>0.88088035583496094</v>
      </c>
      <c r="G440">
        <f t="shared" si="51"/>
        <v>0.911865234375</v>
      </c>
    </row>
    <row r="441" spans="1:7" x14ac:dyDescent="0.35">
      <c r="A441">
        <f t="shared" si="52"/>
        <v>0.70703125</v>
      </c>
      <c r="B441">
        <f t="shared" si="46"/>
        <v>0.94334337604022733</v>
      </c>
      <c r="C441">
        <f t="shared" si="47"/>
        <v>0.4998931884765625</v>
      </c>
      <c r="D441">
        <f t="shared" si="48"/>
        <v>0.35344010591506958</v>
      </c>
      <c r="E441">
        <f t="shared" si="49"/>
        <v>0.353515625</v>
      </c>
      <c r="F441">
        <f t="shared" si="50"/>
        <v>0.88382682204246521</v>
      </c>
      <c r="G441">
        <f t="shared" si="51"/>
        <v>0.9141693115234375</v>
      </c>
    </row>
    <row r="442" spans="1:7" x14ac:dyDescent="0.35">
      <c r="A442">
        <f t="shared" si="52"/>
        <v>0.7109375</v>
      </c>
      <c r="B442">
        <f t="shared" si="46"/>
        <v>0.94440875483750997</v>
      </c>
      <c r="C442">
        <f t="shared" si="47"/>
        <v>0.50543212890625</v>
      </c>
      <c r="D442">
        <f t="shared" si="48"/>
        <v>0.35933065414428711</v>
      </c>
      <c r="E442">
        <f t="shared" si="49"/>
        <v>0.35546875</v>
      </c>
      <c r="F442">
        <f t="shared" si="50"/>
        <v>0.88674092292785645</v>
      </c>
      <c r="G442">
        <f t="shared" si="51"/>
        <v>0.91644287109375</v>
      </c>
    </row>
    <row r="443" spans="1:7" x14ac:dyDescent="0.35">
      <c r="A443">
        <f t="shared" si="52"/>
        <v>0.71484375</v>
      </c>
      <c r="B443">
        <f t="shared" si="46"/>
        <v>0.94545466240486853</v>
      </c>
      <c r="C443">
        <f t="shared" si="47"/>
        <v>0.5110015869140625</v>
      </c>
      <c r="D443">
        <f t="shared" si="48"/>
        <v>0.36528629064559937</v>
      </c>
      <c r="E443">
        <f t="shared" si="49"/>
        <v>0.357421875</v>
      </c>
      <c r="F443">
        <f t="shared" si="50"/>
        <v>0.88962247967720032</v>
      </c>
      <c r="G443">
        <f t="shared" si="51"/>
        <v>0.9186859130859375</v>
      </c>
    </row>
    <row r="444" spans="1:7" x14ac:dyDescent="0.35">
      <c r="A444">
        <f t="shared" si="52"/>
        <v>0.71875</v>
      </c>
      <c r="B444">
        <f t="shared" si="46"/>
        <v>0.94648143362911374</v>
      </c>
      <c r="C444">
        <f t="shared" si="47"/>
        <v>0.5166015625</v>
      </c>
      <c r="D444">
        <f t="shared" si="48"/>
        <v>0.371307373046875</v>
      </c>
      <c r="E444">
        <f t="shared" si="49"/>
        <v>0.359375</v>
      </c>
      <c r="F444">
        <f t="shared" si="50"/>
        <v>0.8924713134765625</v>
      </c>
      <c r="G444">
        <f t="shared" si="51"/>
        <v>0.9208984375</v>
      </c>
    </row>
    <row r="445" spans="1:7" x14ac:dyDescent="0.35">
      <c r="A445">
        <f t="shared" si="52"/>
        <v>0.72265625</v>
      </c>
      <c r="B445">
        <f t="shared" si="46"/>
        <v>0.94748939842129432</v>
      </c>
      <c r="C445">
        <f t="shared" si="47"/>
        <v>0.5222320556640625</v>
      </c>
      <c r="D445">
        <f t="shared" si="48"/>
        <v>0.37739425897598267</v>
      </c>
      <c r="E445">
        <f t="shared" si="49"/>
        <v>0.361328125</v>
      </c>
      <c r="F445">
        <f t="shared" si="50"/>
        <v>0.89528724551200867</v>
      </c>
      <c r="G445">
        <f t="shared" si="51"/>
        <v>0.9230804443359375</v>
      </c>
    </row>
    <row r="446" spans="1:7" x14ac:dyDescent="0.35">
      <c r="A446">
        <f t="shared" si="52"/>
        <v>0.7265625</v>
      </c>
      <c r="B446">
        <f t="shared" si="46"/>
        <v>0.94847888176066286</v>
      </c>
      <c r="C446">
        <f t="shared" si="47"/>
        <v>0.52789306640625</v>
      </c>
      <c r="D446">
        <f t="shared" si="48"/>
        <v>0.38354730606079102</v>
      </c>
      <c r="E446">
        <f t="shared" si="49"/>
        <v>0.36328125</v>
      </c>
      <c r="F446">
        <f t="shared" si="50"/>
        <v>0.89807009696960449</v>
      </c>
      <c r="G446">
        <f t="shared" si="51"/>
        <v>0.92523193359375</v>
      </c>
    </row>
    <row r="447" spans="1:7" x14ac:dyDescent="0.35">
      <c r="A447">
        <f t="shared" si="52"/>
        <v>0.73046875</v>
      </c>
      <c r="B447">
        <f t="shared" si="46"/>
        <v>0.94945020373951461</v>
      </c>
      <c r="C447">
        <f t="shared" si="47"/>
        <v>0.5335845947265625</v>
      </c>
      <c r="D447">
        <f t="shared" si="48"/>
        <v>0.3897668719291687</v>
      </c>
      <c r="E447">
        <f t="shared" si="49"/>
        <v>0.365234375</v>
      </c>
      <c r="F447">
        <f t="shared" si="50"/>
        <v>0.90081968903541565</v>
      </c>
      <c r="G447">
        <f t="shared" si="51"/>
        <v>0.9273529052734375</v>
      </c>
    </row>
    <row r="448" spans="1:7" x14ac:dyDescent="0.35">
      <c r="A448">
        <f t="shared" si="52"/>
        <v>0.734375</v>
      </c>
      <c r="B448">
        <f t="shared" si="46"/>
        <v>0.95040367960882866</v>
      </c>
      <c r="C448">
        <f t="shared" si="47"/>
        <v>0.539306640625</v>
      </c>
      <c r="D448">
        <f t="shared" si="48"/>
        <v>0.39605331420898438</v>
      </c>
      <c r="E448">
        <f t="shared" si="49"/>
        <v>0.3671875</v>
      </c>
      <c r="F448">
        <f t="shared" si="50"/>
        <v>0.90353584289550781</v>
      </c>
      <c r="G448">
        <f t="shared" si="51"/>
        <v>0.929443359375</v>
      </c>
    </row>
    <row r="449" spans="1:7" x14ac:dyDescent="0.35">
      <c r="A449">
        <f t="shared" si="52"/>
        <v>0.73828125</v>
      </c>
      <c r="B449">
        <f t="shared" si="46"/>
        <v>0.95133961982464854</v>
      </c>
      <c r="C449">
        <f t="shared" si="47"/>
        <v>0.5450592041015625</v>
      </c>
      <c r="D449">
        <f t="shared" si="48"/>
        <v>0.40240699052810669</v>
      </c>
      <c r="E449">
        <f t="shared" si="49"/>
        <v>0.369140625</v>
      </c>
      <c r="F449">
        <f t="shared" si="50"/>
        <v>0.90621837973594666</v>
      </c>
      <c r="G449">
        <f t="shared" si="51"/>
        <v>0.9315032958984375</v>
      </c>
    </row>
    <row r="450" spans="1:7" x14ac:dyDescent="0.35">
      <c r="A450">
        <f t="shared" si="52"/>
        <v>0.7421875</v>
      </c>
      <c r="B450">
        <f t="shared" si="46"/>
        <v>0.95225833009513827</v>
      </c>
      <c r="C450">
        <f t="shared" si="47"/>
        <v>0.55084228515625</v>
      </c>
      <c r="D450">
        <f t="shared" si="48"/>
        <v>0.4088282585144043</v>
      </c>
      <c r="E450">
        <f t="shared" si="49"/>
        <v>0.37109375</v>
      </c>
      <c r="F450">
        <f t="shared" si="50"/>
        <v>0.90886712074279785</v>
      </c>
      <c r="G450">
        <f t="shared" si="51"/>
        <v>0.93353271484375</v>
      </c>
    </row>
    <row r="451" spans="1:7" x14ac:dyDescent="0.35">
      <c r="A451">
        <f t="shared" si="52"/>
        <v>0.74609375</v>
      </c>
      <c r="B451">
        <f t="shared" si="46"/>
        <v>0.95316011142824941</v>
      </c>
      <c r="C451">
        <f t="shared" si="47"/>
        <v>0.5566558837890625</v>
      </c>
      <c r="D451">
        <f t="shared" si="48"/>
        <v>0.41531747579574585</v>
      </c>
      <c r="E451">
        <f t="shared" si="49"/>
        <v>0.373046875</v>
      </c>
      <c r="F451">
        <f t="shared" si="50"/>
        <v>0.91148188710212708</v>
      </c>
      <c r="G451">
        <f t="shared" si="51"/>
        <v>0.9355316162109375</v>
      </c>
    </row>
    <row r="452" spans="1:7" x14ac:dyDescent="0.35">
      <c r="A452">
        <f t="shared" si="52"/>
        <v>0.75</v>
      </c>
      <c r="B452">
        <f t="shared" ref="B452:B515" si="53">TANH(A452/$A$2)</f>
        <v>0.95404526017994873</v>
      </c>
      <c r="C452">
        <f t="shared" si="47"/>
        <v>0.5625</v>
      </c>
      <c r="D452">
        <f t="shared" si="48"/>
        <v>0.421875</v>
      </c>
      <c r="E452">
        <f t="shared" si="49"/>
        <v>0.375</v>
      </c>
      <c r="F452">
        <f t="shared" si="50"/>
        <v>0.9140625</v>
      </c>
      <c r="G452">
        <f t="shared" si="51"/>
        <v>0.9375</v>
      </c>
    </row>
    <row r="453" spans="1:7" x14ac:dyDescent="0.35">
      <c r="A453">
        <f t="shared" si="52"/>
        <v>0.75390625</v>
      </c>
      <c r="B453">
        <f t="shared" si="53"/>
        <v>0.9549140681029411</v>
      </c>
      <c r="C453">
        <f t="shared" ref="C453:C516" si="54">$A453^2</f>
        <v>0.5683746337890625</v>
      </c>
      <c r="D453">
        <f t="shared" ref="D453:D516" si="55">$C453*$A453</f>
        <v>0.4285011887550354</v>
      </c>
      <c r="E453">
        <f t="shared" ref="E453:E516" si="56">$A453*$B$2</f>
        <v>0.376953125</v>
      </c>
      <c r="F453">
        <f t="shared" ref="F453:F516" si="57">($A453+$E453-$B$2*$D453)*$D$2</f>
        <v>0.9166087806224823</v>
      </c>
      <c r="G453">
        <f t="shared" ref="G453:G516" si="58">(A453- SIGN(A453)*A453^2*$H$2)*$G$2</f>
        <v>0.9394378662109375</v>
      </c>
    </row>
    <row r="454" spans="1:7" x14ac:dyDescent="0.35">
      <c r="A454">
        <f t="shared" ref="A454:A461" si="59">A453+1/256</f>
        <v>0.7578125</v>
      </c>
      <c r="B454">
        <f t="shared" si="53"/>
        <v>0.95576682239584099</v>
      </c>
      <c r="C454">
        <f t="shared" si="54"/>
        <v>0.57427978515625</v>
      </c>
      <c r="D454">
        <f t="shared" si="55"/>
        <v>0.4351963996887207</v>
      </c>
      <c r="E454">
        <f t="shared" si="56"/>
        <v>0.37890625</v>
      </c>
      <c r="F454">
        <f t="shared" si="57"/>
        <v>0.91912055015563965</v>
      </c>
      <c r="G454">
        <f t="shared" si="58"/>
        <v>0.94134521484375</v>
      </c>
    </row>
    <row r="455" spans="1:7" x14ac:dyDescent="0.35">
      <c r="A455">
        <f t="shared" si="59"/>
        <v>0.76171875</v>
      </c>
      <c r="B455">
        <f t="shared" si="53"/>
        <v>0.95660380575273607</v>
      </c>
      <c r="C455">
        <f t="shared" si="54"/>
        <v>0.5802154541015625</v>
      </c>
      <c r="D455">
        <f t="shared" si="55"/>
        <v>0.44196099042892456</v>
      </c>
      <c r="E455">
        <f t="shared" si="56"/>
        <v>0.380859375</v>
      </c>
      <c r="F455">
        <f t="shared" si="57"/>
        <v>0.92159762978553772</v>
      </c>
      <c r="G455">
        <f t="shared" si="58"/>
        <v>0.9432220458984375</v>
      </c>
    </row>
    <row r="456" spans="1:7" x14ac:dyDescent="0.35">
      <c r="A456">
        <f t="shared" si="59"/>
        <v>0.765625</v>
      </c>
      <c r="B456">
        <f t="shared" si="53"/>
        <v>0.95742529641309804</v>
      </c>
      <c r="C456">
        <f t="shared" si="54"/>
        <v>0.586181640625</v>
      </c>
      <c r="D456">
        <f t="shared" si="55"/>
        <v>0.44879531860351563</v>
      </c>
      <c r="E456">
        <f t="shared" si="56"/>
        <v>0.3828125</v>
      </c>
      <c r="F456">
        <f t="shared" si="57"/>
        <v>0.92403984069824219</v>
      </c>
      <c r="G456">
        <f t="shared" si="58"/>
        <v>0.945068359375</v>
      </c>
    </row>
    <row r="457" spans="1:7" x14ac:dyDescent="0.35">
      <c r="A457">
        <f t="shared" si="59"/>
        <v>0.76953125</v>
      </c>
      <c r="B457">
        <f t="shared" si="53"/>
        <v>0.95823156821198718</v>
      </c>
      <c r="C457">
        <f t="shared" si="54"/>
        <v>0.5921783447265625</v>
      </c>
      <c r="D457">
        <f t="shared" si="55"/>
        <v>0.45569974184036255</v>
      </c>
      <c r="E457">
        <f t="shared" si="56"/>
        <v>0.384765625</v>
      </c>
      <c r="F457">
        <f t="shared" si="57"/>
        <v>0.92644700407981873</v>
      </c>
      <c r="G457">
        <f t="shared" si="58"/>
        <v>0.9468841552734375</v>
      </c>
    </row>
    <row r="458" spans="1:7" x14ac:dyDescent="0.35">
      <c r="A458">
        <f t="shared" si="59"/>
        <v>0.7734375</v>
      </c>
      <c r="B458">
        <f t="shared" si="53"/>
        <v>0.95902289063051238</v>
      </c>
      <c r="C458">
        <f t="shared" si="54"/>
        <v>0.59820556640625</v>
      </c>
      <c r="D458">
        <f t="shared" si="55"/>
        <v>0.46267461776733398</v>
      </c>
      <c r="E458">
        <f t="shared" si="56"/>
        <v>0.38671875</v>
      </c>
      <c r="F458">
        <f t="shared" si="57"/>
        <v>0.92881894111633301</v>
      </c>
      <c r="G458">
        <f t="shared" si="58"/>
        <v>0.94866943359375</v>
      </c>
    </row>
    <row r="459" spans="1:7" x14ac:dyDescent="0.35">
      <c r="A459">
        <f t="shared" si="59"/>
        <v>0.77734375</v>
      </c>
      <c r="B459">
        <f t="shared" si="53"/>
        <v>0.95979952884649589</v>
      </c>
      <c r="C459">
        <f t="shared" si="54"/>
        <v>0.6042633056640625</v>
      </c>
      <c r="D459">
        <f t="shared" si="55"/>
        <v>0.46972030401229858</v>
      </c>
      <c r="E459">
        <f t="shared" si="56"/>
        <v>0.388671875</v>
      </c>
      <c r="F459">
        <f t="shared" si="57"/>
        <v>0.93115547299385071</v>
      </c>
      <c r="G459">
        <f t="shared" si="58"/>
        <v>0.9504241943359375</v>
      </c>
    </row>
    <row r="460" spans="1:7" x14ac:dyDescent="0.35">
      <c r="A460">
        <f t="shared" si="59"/>
        <v>0.78125</v>
      </c>
      <c r="B460">
        <f t="shared" si="53"/>
        <v>0.96056174378530668</v>
      </c>
      <c r="C460">
        <f t="shared" si="54"/>
        <v>0.6103515625</v>
      </c>
      <c r="D460">
        <f t="shared" si="55"/>
        <v>0.476837158203125</v>
      </c>
      <c r="E460">
        <f t="shared" si="56"/>
        <v>0.390625</v>
      </c>
      <c r="F460">
        <f t="shared" si="57"/>
        <v>0.9334564208984375</v>
      </c>
      <c r="G460">
        <f t="shared" si="58"/>
        <v>0.9521484375</v>
      </c>
    </row>
    <row r="461" spans="1:7" x14ac:dyDescent="0.35">
      <c r="A461">
        <f t="shared" si="59"/>
        <v>0.78515625</v>
      </c>
      <c r="B461">
        <f t="shared" si="53"/>
        <v>0.96130979217082102</v>
      </c>
      <c r="C461">
        <f t="shared" si="54"/>
        <v>0.6164703369140625</v>
      </c>
      <c r="D461">
        <f t="shared" si="55"/>
        <v>0.48402553796768188</v>
      </c>
      <c r="E461">
        <f t="shared" si="56"/>
        <v>0.392578125</v>
      </c>
      <c r="F461">
        <f t="shared" si="57"/>
        <v>0.93572160601615906</v>
      </c>
      <c r="G461">
        <f t="shared" si="58"/>
        <v>0.9538421630859375</v>
      </c>
    </row>
    <row r="462" spans="1:7" x14ac:dyDescent="0.35">
      <c r="A462">
        <f t="shared" ref="A462:A506" si="60">A461+1/256</f>
        <v>0.7890625</v>
      </c>
      <c r="B462">
        <f t="shared" si="53"/>
        <v>0.96204392657646864</v>
      </c>
      <c r="C462">
        <f t="shared" si="54"/>
        <v>0.62261962890625</v>
      </c>
      <c r="D462">
        <f t="shared" si="55"/>
        <v>0.49128580093383789</v>
      </c>
      <c r="E462">
        <f t="shared" si="56"/>
        <v>0.39453125</v>
      </c>
      <c r="F462">
        <f t="shared" si="57"/>
        <v>0.93795084953308105</v>
      </c>
      <c r="G462">
        <f t="shared" si="58"/>
        <v>0.95550537109375</v>
      </c>
    </row>
    <row r="463" spans="1:7" x14ac:dyDescent="0.35">
      <c r="A463">
        <f t="shared" si="60"/>
        <v>0.79296875</v>
      </c>
      <c r="B463">
        <f t="shared" si="53"/>
        <v>0.96276439547633652</v>
      </c>
      <c r="C463">
        <f t="shared" si="54"/>
        <v>0.6287994384765625</v>
      </c>
      <c r="D463">
        <f t="shared" si="55"/>
        <v>0.49861830472946167</v>
      </c>
      <c r="E463">
        <f t="shared" si="56"/>
        <v>0.396484375</v>
      </c>
      <c r="F463">
        <f t="shared" si="57"/>
        <v>0.94014397263526917</v>
      </c>
      <c r="G463">
        <f t="shared" si="58"/>
        <v>0.9571380615234375</v>
      </c>
    </row>
    <row r="464" spans="1:7" x14ac:dyDescent="0.35">
      <c r="A464">
        <f t="shared" si="60"/>
        <v>0.796875</v>
      </c>
      <c r="B464">
        <f t="shared" si="53"/>
        <v>0.96347144329628598</v>
      </c>
      <c r="C464">
        <f t="shared" si="54"/>
        <v>0.635009765625</v>
      </c>
      <c r="D464">
        <f t="shared" si="55"/>
        <v>0.50602340698242188</v>
      </c>
      <c r="E464">
        <f t="shared" si="56"/>
        <v>0.3984375</v>
      </c>
      <c r="F464">
        <f t="shared" si="57"/>
        <v>0.94230079650878906</v>
      </c>
      <c r="G464">
        <f t="shared" si="58"/>
        <v>0.958740234375</v>
      </c>
    </row>
    <row r="465" spans="1:7" x14ac:dyDescent="0.35">
      <c r="A465">
        <f t="shared" si="60"/>
        <v>0.80078125</v>
      </c>
      <c r="B465">
        <f t="shared" si="53"/>
        <v>0.96416531046505738</v>
      </c>
      <c r="C465">
        <f t="shared" si="54"/>
        <v>0.6412506103515625</v>
      </c>
      <c r="D465">
        <f t="shared" si="55"/>
        <v>0.51350146532058716</v>
      </c>
      <c r="E465">
        <f t="shared" si="56"/>
        <v>0.400390625</v>
      </c>
      <c r="F465">
        <f t="shared" si="57"/>
        <v>0.94442114233970642</v>
      </c>
      <c r="G465">
        <f t="shared" si="58"/>
        <v>0.9603118896484375</v>
      </c>
    </row>
    <row r="466" spans="1:7" x14ac:dyDescent="0.35">
      <c r="A466">
        <f t="shared" si="60"/>
        <v>0.8046875</v>
      </c>
      <c r="B466">
        <f t="shared" si="53"/>
        <v>0.96484623346532816</v>
      </c>
      <c r="C466">
        <f t="shared" si="54"/>
        <v>0.64752197265625</v>
      </c>
      <c r="D466">
        <f t="shared" si="55"/>
        <v>0.52105283737182617</v>
      </c>
      <c r="E466">
        <f t="shared" si="56"/>
        <v>0.40234375</v>
      </c>
      <c r="F466">
        <f t="shared" si="57"/>
        <v>0.94650483131408691</v>
      </c>
      <c r="G466">
        <f t="shared" si="58"/>
        <v>0.96185302734375</v>
      </c>
    </row>
    <row r="467" spans="1:7" x14ac:dyDescent="0.35">
      <c r="A467">
        <f t="shared" si="60"/>
        <v>0.80859375</v>
      </c>
      <c r="B467">
        <f t="shared" si="53"/>
        <v>0.96551444488469429</v>
      </c>
      <c r="C467">
        <f t="shared" si="54"/>
        <v>0.6538238525390625</v>
      </c>
      <c r="D467">
        <f t="shared" si="55"/>
        <v>0.52867788076400757</v>
      </c>
      <c r="E467">
        <f t="shared" si="56"/>
        <v>0.404296875</v>
      </c>
      <c r="F467">
        <f t="shared" si="57"/>
        <v>0.94855168461799622</v>
      </c>
      <c r="G467">
        <f t="shared" si="58"/>
        <v>0.9633636474609375</v>
      </c>
    </row>
    <row r="468" spans="1:7" x14ac:dyDescent="0.35">
      <c r="A468">
        <f t="shared" si="60"/>
        <v>0.8125</v>
      </c>
      <c r="B468">
        <f t="shared" si="53"/>
        <v>0.96617017346654699</v>
      </c>
      <c r="C468">
        <f t="shared" si="54"/>
        <v>0.66015625</v>
      </c>
      <c r="D468">
        <f t="shared" si="55"/>
        <v>0.536376953125</v>
      </c>
      <c r="E468">
        <f t="shared" si="56"/>
        <v>0.40625</v>
      </c>
      <c r="F468">
        <f t="shared" si="57"/>
        <v>0.9505615234375</v>
      </c>
      <c r="G468">
        <f t="shared" si="58"/>
        <v>0.96484375</v>
      </c>
    </row>
    <row r="469" spans="1:7" x14ac:dyDescent="0.35">
      <c r="A469">
        <f t="shared" si="60"/>
        <v>0.81640625</v>
      </c>
      <c r="B469">
        <f t="shared" si="53"/>
        <v>0.96681364416081916</v>
      </c>
      <c r="C469">
        <f t="shared" si="54"/>
        <v>0.6665191650390625</v>
      </c>
      <c r="D469">
        <f t="shared" si="55"/>
        <v>0.54415041208267212</v>
      </c>
      <c r="E469">
        <f t="shared" si="56"/>
        <v>0.408203125</v>
      </c>
      <c r="F469">
        <f t="shared" si="57"/>
        <v>0.95253416895866394</v>
      </c>
      <c r="G469">
        <f t="shared" si="58"/>
        <v>0.9662933349609375</v>
      </c>
    </row>
    <row r="470" spans="1:7" x14ac:dyDescent="0.35">
      <c r="A470">
        <f t="shared" si="60"/>
        <v>0.8203125</v>
      </c>
      <c r="B470">
        <f t="shared" si="53"/>
        <v>0.96744507817457304</v>
      </c>
      <c r="C470">
        <f t="shared" si="54"/>
        <v>0.67291259765625</v>
      </c>
      <c r="D470">
        <f t="shared" si="55"/>
        <v>0.55199861526489258</v>
      </c>
      <c r="E470">
        <f t="shared" si="56"/>
        <v>0.41015625</v>
      </c>
      <c r="F470">
        <f t="shared" si="57"/>
        <v>0.95446944236755371</v>
      </c>
      <c r="G470">
        <f t="shared" si="58"/>
        <v>0.96771240234375</v>
      </c>
    </row>
    <row r="471" spans="1:7" x14ac:dyDescent="0.35">
      <c r="A471">
        <f t="shared" si="60"/>
        <v>0.82421875</v>
      </c>
      <c r="B471">
        <f t="shared" si="53"/>
        <v>0.96806469302240794</v>
      </c>
      <c r="C471">
        <f t="shared" si="54"/>
        <v>0.6793365478515625</v>
      </c>
      <c r="D471">
        <f t="shared" si="55"/>
        <v>0.55992192029953003</v>
      </c>
      <c r="E471">
        <f t="shared" si="56"/>
        <v>0.412109375</v>
      </c>
      <c r="F471">
        <f t="shared" si="57"/>
        <v>0.95636716485023499</v>
      </c>
      <c r="G471">
        <f t="shared" si="58"/>
        <v>0.9691009521484375</v>
      </c>
    </row>
    <row r="472" spans="1:7" x14ac:dyDescent="0.35">
      <c r="A472">
        <f t="shared" si="60"/>
        <v>0.828125</v>
      </c>
      <c r="B472">
        <f t="shared" si="53"/>
        <v>0.96867270257666327</v>
      </c>
      <c r="C472">
        <f t="shared" si="54"/>
        <v>0.685791015625</v>
      </c>
      <c r="D472">
        <f t="shared" si="55"/>
        <v>0.56792068481445313</v>
      </c>
      <c r="E472">
        <f t="shared" si="56"/>
        <v>0.4140625</v>
      </c>
      <c r="F472">
        <f t="shared" si="57"/>
        <v>0.95822715759277344</v>
      </c>
      <c r="G472">
        <f t="shared" si="58"/>
        <v>0.970458984375</v>
      </c>
    </row>
    <row r="473" spans="1:7" x14ac:dyDescent="0.35">
      <c r="A473">
        <f t="shared" si="60"/>
        <v>0.83203125</v>
      </c>
      <c r="B473">
        <f t="shared" si="53"/>
        <v>0.9692693171173955</v>
      </c>
      <c r="C473">
        <f t="shared" si="54"/>
        <v>0.6922760009765625</v>
      </c>
      <c r="D473">
        <f t="shared" si="55"/>
        <v>0.57599526643753052</v>
      </c>
      <c r="E473">
        <f t="shared" si="56"/>
        <v>0.416015625</v>
      </c>
      <c r="F473">
        <f t="shared" si="57"/>
        <v>0.96004924178123474</v>
      </c>
      <c r="G473">
        <f t="shared" si="58"/>
        <v>0.9717864990234375</v>
      </c>
    </row>
    <row r="474" spans="1:7" x14ac:dyDescent="0.35">
      <c r="A474">
        <f t="shared" si="60"/>
        <v>0.8359375</v>
      </c>
      <c r="B474">
        <f t="shared" si="53"/>
        <v>0.96985474338210875</v>
      </c>
      <c r="C474">
        <f t="shared" si="54"/>
        <v>0.69879150390625</v>
      </c>
      <c r="D474">
        <f t="shared" si="55"/>
        <v>0.58414602279663086</v>
      </c>
      <c r="E474">
        <f t="shared" si="56"/>
        <v>0.41796875</v>
      </c>
      <c r="F474">
        <f t="shared" si="57"/>
        <v>0.96183323860168457</v>
      </c>
      <c r="G474">
        <f t="shared" si="58"/>
        <v>0.97308349609375</v>
      </c>
    </row>
    <row r="475" spans="1:7" x14ac:dyDescent="0.35">
      <c r="A475">
        <f t="shared" si="60"/>
        <v>0.83984375</v>
      </c>
      <c r="B475">
        <f t="shared" si="53"/>
        <v>0.97042918461521888</v>
      </c>
      <c r="C475">
        <f t="shared" si="54"/>
        <v>0.7053375244140625</v>
      </c>
      <c r="D475">
        <f t="shared" si="55"/>
        <v>0.5923733115196228</v>
      </c>
      <c r="E475">
        <f t="shared" si="56"/>
        <v>0.419921875</v>
      </c>
      <c r="F475">
        <f t="shared" si="57"/>
        <v>0.9635789692401886</v>
      </c>
      <c r="G475">
        <f t="shared" si="58"/>
        <v>0.9743499755859375</v>
      </c>
    </row>
    <row r="476" spans="1:7" x14ac:dyDescent="0.35">
      <c r="A476">
        <f t="shared" si="60"/>
        <v>0.84375</v>
      </c>
      <c r="B476">
        <f t="shared" si="53"/>
        <v>0.9709928406172359</v>
      </c>
      <c r="C476">
        <f t="shared" si="54"/>
        <v>0.7119140625</v>
      </c>
      <c r="D476">
        <f t="shared" si="55"/>
        <v>0.600677490234375</v>
      </c>
      <c r="E476">
        <f t="shared" si="56"/>
        <v>0.421875</v>
      </c>
      <c r="F476">
        <f t="shared" si="57"/>
        <v>0.9652862548828125</v>
      </c>
      <c r="G476">
        <f t="shared" si="58"/>
        <v>0.9755859375</v>
      </c>
    </row>
    <row r="477" spans="1:7" x14ac:dyDescent="0.35">
      <c r="A477">
        <f t="shared" si="60"/>
        <v>0.84765625</v>
      </c>
      <c r="B477">
        <f t="shared" si="53"/>
        <v>0.97154590779364169</v>
      </c>
      <c r="C477">
        <f t="shared" si="54"/>
        <v>0.7185211181640625</v>
      </c>
      <c r="D477">
        <f t="shared" si="55"/>
        <v>0.6090589165687561</v>
      </c>
      <c r="E477">
        <f t="shared" si="56"/>
        <v>0.423828125</v>
      </c>
      <c r="F477">
        <f t="shared" si="57"/>
        <v>0.96695491671562195</v>
      </c>
      <c r="G477">
        <f t="shared" si="58"/>
        <v>0.9767913818359375</v>
      </c>
    </row>
    <row r="478" spans="1:7" x14ac:dyDescent="0.35">
      <c r="A478">
        <f t="shared" si="60"/>
        <v>0.8515625</v>
      </c>
      <c r="B478">
        <f t="shared" si="53"/>
        <v>0.97208857920345315</v>
      </c>
      <c r="C478">
        <f t="shared" si="54"/>
        <v>0.72515869140625</v>
      </c>
      <c r="D478">
        <f t="shared" si="55"/>
        <v>0.61751794815063477</v>
      </c>
      <c r="E478">
        <f t="shared" si="56"/>
        <v>0.42578125</v>
      </c>
      <c r="F478">
        <f t="shared" si="57"/>
        <v>0.96858477592468262</v>
      </c>
      <c r="G478">
        <f t="shared" si="58"/>
        <v>0.97796630859375</v>
      </c>
    </row>
    <row r="479" spans="1:7" x14ac:dyDescent="0.35">
      <c r="A479">
        <f t="shared" si="60"/>
        <v>0.85546875</v>
      </c>
      <c r="B479">
        <f t="shared" si="53"/>
        <v>0.97262104460745114</v>
      </c>
      <c r="C479">
        <f t="shared" si="54"/>
        <v>0.7318267822265625</v>
      </c>
      <c r="D479">
        <f t="shared" si="55"/>
        <v>0.62605494260787964</v>
      </c>
      <c r="E479">
        <f t="shared" si="56"/>
        <v>0.427734375</v>
      </c>
      <c r="F479">
        <f t="shared" si="57"/>
        <v>0.97017565369606018</v>
      </c>
      <c r="G479">
        <f t="shared" si="58"/>
        <v>0.9791107177734375</v>
      </c>
    </row>
    <row r="480" spans="1:7" x14ac:dyDescent="0.35">
      <c r="A480">
        <f t="shared" si="60"/>
        <v>0.859375</v>
      </c>
      <c r="B480">
        <f t="shared" si="53"/>
        <v>0.97314349051606297</v>
      </c>
      <c r="C480">
        <f t="shared" si="54"/>
        <v>0.738525390625</v>
      </c>
      <c r="D480">
        <f t="shared" si="55"/>
        <v>0.63467025756835938</v>
      </c>
      <c r="E480">
        <f t="shared" si="56"/>
        <v>0.4296875</v>
      </c>
      <c r="F480">
        <f t="shared" si="57"/>
        <v>0.97172737121582031</v>
      </c>
      <c r="G480">
        <f t="shared" si="58"/>
        <v>0.980224609375</v>
      </c>
    </row>
    <row r="481" spans="1:7" x14ac:dyDescent="0.35">
      <c r="A481">
        <f t="shared" si="60"/>
        <v>0.86328125</v>
      </c>
      <c r="B481">
        <f t="shared" si="53"/>
        <v>0.97365610023688698</v>
      </c>
      <c r="C481">
        <f t="shared" si="54"/>
        <v>0.7452545166015625</v>
      </c>
      <c r="D481">
        <f t="shared" si="55"/>
        <v>0.64336425065994263</v>
      </c>
      <c r="E481">
        <f t="shared" si="56"/>
        <v>0.431640625</v>
      </c>
      <c r="F481">
        <f t="shared" si="57"/>
        <v>0.97323974967002869</v>
      </c>
      <c r="G481">
        <f t="shared" si="58"/>
        <v>0.9813079833984375</v>
      </c>
    </row>
    <row r="482" spans="1:7" x14ac:dyDescent="0.35">
      <c r="A482">
        <f t="shared" si="60"/>
        <v>0.8671875</v>
      </c>
      <c r="B482">
        <f t="shared" si="53"/>
        <v>0.97415905392184188</v>
      </c>
      <c r="C482">
        <f t="shared" si="54"/>
        <v>0.75201416015625</v>
      </c>
      <c r="D482">
        <f t="shared" si="55"/>
        <v>0.65213727951049805</v>
      </c>
      <c r="E482">
        <f t="shared" si="56"/>
        <v>0.43359375</v>
      </c>
      <c r="F482">
        <f t="shared" si="57"/>
        <v>0.97471261024475098</v>
      </c>
      <c r="G482">
        <f t="shared" si="58"/>
        <v>0.98236083984375</v>
      </c>
    </row>
    <row r="483" spans="1:7" x14ac:dyDescent="0.35">
      <c r="A483">
        <f t="shared" si="60"/>
        <v>0.87109375</v>
      </c>
      <c r="B483">
        <f t="shared" si="53"/>
        <v>0.9746525286139337</v>
      </c>
      <c r="C483">
        <f t="shared" si="54"/>
        <v>0.7588043212890625</v>
      </c>
      <c r="D483">
        <f t="shared" si="55"/>
        <v>0.66098970174789429</v>
      </c>
      <c r="E483">
        <f t="shared" si="56"/>
        <v>0.435546875</v>
      </c>
      <c r="F483">
        <f t="shared" si="57"/>
        <v>0.97614577412605286</v>
      </c>
      <c r="G483">
        <f t="shared" si="58"/>
        <v>0.9833831787109375</v>
      </c>
    </row>
    <row r="484" spans="1:7" x14ac:dyDescent="0.35">
      <c r="A484">
        <f t="shared" si="60"/>
        <v>0.875</v>
      </c>
      <c r="B484">
        <f t="shared" si="53"/>
        <v>0.97513669829362815</v>
      </c>
      <c r="C484">
        <f t="shared" si="54"/>
        <v>0.765625</v>
      </c>
      <c r="D484">
        <f t="shared" si="55"/>
        <v>0.669921875</v>
      </c>
      <c r="E484">
        <f t="shared" si="56"/>
        <v>0.4375</v>
      </c>
      <c r="F484">
        <f t="shared" si="57"/>
        <v>0.9775390625</v>
      </c>
      <c r="G484">
        <f t="shared" si="58"/>
        <v>0.984375</v>
      </c>
    </row>
    <row r="485" spans="1:7" x14ac:dyDescent="0.35">
      <c r="A485">
        <f t="shared" si="60"/>
        <v>0.87890625</v>
      </c>
      <c r="B485">
        <f t="shared" si="53"/>
        <v>0.97561173392481892</v>
      </c>
      <c r="C485">
        <f t="shared" si="54"/>
        <v>0.7724761962890625</v>
      </c>
      <c r="D485">
        <f t="shared" si="55"/>
        <v>0.67893415689468384</v>
      </c>
      <c r="E485">
        <f t="shared" si="56"/>
        <v>0.439453125</v>
      </c>
      <c r="F485">
        <f t="shared" si="57"/>
        <v>0.97889229655265808</v>
      </c>
      <c r="G485">
        <f t="shared" si="58"/>
        <v>0.9853363037109375</v>
      </c>
    </row>
    <row r="486" spans="1:7" x14ac:dyDescent="0.35">
      <c r="A486">
        <f t="shared" si="60"/>
        <v>0.8828125</v>
      </c>
      <c r="B486">
        <f t="shared" si="53"/>
        <v>0.97607780350038087</v>
      </c>
      <c r="C486">
        <f t="shared" si="54"/>
        <v>0.77935791015625</v>
      </c>
      <c r="D486">
        <f t="shared" si="55"/>
        <v>0.68802690505981445</v>
      </c>
      <c r="E486">
        <f t="shared" si="56"/>
        <v>0.44140625</v>
      </c>
      <c r="F486">
        <f t="shared" si="57"/>
        <v>0.98020529747009277</v>
      </c>
      <c r="G486">
        <f t="shared" si="58"/>
        <v>0.98626708984375</v>
      </c>
    </row>
    <row r="487" spans="1:7" x14ac:dyDescent="0.35">
      <c r="A487">
        <f t="shared" si="60"/>
        <v>0.88671875</v>
      </c>
      <c r="B487">
        <f t="shared" si="53"/>
        <v>0.97653507208730383</v>
      </c>
      <c r="C487">
        <f t="shared" si="54"/>
        <v>0.7862701416015625</v>
      </c>
      <c r="D487">
        <f t="shared" si="55"/>
        <v>0.6972004771232605</v>
      </c>
      <c r="E487">
        <f t="shared" si="56"/>
        <v>0.443359375</v>
      </c>
      <c r="F487">
        <f t="shared" si="57"/>
        <v>0.98147788643836975</v>
      </c>
      <c r="G487">
        <f t="shared" si="58"/>
        <v>0.9871673583984375</v>
      </c>
    </row>
    <row r="488" spans="1:7" x14ac:dyDescent="0.35">
      <c r="A488">
        <f t="shared" si="60"/>
        <v>0.890625</v>
      </c>
      <c r="B488">
        <f t="shared" si="53"/>
        <v>0.97698370187139327</v>
      </c>
      <c r="C488">
        <f t="shared" si="54"/>
        <v>0.793212890625</v>
      </c>
      <c r="D488">
        <f t="shared" si="55"/>
        <v>0.70645523071289063</v>
      </c>
      <c r="E488">
        <f t="shared" si="56"/>
        <v>0.4453125</v>
      </c>
      <c r="F488">
        <f t="shared" si="57"/>
        <v>0.98270988464355469</v>
      </c>
      <c r="G488">
        <f t="shared" si="58"/>
        <v>0.988037109375</v>
      </c>
    </row>
    <row r="489" spans="1:7" x14ac:dyDescent="0.35">
      <c r="A489">
        <f t="shared" si="60"/>
        <v>0.89453125</v>
      </c>
      <c r="B489">
        <f t="shared" si="53"/>
        <v>0.97742385220153782</v>
      </c>
      <c r="C489">
        <f t="shared" si="54"/>
        <v>0.8001861572265625</v>
      </c>
      <c r="D489">
        <f t="shared" si="55"/>
        <v>0.71579152345657349</v>
      </c>
      <c r="E489">
        <f t="shared" si="56"/>
        <v>0.447265625</v>
      </c>
      <c r="F489">
        <f t="shared" si="57"/>
        <v>0.98390111327171326</v>
      </c>
      <c r="G489">
        <f t="shared" si="58"/>
        <v>0.9888763427734375</v>
      </c>
    </row>
    <row r="490" spans="1:7" x14ac:dyDescent="0.35">
      <c r="A490">
        <f t="shared" si="60"/>
        <v>0.8984375</v>
      </c>
      <c r="B490">
        <f t="shared" si="53"/>
        <v>0.97785567963353159</v>
      </c>
      <c r="C490">
        <f t="shared" si="54"/>
        <v>0.80718994140625</v>
      </c>
      <c r="D490">
        <f t="shared" si="55"/>
        <v>0.72520971298217773</v>
      </c>
      <c r="E490">
        <f t="shared" si="56"/>
        <v>0.44921875</v>
      </c>
      <c r="F490">
        <f t="shared" si="57"/>
        <v>0.98505139350891113</v>
      </c>
      <c r="G490">
        <f t="shared" si="58"/>
        <v>0.98968505859375</v>
      </c>
    </row>
    <row r="491" spans="1:7" x14ac:dyDescent="0.35">
      <c r="A491">
        <f t="shared" si="60"/>
        <v>0.90234375</v>
      </c>
      <c r="B491">
        <f t="shared" si="53"/>
        <v>0.97827933797344513</v>
      </c>
      <c r="C491">
        <f t="shared" si="54"/>
        <v>0.8142242431640625</v>
      </c>
      <c r="D491">
        <f t="shared" si="55"/>
        <v>0.73471015691757202</v>
      </c>
      <c r="E491">
        <f t="shared" si="56"/>
        <v>0.451171875</v>
      </c>
      <c r="F491">
        <f t="shared" si="57"/>
        <v>0.98616054654121399</v>
      </c>
      <c r="G491">
        <f t="shared" si="58"/>
        <v>0.9904632568359375</v>
      </c>
    </row>
    <row r="492" spans="1:7" x14ac:dyDescent="0.35">
      <c r="A492">
        <f t="shared" si="60"/>
        <v>0.90625</v>
      </c>
      <c r="B492">
        <f t="shared" si="53"/>
        <v>0.97869497832054775</v>
      </c>
      <c r="C492">
        <f t="shared" si="54"/>
        <v>0.8212890625</v>
      </c>
      <c r="D492">
        <f t="shared" si="55"/>
        <v>0.744293212890625</v>
      </c>
      <c r="E492">
        <f t="shared" si="56"/>
        <v>0.453125</v>
      </c>
      <c r="F492">
        <f t="shared" si="57"/>
        <v>0.9872283935546875</v>
      </c>
      <c r="G492">
        <f t="shared" si="58"/>
        <v>0.9912109375</v>
      </c>
    </row>
    <row r="493" spans="1:7" x14ac:dyDescent="0.35">
      <c r="A493">
        <f t="shared" si="60"/>
        <v>0.91015625</v>
      </c>
      <c r="B493">
        <f t="shared" si="53"/>
        <v>0.97910274910976647</v>
      </c>
      <c r="C493">
        <f t="shared" si="54"/>
        <v>0.8283843994140625</v>
      </c>
      <c r="D493">
        <f t="shared" si="55"/>
        <v>0.75395923852920532</v>
      </c>
      <c r="E493">
        <f t="shared" si="56"/>
        <v>0.455078125</v>
      </c>
      <c r="F493">
        <f t="shared" si="57"/>
        <v>0.98825475573539734</v>
      </c>
      <c r="G493">
        <f t="shared" si="58"/>
        <v>0.9919281005859375</v>
      </c>
    </row>
    <row r="494" spans="1:7" x14ac:dyDescent="0.35">
      <c r="A494">
        <f t="shared" si="60"/>
        <v>0.9140625</v>
      </c>
      <c r="B494">
        <f t="shared" si="53"/>
        <v>0.97950279615368285</v>
      </c>
      <c r="C494">
        <f t="shared" si="54"/>
        <v>0.83551025390625</v>
      </c>
      <c r="D494">
        <f t="shared" si="55"/>
        <v>0.76370859146118164</v>
      </c>
      <c r="E494">
        <f t="shared" si="56"/>
        <v>0.45703125</v>
      </c>
      <c r="F494">
        <f t="shared" si="57"/>
        <v>0.98923945426940918</v>
      </c>
      <c r="G494">
        <f t="shared" si="58"/>
        <v>0.99261474609375</v>
      </c>
    </row>
    <row r="495" spans="1:7" x14ac:dyDescent="0.35">
      <c r="A495">
        <f t="shared" si="60"/>
        <v>0.91796875</v>
      </c>
      <c r="B495">
        <f t="shared" si="53"/>
        <v>0.97989526268406357</v>
      </c>
      <c r="C495">
        <f t="shared" si="54"/>
        <v>0.8426666259765625</v>
      </c>
      <c r="D495">
        <f t="shared" si="55"/>
        <v>0.77354162931442261</v>
      </c>
      <c r="E495">
        <f t="shared" si="56"/>
        <v>0.458984375</v>
      </c>
      <c r="F495">
        <f t="shared" si="57"/>
        <v>0.9901823103427887</v>
      </c>
      <c r="G495">
        <f t="shared" si="58"/>
        <v>0.9932708740234375</v>
      </c>
    </row>
    <row r="496" spans="1:7" x14ac:dyDescent="0.35">
      <c r="A496">
        <f t="shared" si="60"/>
        <v>0.921875</v>
      </c>
      <c r="B496">
        <f t="shared" si="53"/>
        <v>0.98028028939292244</v>
      </c>
      <c r="C496">
        <f t="shared" si="54"/>
        <v>0.849853515625</v>
      </c>
      <c r="D496">
        <f t="shared" si="55"/>
        <v>0.78345870971679688</v>
      </c>
      <c r="E496">
        <f t="shared" si="56"/>
        <v>0.4609375</v>
      </c>
      <c r="F496">
        <f t="shared" si="57"/>
        <v>0.99108314514160156</v>
      </c>
      <c r="G496">
        <f t="shared" si="58"/>
        <v>0.993896484375</v>
      </c>
    </row>
    <row r="497" spans="1:7" x14ac:dyDescent="0.35">
      <c r="A497">
        <f t="shared" si="60"/>
        <v>0.92578125</v>
      </c>
      <c r="B497">
        <f t="shared" si="53"/>
        <v>0.98065801447310597</v>
      </c>
      <c r="C497">
        <f t="shared" si="54"/>
        <v>0.8570709228515625</v>
      </c>
      <c r="D497">
        <f t="shared" si="55"/>
        <v>0.7934601902961731</v>
      </c>
      <c r="E497">
        <f t="shared" si="56"/>
        <v>0.462890625</v>
      </c>
      <c r="F497">
        <f t="shared" si="57"/>
        <v>0.99194177985191345</v>
      </c>
      <c r="G497">
        <f t="shared" si="58"/>
        <v>0.9944915771484375</v>
      </c>
    </row>
    <row r="498" spans="1:7" x14ac:dyDescent="0.35">
      <c r="A498">
        <f t="shared" si="60"/>
        <v>0.9296875</v>
      </c>
      <c r="B498">
        <f t="shared" si="53"/>
        <v>0.98102857365840945</v>
      </c>
      <c r="C498">
        <f t="shared" si="54"/>
        <v>0.86431884765625</v>
      </c>
      <c r="D498">
        <f t="shared" si="55"/>
        <v>0.80354642868041992</v>
      </c>
      <c r="E498">
        <f t="shared" si="56"/>
        <v>0.46484375</v>
      </c>
      <c r="F498">
        <f t="shared" si="57"/>
        <v>0.99275803565979004</v>
      </c>
      <c r="G498">
        <f t="shared" si="58"/>
        <v>0.99505615234375</v>
      </c>
    </row>
    <row r="499" spans="1:7" x14ac:dyDescent="0.35">
      <c r="A499">
        <f t="shared" si="60"/>
        <v>0.93359375</v>
      </c>
      <c r="B499">
        <f t="shared" si="53"/>
        <v>0.98139210026321255</v>
      </c>
      <c r="C499">
        <f t="shared" si="54"/>
        <v>0.8715972900390625</v>
      </c>
      <c r="D499">
        <f t="shared" si="55"/>
        <v>0.81371778249740601</v>
      </c>
      <c r="E499">
        <f t="shared" si="56"/>
        <v>0.466796875</v>
      </c>
      <c r="F499">
        <f t="shared" si="57"/>
        <v>0.993531733751297</v>
      </c>
      <c r="G499">
        <f t="shared" si="58"/>
        <v>0.9955902099609375</v>
      </c>
    </row>
    <row r="500" spans="1:7" x14ac:dyDescent="0.35">
      <c r="A500">
        <f t="shared" si="60"/>
        <v>0.9375</v>
      </c>
      <c r="B500">
        <f t="shared" si="53"/>
        <v>0.98174872522163892</v>
      </c>
      <c r="C500">
        <f t="shared" si="54"/>
        <v>0.87890625</v>
      </c>
      <c r="D500">
        <f t="shared" si="55"/>
        <v>0.823974609375</v>
      </c>
      <c r="E500">
        <f t="shared" si="56"/>
        <v>0.46875</v>
      </c>
      <c r="F500">
        <f t="shared" si="57"/>
        <v>0.9942626953125</v>
      </c>
      <c r="G500">
        <f t="shared" si="58"/>
        <v>0.99609375</v>
      </c>
    </row>
    <row r="501" spans="1:7" x14ac:dyDescent="0.35">
      <c r="A501">
        <f t="shared" si="60"/>
        <v>0.94140625</v>
      </c>
      <c r="B501">
        <f t="shared" si="53"/>
        <v>0.98209857712623605</v>
      </c>
      <c r="C501">
        <f t="shared" si="54"/>
        <v>0.8862457275390625</v>
      </c>
      <c r="D501">
        <f t="shared" si="55"/>
        <v>0.83431726694107056</v>
      </c>
      <c r="E501">
        <f t="shared" si="56"/>
        <v>0.470703125</v>
      </c>
      <c r="F501">
        <f t="shared" si="57"/>
        <v>0.99495074152946472</v>
      </c>
      <c r="G501">
        <f t="shared" si="58"/>
        <v>0.9965667724609375</v>
      </c>
    </row>
    <row r="502" spans="1:7" x14ac:dyDescent="0.35">
      <c r="A502">
        <f t="shared" si="60"/>
        <v>0.9453125</v>
      </c>
      <c r="B502">
        <f t="shared" si="53"/>
        <v>0.98244178226617629</v>
      </c>
      <c r="C502">
        <f t="shared" si="54"/>
        <v>0.89361572265625</v>
      </c>
      <c r="D502">
        <f t="shared" si="55"/>
        <v>0.84474611282348633</v>
      </c>
      <c r="E502">
        <f t="shared" si="56"/>
        <v>0.47265625</v>
      </c>
      <c r="F502">
        <f t="shared" si="57"/>
        <v>0.99559569358825684</v>
      </c>
      <c r="G502">
        <f t="shared" si="58"/>
        <v>0.99700927734375</v>
      </c>
    </row>
    <row r="503" spans="1:7" x14ac:dyDescent="0.35">
      <c r="A503">
        <f t="shared" si="60"/>
        <v>0.94921875</v>
      </c>
      <c r="B503">
        <f t="shared" si="53"/>
        <v>0.98277846466497853</v>
      </c>
      <c r="C503">
        <f t="shared" si="54"/>
        <v>0.9010162353515625</v>
      </c>
      <c r="D503">
        <f t="shared" si="55"/>
        <v>0.85526150465011597</v>
      </c>
      <c r="E503">
        <f t="shared" si="56"/>
        <v>0.474609375</v>
      </c>
      <c r="F503">
        <f t="shared" si="57"/>
        <v>0.99619737267494202</v>
      </c>
      <c r="G503">
        <f t="shared" si="58"/>
        <v>0.9974212646484375</v>
      </c>
    </row>
    <row r="504" spans="1:7" x14ac:dyDescent="0.35">
      <c r="A504">
        <f t="shared" si="60"/>
        <v>0.953125</v>
      </c>
      <c r="B504">
        <f t="shared" si="53"/>
        <v>0.98310874611774801</v>
      </c>
      <c r="C504">
        <f t="shared" si="54"/>
        <v>0.908447265625</v>
      </c>
      <c r="D504">
        <f t="shared" si="55"/>
        <v>0.86586380004882813</v>
      </c>
      <c r="E504">
        <f t="shared" si="56"/>
        <v>0.4765625</v>
      </c>
      <c r="F504">
        <f t="shared" si="57"/>
        <v>0.99675559997558594</v>
      </c>
      <c r="G504">
        <f t="shared" si="58"/>
        <v>0.997802734375</v>
      </c>
    </row>
    <row r="505" spans="1:7" x14ac:dyDescent="0.35">
      <c r="A505">
        <f t="shared" si="60"/>
        <v>0.95703125</v>
      </c>
      <c r="B505">
        <f t="shared" si="53"/>
        <v>0.98343274622793886</v>
      </c>
      <c r="C505">
        <f t="shared" si="54"/>
        <v>0.9159088134765625</v>
      </c>
      <c r="D505">
        <f t="shared" si="55"/>
        <v>0.87655335664749146</v>
      </c>
      <c r="E505">
        <f t="shared" si="56"/>
        <v>0.478515625</v>
      </c>
      <c r="F505">
        <f t="shared" si="57"/>
        <v>0.99727019667625427</v>
      </c>
      <c r="G505">
        <f t="shared" si="58"/>
        <v>0.9981536865234375</v>
      </c>
    </row>
    <row r="506" spans="1:7" x14ac:dyDescent="0.35">
      <c r="A506">
        <f t="shared" si="60"/>
        <v>0.9609375</v>
      </c>
      <c r="B506">
        <f t="shared" si="53"/>
        <v>0.98375058244363811</v>
      </c>
      <c r="C506">
        <f t="shared" si="54"/>
        <v>0.92340087890625</v>
      </c>
      <c r="D506">
        <f t="shared" si="55"/>
        <v>0.88733053207397461</v>
      </c>
      <c r="E506">
        <f t="shared" si="56"/>
        <v>0.48046875</v>
      </c>
      <c r="F506">
        <f t="shared" si="57"/>
        <v>0.9977409839630127</v>
      </c>
      <c r="G506">
        <f t="shared" si="58"/>
        <v>0.99847412109375</v>
      </c>
    </row>
    <row r="507" spans="1:7" x14ac:dyDescent="0.35">
      <c r="A507">
        <f t="shared" ref="A507:A516" si="61">A506+1/256</f>
        <v>0.96484375</v>
      </c>
      <c r="B507">
        <f t="shared" si="53"/>
        <v>0.98406237009336928</v>
      </c>
      <c r="C507">
        <f t="shared" si="54"/>
        <v>0.9309234619140625</v>
      </c>
      <c r="D507">
        <f t="shared" si="55"/>
        <v>0.89819568395614624</v>
      </c>
      <c r="E507">
        <f t="shared" si="56"/>
        <v>0.482421875</v>
      </c>
      <c r="F507">
        <f t="shared" si="57"/>
        <v>0.99816778302192688</v>
      </c>
      <c r="G507">
        <f t="shared" si="58"/>
        <v>0.9987640380859375</v>
      </c>
    </row>
    <row r="508" spans="1:7" x14ac:dyDescent="0.35">
      <c r="A508">
        <f t="shared" si="61"/>
        <v>0.96875</v>
      </c>
      <c r="B508">
        <f t="shared" si="53"/>
        <v>0.98436822242142286</v>
      </c>
      <c r="C508">
        <f t="shared" si="54"/>
        <v>0.9384765625</v>
      </c>
      <c r="D508">
        <f t="shared" si="55"/>
        <v>0.909149169921875</v>
      </c>
      <c r="E508">
        <f t="shared" si="56"/>
        <v>0.484375</v>
      </c>
      <c r="F508">
        <f t="shared" si="57"/>
        <v>0.9985504150390625</v>
      </c>
      <c r="G508">
        <f t="shared" si="58"/>
        <v>0.9990234375</v>
      </c>
    </row>
    <row r="509" spans="1:7" x14ac:dyDescent="0.35">
      <c r="A509">
        <f t="shared" si="61"/>
        <v>0.97265625</v>
      </c>
      <c r="B509">
        <f t="shared" si="53"/>
        <v>0.98466825062270802</v>
      </c>
      <c r="C509">
        <f t="shared" si="54"/>
        <v>0.9460601806640625</v>
      </c>
      <c r="D509">
        <f t="shared" si="55"/>
        <v>0.92019134759902954</v>
      </c>
      <c r="E509">
        <f t="shared" si="56"/>
        <v>0.486328125</v>
      </c>
      <c r="F509">
        <f t="shared" si="57"/>
        <v>0.99888870120048523</v>
      </c>
      <c r="G509">
        <f t="shared" si="58"/>
        <v>0.9992523193359375</v>
      </c>
    </row>
    <row r="510" spans="1:7" x14ac:dyDescent="0.35">
      <c r="A510">
        <f t="shared" si="61"/>
        <v>0.9765625</v>
      </c>
      <c r="B510">
        <f t="shared" si="53"/>
        <v>0.98496256387713566</v>
      </c>
      <c r="C510">
        <f t="shared" si="54"/>
        <v>0.95367431640625</v>
      </c>
      <c r="D510">
        <f t="shared" si="55"/>
        <v>0.93132257461547852</v>
      </c>
      <c r="E510">
        <f t="shared" si="56"/>
        <v>0.48828125</v>
      </c>
      <c r="F510">
        <f t="shared" si="57"/>
        <v>0.99918246269226074</v>
      </c>
      <c r="G510">
        <f t="shared" si="58"/>
        <v>0.99945068359375</v>
      </c>
    </row>
    <row r="511" spans="1:7" x14ac:dyDescent="0.35">
      <c r="A511">
        <f t="shared" si="61"/>
        <v>0.98046875</v>
      </c>
      <c r="B511">
        <f t="shared" si="53"/>
        <v>0.98525126938352436</v>
      </c>
      <c r="C511">
        <f t="shared" si="54"/>
        <v>0.9613189697265625</v>
      </c>
      <c r="D511">
        <f t="shared" si="55"/>
        <v>0.94254320859909058</v>
      </c>
      <c r="E511">
        <f t="shared" si="56"/>
        <v>0.490234375</v>
      </c>
      <c r="F511">
        <f t="shared" si="57"/>
        <v>0.99943152070045471</v>
      </c>
      <c r="G511">
        <f t="shared" si="58"/>
        <v>0.9996185302734375</v>
      </c>
    </row>
    <row r="512" spans="1:7" x14ac:dyDescent="0.35">
      <c r="A512">
        <f t="shared" si="61"/>
        <v>0.984375</v>
      </c>
      <c r="B512">
        <f t="shared" si="53"/>
        <v>0.98553447239304193</v>
      </c>
      <c r="C512">
        <f t="shared" si="54"/>
        <v>0.968994140625</v>
      </c>
      <c r="D512">
        <f t="shared" si="55"/>
        <v>0.95385360717773438</v>
      </c>
      <c r="E512">
        <f t="shared" si="56"/>
        <v>0.4921875</v>
      </c>
      <c r="F512">
        <f t="shared" si="57"/>
        <v>0.99963569641113281</v>
      </c>
      <c r="G512">
        <f t="shared" si="58"/>
        <v>0.999755859375</v>
      </c>
    </row>
    <row r="513" spans="1:7" x14ac:dyDescent="0.35">
      <c r="A513">
        <f t="shared" si="61"/>
        <v>0.98828125</v>
      </c>
      <c r="B513">
        <f t="shared" si="53"/>
        <v>0.98581227624217693</v>
      </c>
      <c r="C513">
        <f t="shared" si="54"/>
        <v>0.9766998291015625</v>
      </c>
      <c r="D513">
        <f t="shared" si="55"/>
        <v>0.96525412797927856</v>
      </c>
      <c r="E513">
        <f t="shared" si="56"/>
        <v>0.494140625</v>
      </c>
      <c r="F513">
        <f t="shared" si="57"/>
        <v>0.99979481101036072</v>
      </c>
      <c r="G513">
        <f t="shared" si="58"/>
        <v>0.9998626708984375</v>
      </c>
    </row>
    <row r="514" spans="1:7" x14ac:dyDescent="0.35">
      <c r="A514">
        <f t="shared" si="61"/>
        <v>0.9921875</v>
      </c>
      <c r="B514">
        <f t="shared" si="53"/>
        <v>0.98608478238524722</v>
      </c>
      <c r="C514">
        <f t="shared" si="54"/>
        <v>0.98443603515625</v>
      </c>
      <c r="D514">
        <f t="shared" si="55"/>
        <v>0.9767451286315918</v>
      </c>
      <c r="E514">
        <f t="shared" si="56"/>
        <v>0.49609375</v>
      </c>
      <c r="F514">
        <f t="shared" si="57"/>
        <v>0.9999086856842041</v>
      </c>
      <c r="G514">
        <f t="shared" si="58"/>
        <v>0.99993896484375</v>
      </c>
    </row>
    <row r="515" spans="1:7" x14ac:dyDescent="0.35">
      <c r="A515">
        <f t="shared" si="61"/>
        <v>0.99609375</v>
      </c>
      <c r="B515">
        <f t="shared" si="53"/>
        <v>0.98635209042644623</v>
      </c>
      <c r="C515">
        <f t="shared" si="54"/>
        <v>0.9922027587890625</v>
      </c>
      <c r="D515">
        <f t="shared" si="55"/>
        <v>0.98832696676254272</v>
      </c>
      <c r="E515">
        <f t="shared" si="56"/>
        <v>0.498046875</v>
      </c>
      <c r="F515">
        <f t="shared" si="57"/>
        <v>0.99997714161872864</v>
      </c>
      <c r="G515">
        <f t="shared" si="58"/>
        <v>0.9999847412109375</v>
      </c>
    </row>
    <row r="516" spans="1:7" x14ac:dyDescent="0.35">
      <c r="A516">
        <f t="shared" si="61"/>
        <v>1</v>
      </c>
      <c r="B516">
        <f t="shared" ref="B516" si="62">TANH(A516/$A$2)</f>
        <v>0.98661429815143042</v>
      </c>
      <c r="C516">
        <f t="shared" si="54"/>
        <v>1</v>
      </c>
      <c r="D516">
        <f t="shared" si="55"/>
        <v>1</v>
      </c>
      <c r="E516">
        <f t="shared" si="56"/>
        <v>0.5</v>
      </c>
      <c r="F516">
        <f t="shared" si="57"/>
        <v>1</v>
      </c>
      <c r="G516">
        <f t="shared" si="58"/>
        <v>1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0"/>
  <sheetViews>
    <sheetView workbookViewId="0">
      <selection activeCell="C3" sqref="C3"/>
    </sheetView>
  </sheetViews>
  <sheetFormatPr defaultRowHeight="14.5" x14ac:dyDescent="0.35"/>
  <sheetData>
    <row r="1" spans="1:6" x14ac:dyDescent="0.35">
      <c r="B1" t="s">
        <v>210</v>
      </c>
      <c r="C1" t="s">
        <v>211</v>
      </c>
      <c r="D1" t="s">
        <v>169</v>
      </c>
      <c r="F1" t="s">
        <v>212</v>
      </c>
    </row>
    <row r="2" spans="1:6" x14ac:dyDescent="0.35">
      <c r="B2" s="8"/>
      <c r="C2" s="8">
        <v>0.3</v>
      </c>
      <c r="D2" s="8">
        <f>POWER(1/$C$2-1,2)</f>
        <v>5.4444444444444455</v>
      </c>
      <c r="E2" s="17">
        <f>IF($D$2=1,1,$D$2-1)</f>
        <v>4.4444444444444455</v>
      </c>
    </row>
    <row r="3" spans="1:6" x14ac:dyDescent="0.35">
      <c r="A3">
        <v>0</v>
      </c>
      <c r="B3">
        <v>0</v>
      </c>
      <c r="F3">
        <f>IF($C$2=0.5,B3,(POWER($D$2,B3)-1)/$E$2)</f>
        <v>0</v>
      </c>
    </row>
    <row r="4" spans="1:6" x14ac:dyDescent="0.35">
      <c r="A4">
        <f>A3+1</f>
        <v>1</v>
      </c>
      <c r="B4">
        <f>$A4/128</f>
        <v>7.8125E-3</v>
      </c>
      <c r="F4">
        <f t="shared" ref="F4:F67" si="0">IF($C$2=0.5,B4,(POWER($D$2,B4)-1)/$E$2)</f>
        <v>2.9985869330036046E-3</v>
      </c>
    </row>
    <row r="5" spans="1:6" x14ac:dyDescent="0.35">
      <c r="A5">
        <f t="shared" ref="A5:A68" si="1">A4+1</f>
        <v>2</v>
      </c>
      <c r="B5">
        <f t="shared" ref="B5:B68" si="2">$A5/128</f>
        <v>1.5625E-2</v>
      </c>
      <c r="F5">
        <f t="shared" si="0"/>
        <v>6.0371361930950818E-3</v>
      </c>
    </row>
    <row r="6" spans="1:6" x14ac:dyDescent="0.35">
      <c r="A6">
        <f t="shared" si="1"/>
        <v>3</v>
      </c>
      <c r="B6">
        <f t="shared" si="2"/>
        <v>2.34375E-2</v>
      </c>
      <c r="F6">
        <f t="shared" si="0"/>
        <v>9.1161803603269902E-3</v>
      </c>
    </row>
    <row r="7" spans="1:6" x14ac:dyDescent="0.35">
      <c r="A7">
        <f t="shared" si="1"/>
        <v>4</v>
      </c>
      <c r="B7">
        <f t="shared" si="2"/>
        <v>3.125E-2</v>
      </c>
      <c r="F7">
        <f t="shared" si="0"/>
        <v>1.2236259112474498E-2</v>
      </c>
    </row>
    <row r="8" spans="1:6" x14ac:dyDescent="0.35">
      <c r="A8">
        <f t="shared" si="1"/>
        <v>5</v>
      </c>
      <c r="B8">
        <f t="shared" si="2"/>
        <v>3.90625E-2</v>
      </c>
      <c r="F8">
        <f t="shared" si="0"/>
        <v>1.5397919319627021E-2</v>
      </c>
    </row>
    <row r="9" spans="1:6" x14ac:dyDescent="0.35">
      <c r="A9">
        <f t="shared" si="1"/>
        <v>6</v>
      </c>
      <c r="B9">
        <f t="shared" si="2"/>
        <v>4.6875E-2</v>
      </c>
      <c r="F9">
        <f t="shared" si="0"/>
        <v>1.8601715140040737E-2</v>
      </c>
    </row>
    <row r="10" spans="1:6" x14ac:dyDescent="0.35">
      <c r="A10">
        <f t="shared" si="1"/>
        <v>7</v>
      </c>
      <c r="B10">
        <f t="shared" si="2"/>
        <v>5.46875E-2</v>
      </c>
      <c r="F10">
        <f t="shared" si="0"/>
        <v>2.184820811726821E-2</v>
      </c>
    </row>
    <row r="11" spans="1:6" x14ac:dyDescent="0.35">
      <c r="A11">
        <f t="shared" si="1"/>
        <v>8</v>
      </c>
      <c r="B11">
        <f t="shared" si="2"/>
        <v>6.25E-2</v>
      </c>
      <c r="F11">
        <f t="shared" si="0"/>
        <v>2.5137967278582835E-2</v>
      </c>
    </row>
    <row r="12" spans="1:6" x14ac:dyDescent="0.35">
      <c r="A12">
        <f t="shared" si="1"/>
        <v>9</v>
      </c>
      <c r="B12">
        <f t="shared" si="2"/>
        <v>7.03125E-2</v>
      </c>
      <c r="F12">
        <f t="shared" si="0"/>
        <v>2.8471569234714528E-2</v>
      </c>
    </row>
    <row r="13" spans="1:6" x14ac:dyDescent="0.35">
      <c r="A13">
        <f t="shared" si="1"/>
        <v>10</v>
      </c>
      <c r="B13">
        <f t="shared" si="2"/>
        <v>7.8125E-2</v>
      </c>
      <c r="F13">
        <f t="shared" si="0"/>
        <v>3.1849598280915117E-2</v>
      </c>
    </row>
    <row r="14" spans="1:6" x14ac:dyDescent="0.35">
      <c r="A14">
        <f t="shared" si="1"/>
        <v>11</v>
      </c>
      <c r="B14">
        <f t="shared" si="2"/>
        <v>8.59375E-2</v>
      </c>
      <c r="F14">
        <f t="shared" si="0"/>
        <v>3.5272646499370092E-2</v>
      </c>
    </row>
    <row r="15" spans="1:6" x14ac:dyDescent="0.35">
      <c r="A15">
        <f t="shared" si="1"/>
        <v>12</v>
      </c>
      <c r="B15">
        <f t="shared" si="2"/>
        <v>9.375E-2</v>
      </c>
      <c r="F15">
        <f t="shared" si="0"/>
        <v>3.8741313862975753E-2</v>
      </c>
    </row>
    <row r="16" spans="1:6" x14ac:dyDescent="0.35">
      <c r="A16">
        <f t="shared" si="1"/>
        <v>13</v>
      </c>
      <c r="B16">
        <f t="shared" si="2"/>
        <v>0.1015625</v>
      </c>
      <c r="F16">
        <f t="shared" si="0"/>
        <v>4.2256208340498945E-2</v>
      </c>
    </row>
    <row r="17" spans="1:6" x14ac:dyDescent="0.35">
      <c r="A17">
        <f t="shared" si="1"/>
        <v>14</v>
      </c>
      <c r="B17">
        <f t="shared" si="2"/>
        <v>0.109375</v>
      </c>
      <c r="F17">
        <f t="shared" si="0"/>
        <v>4.5817946003138509E-2</v>
      </c>
    </row>
    <row r="18" spans="1:6" x14ac:dyDescent="0.35">
      <c r="A18">
        <f t="shared" si="1"/>
        <v>15</v>
      </c>
      <c r="B18">
        <f t="shared" si="2"/>
        <v>0.1171875</v>
      </c>
      <c r="F18">
        <f t="shared" si="0"/>
        <v>4.9427151132506862E-2</v>
      </c>
    </row>
    <row r="19" spans="1:6" x14ac:dyDescent="0.35">
      <c r="A19">
        <f t="shared" si="1"/>
        <v>16</v>
      </c>
      <c r="B19">
        <f t="shared" si="2"/>
        <v>0.125</v>
      </c>
      <c r="F19">
        <f t="shared" si="0"/>
        <v>5.3084456330050579E-2</v>
      </c>
    </row>
    <row r="20" spans="1:6" x14ac:dyDescent="0.35">
      <c r="A20">
        <f t="shared" si="1"/>
        <v>17</v>
      </c>
      <c r="B20">
        <f t="shared" si="2"/>
        <v>0.1328125</v>
      </c>
      <c r="F20">
        <f t="shared" si="0"/>
        <v>5.6790502627929201E-2</v>
      </c>
    </row>
    <row r="21" spans="1:6" x14ac:dyDescent="0.35">
      <c r="A21">
        <f t="shared" si="1"/>
        <v>18</v>
      </c>
      <c r="B21">
        <f t="shared" si="2"/>
        <v>0.140625</v>
      </c>
      <c r="F21">
        <f t="shared" si="0"/>
        <v>6.0545939601371952E-2</v>
      </c>
    </row>
    <row r="22" spans="1:6" x14ac:dyDescent="0.35">
      <c r="A22">
        <f t="shared" si="1"/>
        <v>19</v>
      </c>
      <c r="B22">
        <f t="shared" si="2"/>
        <v>0.1484375</v>
      </c>
      <c r="F22">
        <f t="shared" si="0"/>
        <v>6.4351425482531505E-2</v>
      </c>
    </row>
    <row r="23" spans="1:6" x14ac:dyDescent="0.35">
      <c r="A23">
        <f t="shared" si="1"/>
        <v>20</v>
      </c>
      <c r="B23">
        <f t="shared" si="2"/>
        <v>0.15625</v>
      </c>
      <c r="F23">
        <f t="shared" si="0"/>
        <v>6.8207627275855442E-2</v>
      </c>
    </row>
    <row r="24" spans="1:6" x14ac:dyDescent="0.35">
      <c r="A24">
        <f t="shared" si="1"/>
        <v>21</v>
      </c>
      <c r="B24">
        <f t="shared" si="2"/>
        <v>0.1640625</v>
      </c>
      <c r="F24">
        <f t="shared" si="0"/>
        <v>7.2115220874994848E-2</v>
      </c>
    </row>
    <row r="25" spans="1:6" x14ac:dyDescent="0.35">
      <c r="A25">
        <f t="shared" si="1"/>
        <v>22</v>
      </c>
      <c r="B25">
        <f t="shared" si="2"/>
        <v>0.171875</v>
      </c>
      <c r="F25">
        <f t="shared" si="0"/>
        <v>7.6074891181271434E-2</v>
      </c>
    </row>
    <row r="26" spans="1:6" x14ac:dyDescent="0.35">
      <c r="A26">
        <f t="shared" si="1"/>
        <v>23</v>
      </c>
      <c r="B26">
        <f t="shared" si="2"/>
        <v>0.1796875</v>
      </c>
      <c r="F26">
        <f t="shared" si="0"/>
        <v>8.0087332223723148E-2</v>
      </c>
    </row>
    <row r="27" spans="1:6" x14ac:dyDescent="0.35">
      <c r="A27">
        <f t="shared" si="1"/>
        <v>24</v>
      </c>
      <c r="B27">
        <f t="shared" si="2"/>
        <v>0.1875</v>
      </c>
      <c r="F27">
        <f t="shared" si="0"/>
        <v>8.4153247280749702E-2</v>
      </c>
    </row>
    <row r="28" spans="1:6" x14ac:dyDescent="0.35">
      <c r="A28">
        <f t="shared" si="1"/>
        <v>25</v>
      </c>
      <c r="B28">
        <f t="shared" si="2"/>
        <v>0.1953125</v>
      </c>
      <c r="F28">
        <f t="shared" si="0"/>
        <v>8.8273349003379381E-2</v>
      </c>
    </row>
    <row r="29" spans="1:6" x14ac:dyDescent="0.35">
      <c r="A29">
        <f t="shared" si="1"/>
        <v>26</v>
      </c>
      <c r="B29">
        <f t="shared" si="2"/>
        <v>0.203125</v>
      </c>
      <c r="F29">
        <f t="shared" si="0"/>
        <v>9.2448359540178535E-2</v>
      </c>
    </row>
    <row r="30" spans="1:6" x14ac:dyDescent="0.35">
      <c r="A30">
        <f t="shared" si="1"/>
        <v>27</v>
      </c>
      <c r="B30">
        <f t="shared" si="2"/>
        <v>0.2109375</v>
      </c>
      <c r="F30">
        <f t="shared" si="0"/>
        <v>9.6679010663825615E-2</v>
      </c>
    </row>
    <row r="31" spans="1:6" x14ac:dyDescent="0.35">
      <c r="A31">
        <f t="shared" si="1"/>
        <v>28</v>
      </c>
      <c r="B31">
        <f t="shared" si="2"/>
        <v>0.21875</v>
      </c>
      <c r="F31">
        <f t="shared" si="0"/>
        <v>0.1009660438993726</v>
      </c>
    </row>
    <row r="32" spans="1:6" x14ac:dyDescent="0.35">
      <c r="A32">
        <f t="shared" si="1"/>
        <v>29</v>
      </c>
      <c r="B32">
        <f t="shared" si="2"/>
        <v>0.2265625</v>
      </c>
      <c r="F32">
        <f t="shared" si="0"/>
        <v>0.10531021065421496</v>
      </c>
    </row>
    <row r="33" spans="1:6" x14ac:dyDescent="0.35">
      <c r="A33">
        <f t="shared" si="1"/>
        <v>30</v>
      </c>
      <c r="B33">
        <f t="shared" si="2"/>
        <v>0.234375</v>
      </c>
      <c r="F33">
        <f t="shared" si="0"/>
        <v>0.10971227234979446</v>
      </c>
    </row>
    <row r="34" spans="1:6" x14ac:dyDescent="0.35">
      <c r="A34">
        <f t="shared" si="1"/>
        <v>31</v>
      </c>
      <c r="B34">
        <f t="shared" si="2"/>
        <v>0.2421875</v>
      </c>
      <c r="F34">
        <f t="shared" si="0"/>
        <v>0.11417300055505684</v>
      </c>
    </row>
    <row r="35" spans="1:6" x14ac:dyDescent="0.35">
      <c r="A35">
        <f t="shared" si="1"/>
        <v>32</v>
      </c>
      <c r="B35">
        <f t="shared" si="2"/>
        <v>0.25</v>
      </c>
      <c r="F35">
        <f t="shared" si="0"/>
        <v>0.11869317712168799</v>
      </c>
    </row>
    <row r="36" spans="1:6" x14ac:dyDescent="0.35">
      <c r="A36">
        <f t="shared" si="1"/>
        <v>33</v>
      </c>
      <c r="B36">
        <f t="shared" si="2"/>
        <v>0.2578125</v>
      </c>
      <c r="F36">
        <f t="shared" si="0"/>
        <v>0.1232735943211528</v>
      </c>
    </row>
    <row r="37" spans="1:6" x14ac:dyDescent="0.35">
      <c r="A37">
        <f t="shared" si="1"/>
        <v>34</v>
      </c>
      <c r="B37">
        <f t="shared" si="2"/>
        <v>0.265625</v>
      </c>
      <c r="F37">
        <f t="shared" si="0"/>
        <v>0.1279150549835599</v>
      </c>
    </row>
    <row r="38" spans="1:6" x14ac:dyDescent="0.35">
      <c r="A38">
        <f t="shared" si="1"/>
        <v>35</v>
      </c>
      <c r="B38">
        <f t="shared" si="2"/>
        <v>0.2734375</v>
      </c>
      <c r="F38">
        <f t="shared" si="0"/>
        <v>0.13261837263837736</v>
      </c>
    </row>
    <row r="39" spans="1:6" x14ac:dyDescent="0.35">
      <c r="A39">
        <f t="shared" si="1"/>
        <v>36</v>
      </c>
      <c r="B39">
        <f t="shared" si="2"/>
        <v>0.28125</v>
      </c>
      <c r="F39">
        <f t="shared" si="0"/>
        <v>0.13738437165702383</v>
      </c>
    </row>
    <row r="40" spans="1:6" x14ac:dyDescent="0.35">
      <c r="A40">
        <f t="shared" si="1"/>
        <v>37</v>
      </c>
      <c r="B40">
        <f t="shared" si="2"/>
        <v>0.2890625</v>
      </c>
      <c r="F40">
        <f t="shared" si="0"/>
        <v>0.14221388739735921</v>
      </c>
    </row>
    <row r="41" spans="1:6" x14ac:dyDescent="0.35">
      <c r="A41">
        <f t="shared" si="1"/>
        <v>38</v>
      </c>
      <c r="B41">
        <f t="shared" si="2"/>
        <v>0.296875</v>
      </c>
      <c r="F41">
        <f t="shared" si="0"/>
        <v>0.1471077663501022</v>
      </c>
    </row>
    <row r="42" spans="1:6" x14ac:dyDescent="0.35">
      <c r="A42">
        <f t="shared" si="1"/>
        <v>39</v>
      </c>
      <c r="B42">
        <f t="shared" si="2"/>
        <v>0.3046875</v>
      </c>
      <c r="F42">
        <f t="shared" si="0"/>
        <v>0.15206686628719804</v>
      </c>
    </row>
    <row r="43" spans="1:6" x14ac:dyDescent="0.35">
      <c r="A43">
        <f t="shared" si="1"/>
        <v>40</v>
      </c>
      <c r="B43">
        <f t="shared" si="2"/>
        <v>0.3125</v>
      </c>
      <c r="F43">
        <f t="shared" si="0"/>
        <v>0.15709205641216425</v>
      </c>
    </row>
    <row r="44" spans="1:6" x14ac:dyDescent="0.35">
      <c r="A44">
        <f t="shared" si="1"/>
        <v>41</v>
      </c>
      <c r="B44">
        <f t="shared" si="2"/>
        <v>0.3203125</v>
      </c>
      <c r="F44">
        <f t="shared" si="0"/>
        <v>0.16218421751243978</v>
      </c>
    </row>
    <row r="45" spans="1:6" x14ac:dyDescent="0.35">
      <c r="A45">
        <f t="shared" si="1"/>
        <v>42</v>
      </c>
      <c r="B45">
        <f t="shared" si="2"/>
        <v>0.328125</v>
      </c>
      <c r="F45">
        <f t="shared" si="0"/>
        <v>0.16734424211376428</v>
      </c>
    </row>
    <row r="46" spans="1:6" x14ac:dyDescent="0.35">
      <c r="A46">
        <f t="shared" si="1"/>
        <v>43</v>
      </c>
      <c r="B46">
        <f t="shared" si="2"/>
        <v>0.3359375</v>
      </c>
      <c r="F46">
        <f t="shared" si="0"/>
        <v>0.1725730346366155</v>
      </c>
    </row>
    <row r="47" spans="1:6" x14ac:dyDescent="0.35">
      <c r="A47">
        <f t="shared" si="1"/>
        <v>44</v>
      </c>
      <c r="B47">
        <f t="shared" si="2"/>
        <v>0.34375</v>
      </c>
      <c r="F47">
        <f t="shared" si="0"/>
        <v>0.17787151155473077</v>
      </c>
    </row>
    <row r="48" spans="1:6" x14ac:dyDescent="0.35">
      <c r="A48">
        <f t="shared" si="1"/>
        <v>45</v>
      </c>
      <c r="B48">
        <f t="shared" si="2"/>
        <v>0.3515625</v>
      </c>
      <c r="F48">
        <f t="shared" si="0"/>
        <v>0.18324060155574154</v>
      </c>
    </row>
    <row r="49" spans="1:6" x14ac:dyDescent="0.35">
      <c r="A49">
        <f t="shared" si="1"/>
        <v>46</v>
      </c>
      <c r="B49">
        <f t="shared" si="2"/>
        <v>0.359375</v>
      </c>
      <c r="F49">
        <f t="shared" si="0"/>
        <v>0.18868124570394851</v>
      </c>
    </row>
    <row r="50" spans="1:6" x14ac:dyDescent="0.35">
      <c r="A50">
        <f t="shared" si="1"/>
        <v>47</v>
      </c>
      <c r="B50">
        <f t="shared" si="2"/>
        <v>0.3671875</v>
      </c>
      <c r="F50">
        <f t="shared" si="0"/>
        <v>0.19419439760526627</v>
      </c>
    </row>
    <row r="51" spans="1:6" x14ac:dyDescent="0.35">
      <c r="A51">
        <f t="shared" si="1"/>
        <v>48</v>
      </c>
      <c r="B51">
        <f t="shared" si="2"/>
        <v>0.375</v>
      </c>
      <c r="F51">
        <f t="shared" si="0"/>
        <v>0.19978102357436611</v>
      </c>
    </row>
    <row r="52" spans="1:6" x14ac:dyDescent="0.35">
      <c r="A52">
        <f t="shared" si="1"/>
        <v>49</v>
      </c>
      <c r="B52">
        <f t="shared" si="2"/>
        <v>0.3828125</v>
      </c>
      <c r="F52">
        <f t="shared" si="0"/>
        <v>0.20544210280404604</v>
      </c>
    </row>
    <row r="53" spans="1:6" x14ac:dyDescent="0.35">
      <c r="A53">
        <f t="shared" si="1"/>
        <v>50</v>
      </c>
      <c r="B53">
        <f t="shared" si="2"/>
        <v>0.390625</v>
      </c>
      <c r="F53">
        <f t="shared" si="0"/>
        <v>0.21117862753685845</v>
      </c>
    </row>
    <row r="54" spans="1:6" x14ac:dyDescent="0.35">
      <c r="A54">
        <f t="shared" si="1"/>
        <v>51</v>
      </c>
      <c r="B54">
        <f t="shared" si="2"/>
        <v>0.3984375</v>
      </c>
      <c r="F54">
        <f t="shared" si="0"/>
        <v>0.21699160323902497</v>
      </c>
    </row>
    <row r="55" spans="1:6" x14ac:dyDescent="0.35">
      <c r="A55">
        <f t="shared" si="1"/>
        <v>52</v>
      </c>
      <c r="B55">
        <f t="shared" si="2"/>
        <v>0.40625</v>
      </c>
      <c r="F55">
        <f t="shared" si="0"/>
        <v>0.22288204877666867</v>
      </c>
    </row>
    <row r="56" spans="1:6" x14ac:dyDescent="0.35">
      <c r="A56">
        <f t="shared" si="1"/>
        <v>53</v>
      </c>
      <c r="B56">
        <f t="shared" si="2"/>
        <v>0.4140625</v>
      </c>
      <c r="F56">
        <f t="shared" si="0"/>
        <v>0.22885099659439578</v>
      </c>
    </row>
    <row r="57" spans="1:6" x14ac:dyDescent="0.35">
      <c r="A57">
        <f t="shared" si="1"/>
        <v>54</v>
      </c>
      <c r="B57">
        <f t="shared" si="2"/>
        <v>0.421875</v>
      </c>
      <c r="F57">
        <f t="shared" si="0"/>
        <v>0.23489949289625625</v>
      </c>
    </row>
    <row r="58" spans="1:6" x14ac:dyDescent="0.35">
      <c r="A58">
        <f t="shared" si="1"/>
        <v>55</v>
      </c>
      <c r="B58">
        <f t="shared" si="2"/>
        <v>0.4296875</v>
      </c>
      <c r="F58">
        <f t="shared" si="0"/>
        <v>0.24102859782911704</v>
      </c>
    </row>
    <row r="59" spans="1:6" x14ac:dyDescent="0.35">
      <c r="A59">
        <f t="shared" si="1"/>
        <v>56</v>
      </c>
      <c r="B59">
        <f t="shared" si="2"/>
        <v>0.4375</v>
      </c>
      <c r="F59">
        <f t="shared" si="0"/>
        <v>0.2472393856684787</v>
      </c>
    </row>
    <row r="60" spans="1:6" x14ac:dyDescent="0.35">
      <c r="A60">
        <f t="shared" si="1"/>
        <v>57</v>
      </c>
      <c r="B60">
        <f t="shared" si="2"/>
        <v>0.4453125</v>
      </c>
      <c r="F60">
        <f t="shared" si="0"/>
        <v>0.25353294500676826</v>
      </c>
    </row>
    <row r="61" spans="1:6" x14ac:dyDescent="0.35">
      <c r="A61">
        <f t="shared" si="1"/>
        <v>58</v>
      </c>
      <c r="B61">
        <f t="shared" si="2"/>
        <v>0.453125</v>
      </c>
      <c r="F61">
        <f t="shared" si="0"/>
        <v>0.25991037894414171</v>
      </c>
    </row>
    <row r="62" spans="1:6" x14ac:dyDescent="0.35">
      <c r="A62">
        <f t="shared" si="1"/>
        <v>59</v>
      </c>
      <c r="B62">
        <f t="shared" si="2"/>
        <v>0.4609375</v>
      </c>
      <c r="F62">
        <f t="shared" si="0"/>
        <v>0.26637280528182933</v>
      </c>
    </row>
    <row r="63" spans="1:6" x14ac:dyDescent="0.35">
      <c r="A63">
        <f t="shared" si="1"/>
        <v>60</v>
      </c>
      <c r="B63">
        <f t="shared" si="2"/>
        <v>0.46875</v>
      </c>
      <c r="F63">
        <f t="shared" si="0"/>
        <v>0.27292135671805773</v>
      </c>
    </row>
    <row r="64" spans="1:6" x14ac:dyDescent="0.35">
      <c r="A64">
        <f t="shared" si="1"/>
        <v>61</v>
      </c>
      <c r="B64">
        <f t="shared" si="2"/>
        <v>0.4765625</v>
      </c>
      <c r="F64">
        <f t="shared" si="0"/>
        <v>0.27955718104658306</v>
      </c>
    </row>
    <row r="65" spans="1:6" x14ac:dyDescent="0.35">
      <c r="A65">
        <f t="shared" si="1"/>
        <v>62</v>
      </c>
      <c r="B65">
        <f t="shared" si="2"/>
        <v>0.484375</v>
      </c>
      <c r="F65">
        <f t="shared" si="0"/>
        <v>0.28628144135786926</v>
      </c>
    </row>
    <row r="66" spans="1:6" x14ac:dyDescent="0.35">
      <c r="A66">
        <f t="shared" si="1"/>
        <v>63</v>
      </c>
      <c r="B66">
        <f t="shared" si="2"/>
        <v>0.4921875</v>
      </c>
      <c r="F66">
        <f t="shared" si="0"/>
        <v>0.29309531624294904</v>
      </c>
    </row>
    <row r="67" spans="1:6" x14ac:dyDescent="0.35">
      <c r="A67">
        <f t="shared" si="1"/>
        <v>64</v>
      </c>
      <c r="B67">
        <f t="shared" si="2"/>
        <v>0.5</v>
      </c>
      <c r="F67">
        <f t="shared" si="0"/>
        <v>0.29999999999999993</v>
      </c>
    </row>
    <row r="68" spans="1:6" x14ac:dyDescent="0.35">
      <c r="A68">
        <f t="shared" si="1"/>
        <v>65</v>
      </c>
      <c r="B68">
        <f t="shared" si="2"/>
        <v>0.5078125</v>
      </c>
      <c r="F68">
        <f t="shared" ref="F68:F130" si="3">IF($C$2=0.5,B68,(POWER($D$2,B68)-1)/$E$2)</f>
        <v>0.30699670284367497</v>
      </c>
    </row>
    <row r="69" spans="1:6" x14ac:dyDescent="0.35">
      <c r="A69">
        <f t="shared" ref="A69:A130" si="4">A68+1</f>
        <v>66</v>
      </c>
      <c r="B69">
        <f t="shared" ref="B69:B130" si="5">$A69/128</f>
        <v>0.515625</v>
      </c>
      <c r="F69">
        <f t="shared" si="3"/>
        <v>0.31408665111722184</v>
      </c>
    </row>
    <row r="70" spans="1:6" x14ac:dyDescent="0.35">
      <c r="A70">
        <f t="shared" si="4"/>
        <v>67</v>
      </c>
      <c r="B70">
        <f t="shared" si="5"/>
        <v>0.5234375</v>
      </c>
      <c r="F70">
        <f t="shared" si="3"/>
        <v>0.32127108750742961</v>
      </c>
    </row>
    <row r="71" spans="1:6" x14ac:dyDescent="0.35">
      <c r="A71">
        <f t="shared" si="4"/>
        <v>68</v>
      </c>
      <c r="B71">
        <f t="shared" si="5"/>
        <v>0.53125</v>
      </c>
      <c r="F71">
        <f t="shared" si="3"/>
        <v>0.32855127126244044</v>
      </c>
    </row>
    <row r="72" spans="1:6" x14ac:dyDescent="0.35">
      <c r="A72">
        <f t="shared" si="4"/>
        <v>69</v>
      </c>
      <c r="B72">
        <f t="shared" si="5"/>
        <v>0.5390625</v>
      </c>
      <c r="F72">
        <f t="shared" si="3"/>
        <v>0.33592847841246298</v>
      </c>
    </row>
    <row r="73" spans="1:6" x14ac:dyDescent="0.35">
      <c r="A73">
        <f t="shared" si="4"/>
        <v>70</v>
      </c>
      <c r="B73">
        <f t="shared" si="5"/>
        <v>0.546875</v>
      </c>
      <c r="F73">
        <f t="shared" si="3"/>
        <v>0.34340400199342824</v>
      </c>
    </row>
    <row r="74" spans="1:6" x14ac:dyDescent="0.35">
      <c r="A74">
        <f t="shared" si="4"/>
        <v>71</v>
      </c>
      <c r="B74">
        <f t="shared" si="5"/>
        <v>0.5546875</v>
      </c>
      <c r="F74">
        <f t="shared" si="3"/>
        <v>0.35097915227362581</v>
      </c>
    </row>
    <row r="75" spans="1:6" x14ac:dyDescent="0.35">
      <c r="A75">
        <f t="shared" si="4"/>
        <v>72</v>
      </c>
      <c r="B75">
        <f t="shared" si="5"/>
        <v>0.5625</v>
      </c>
      <c r="F75">
        <f t="shared" si="3"/>
        <v>0.35865525698335993</v>
      </c>
    </row>
    <row r="76" spans="1:6" x14ac:dyDescent="0.35">
      <c r="A76">
        <f t="shared" si="4"/>
        <v>73</v>
      </c>
      <c r="B76">
        <f t="shared" si="5"/>
        <v>0.5703125</v>
      </c>
      <c r="F76">
        <f t="shared" si="3"/>
        <v>0.36643366154766727</v>
      </c>
    </row>
    <row r="77" spans="1:6" x14ac:dyDescent="0.35">
      <c r="A77">
        <f t="shared" si="4"/>
        <v>74</v>
      </c>
      <c r="B77">
        <f t="shared" si="5"/>
        <v>0.578125</v>
      </c>
      <c r="F77">
        <f t="shared" si="3"/>
        <v>0.37431572932213525</v>
      </c>
    </row>
    <row r="78" spans="1:6" x14ac:dyDescent="0.35">
      <c r="A78">
        <f t="shared" si="4"/>
        <v>75</v>
      </c>
      <c r="B78">
        <f t="shared" si="5"/>
        <v>0.5859375</v>
      </c>
      <c r="F78">
        <f t="shared" si="3"/>
        <v>0.38230284183186347</v>
      </c>
    </row>
    <row r="79" spans="1:6" x14ac:dyDescent="0.35">
      <c r="A79">
        <f t="shared" si="4"/>
        <v>76</v>
      </c>
      <c r="B79">
        <f t="shared" si="5"/>
        <v>0.59375</v>
      </c>
      <c r="F79">
        <f t="shared" si="3"/>
        <v>0.39039639901360995</v>
      </c>
    </row>
    <row r="80" spans="1:6" x14ac:dyDescent="0.35">
      <c r="A80">
        <f t="shared" si="4"/>
        <v>77</v>
      </c>
      <c r="B80">
        <f t="shared" si="5"/>
        <v>0.6015625</v>
      </c>
      <c r="F80">
        <f t="shared" si="3"/>
        <v>0.39859781946116418</v>
      </c>
    </row>
    <row r="81" spans="1:6" x14ac:dyDescent="0.35">
      <c r="A81">
        <f t="shared" si="4"/>
        <v>78</v>
      </c>
      <c r="B81">
        <f t="shared" si="5"/>
        <v>0.609375</v>
      </c>
      <c r="F81">
        <f t="shared" si="3"/>
        <v>0.40690854067398985</v>
      </c>
    </row>
    <row r="82" spans="1:6" x14ac:dyDescent="0.35">
      <c r="A82">
        <f t="shared" si="4"/>
        <v>79</v>
      </c>
      <c r="B82">
        <f t="shared" si="5"/>
        <v>0.6171875</v>
      </c>
      <c r="F82">
        <f t="shared" si="3"/>
        <v>0.41533001930918262</v>
      </c>
    </row>
    <row r="83" spans="1:6" x14ac:dyDescent="0.35">
      <c r="A83">
        <f t="shared" si="4"/>
        <v>80</v>
      </c>
      <c r="B83">
        <f t="shared" si="5"/>
        <v>0.625</v>
      </c>
      <c r="F83">
        <f t="shared" si="3"/>
        <v>0.42386373143678457</v>
      </c>
    </row>
    <row r="84" spans="1:6" x14ac:dyDescent="0.35">
      <c r="A84">
        <f t="shared" si="4"/>
        <v>81</v>
      </c>
      <c r="B84">
        <f t="shared" si="5"/>
        <v>0.6328125</v>
      </c>
      <c r="F84">
        <f t="shared" si="3"/>
        <v>0.43251117279850132</v>
      </c>
    </row>
    <row r="85" spans="1:6" x14ac:dyDescent="0.35">
      <c r="A85">
        <f t="shared" si="4"/>
        <v>82</v>
      </c>
      <c r="B85">
        <f t="shared" si="5"/>
        <v>0.640625</v>
      </c>
      <c r="F85">
        <f t="shared" si="3"/>
        <v>0.44127385906986794</v>
      </c>
    </row>
    <row r="86" spans="1:6" x14ac:dyDescent="0.35">
      <c r="A86">
        <f t="shared" si="4"/>
        <v>83</v>
      </c>
      <c r="B86">
        <f t="shared" si="5"/>
        <v>0.6484375</v>
      </c>
      <c r="F86">
        <f t="shared" si="3"/>
        <v>0.45015332612590686</v>
      </c>
    </row>
    <row r="87" spans="1:6" x14ac:dyDescent="0.35">
      <c r="A87">
        <f t="shared" si="4"/>
        <v>84</v>
      </c>
      <c r="B87">
        <f t="shared" si="5"/>
        <v>0.65625</v>
      </c>
      <c r="F87">
        <f t="shared" si="3"/>
        <v>0.45915113031032934</v>
      </c>
    </row>
    <row r="88" spans="1:6" x14ac:dyDescent="0.35">
      <c r="A88">
        <f t="shared" si="4"/>
        <v>85</v>
      </c>
      <c r="B88">
        <f t="shared" si="5"/>
        <v>0.6640625</v>
      </c>
      <c r="F88">
        <f t="shared" si="3"/>
        <v>0.46826884870832119</v>
      </c>
    </row>
    <row r="89" spans="1:6" x14ac:dyDescent="0.35">
      <c r="A89">
        <f t="shared" si="4"/>
        <v>86</v>
      </c>
      <c r="B89">
        <f t="shared" si="5"/>
        <v>0.671875</v>
      </c>
      <c r="F89">
        <f t="shared" si="3"/>
        <v>0.47750807942296652</v>
      </c>
    </row>
    <row r="90" spans="1:6" x14ac:dyDescent="0.35">
      <c r="A90">
        <f t="shared" si="4"/>
        <v>87</v>
      </c>
      <c r="B90">
        <f t="shared" si="5"/>
        <v>0.6796875</v>
      </c>
      <c r="F90">
        <f t="shared" si="3"/>
        <v>0.486870441855354</v>
      </c>
    </row>
    <row r="91" spans="1:6" x14ac:dyDescent="0.35">
      <c r="A91">
        <f t="shared" si="4"/>
        <v>88</v>
      </c>
      <c r="B91">
        <f t="shared" si="5"/>
        <v>0.6875</v>
      </c>
      <c r="F91">
        <f t="shared" si="3"/>
        <v>0.49635757698841598</v>
      </c>
    </row>
    <row r="92" spans="1:6" x14ac:dyDescent="0.35">
      <c r="A92">
        <f t="shared" si="4"/>
        <v>89</v>
      </c>
      <c r="B92">
        <f t="shared" si="5"/>
        <v>0.6953125</v>
      </c>
      <c r="F92">
        <f t="shared" si="3"/>
        <v>0.50597114767455187</v>
      </c>
    </row>
    <row r="93" spans="1:6" x14ac:dyDescent="0.35">
      <c r="A93">
        <f t="shared" si="4"/>
        <v>90</v>
      </c>
      <c r="B93">
        <f t="shared" si="5"/>
        <v>0.703125</v>
      </c>
      <c r="F93">
        <f t="shared" si="3"/>
        <v>0.51571283892708308</v>
      </c>
    </row>
    <row r="94" spans="1:6" x14ac:dyDescent="0.35">
      <c r="A94">
        <f t="shared" si="4"/>
        <v>91</v>
      </c>
      <c r="B94">
        <f t="shared" si="5"/>
        <v>0.7109375</v>
      </c>
      <c r="F94">
        <f t="shared" si="3"/>
        <v>0.52558435821559302</v>
      </c>
    </row>
    <row r="95" spans="1:6" x14ac:dyDescent="0.35">
      <c r="A95">
        <f t="shared" si="4"/>
        <v>92</v>
      </c>
      <c r="B95">
        <f t="shared" si="5"/>
        <v>0.71875</v>
      </c>
      <c r="F95">
        <f t="shared" si="3"/>
        <v>0.53558743576520274</v>
      </c>
    </row>
    <row r="96" spans="1:6" x14ac:dyDescent="0.35">
      <c r="A96">
        <f t="shared" si="4"/>
        <v>93</v>
      </c>
      <c r="B96">
        <f t="shared" si="5"/>
        <v>0.7265625</v>
      </c>
      <c r="F96">
        <f t="shared" si="3"/>
        <v>0.54572382485983495</v>
      </c>
    </row>
    <row r="97" spans="1:6" x14ac:dyDescent="0.35">
      <c r="A97">
        <f t="shared" si="4"/>
        <v>94</v>
      </c>
      <c r="B97">
        <f t="shared" si="5"/>
        <v>0.734375</v>
      </c>
      <c r="F97">
        <f t="shared" si="3"/>
        <v>0.55599530214952042</v>
      </c>
    </row>
    <row r="98" spans="1:6" x14ac:dyDescent="0.35">
      <c r="A98">
        <f t="shared" si="4"/>
        <v>95</v>
      </c>
      <c r="B98">
        <f t="shared" si="5"/>
        <v>0.7421875</v>
      </c>
      <c r="F98">
        <f t="shared" si="3"/>
        <v>0.5664036679617992</v>
      </c>
    </row>
    <row r="99" spans="1:6" x14ac:dyDescent="0.35">
      <c r="A99">
        <f t="shared" si="4"/>
        <v>96</v>
      </c>
      <c r="B99">
        <f t="shared" si="5"/>
        <v>0.75</v>
      </c>
      <c r="F99">
        <f t="shared" si="3"/>
        <v>0.57695074661727197</v>
      </c>
    </row>
    <row r="100" spans="1:6" x14ac:dyDescent="0.35">
      <c r="A100">
        <f t="shared" si="4"/>
        <v>97</v>
      </c>
      <c r="B100">
        <f t="shared" si="5"/>
        <v>0.7578125</v>
      </c>
      <c r="F100">
        <f t="shared" si="3"/>
        <v>0.58763838674935653</v>
      </c>
    </row>
    <row r="101" spans="1:6" x14ac:dyDescent="0.35">
      <c r="A101">
        <f t="shared" si="4"/>
        <v>98</v>
      </c>
      <c r="B101">
        <f t="shared" si="5"/>
        <v>0.765625</v>
      </c>
      <c r="F101">
        <f t="shared" si="3"/>
        <v>0.59846846162830636</v>
      </c>
    </row>
    <row r="102" spans="1:6" x14ac:dyDescent="0.35">
      <c r="A102">
        <f t="shared" si="4"/>
        <v>99</v>
      </c>
      <c r="B102">
        <f t="shared" si="5"/>
        <v>0.7734375</v>
      </c>
      <c r="F102">
        <f t="shared" si="3"/>
        <v>0.60944286948954729</v>
      </c>
    </row>
    <row r="103" spans="1:6" x14ac:dyDescent="0.35">
      <c r="A103">
        <f t="shared" si="4"/>
        <v>100</v>
      </c>
      <c r="B103">
        <f t="shared" si="5"/>
        <v>0.78125</v>
      </c>
      <c r="F103">
        <f t="shared" si="3"/>
        <v>0.62056353386638885</v>
      </c>
    </row>
    <row r="104" spans="1:6" x14ac:dyDescent="0.35">
      <c r="A104">
        <f t="shared" si="4"/>
        <v>101</v>
      </c>
      <c r="B104">
        <f t="shared" si="5"/>
        <v>0.7890625</v>
      </c>
      <c r="F104">
        <f t="shared" si="3"/>
        <v>0.63183240392717166</v>
      </c>
    </row>
    <row r="105" spans="1:6" x14ac:dyDescent="0.35">
      <c r="A105">
        <f t="shared" si="4"/>
        <v>102</v>
      </c>
      <c r="B105">
        <f t="shared" si="5"/>
        <v>0.796875</v>
      </c>
      <c r="F105">
        <f t="shared" si="3"/>
        <v>0.64325145481690527</v>
      </c>
    </row>
    <row r="106" spans="1:6" x14ac:dyDescent="0.35">
      <c r="A106">
        <f t="shared" si="4"/>
        <v>103</v>
      </c>
      <c r="B106">
        <f t="shared" si="5"/>
        <v>0.8046875</v>
      </c>
      <c r="F106">
        <f t="shared" si="3"/>
        <v>0.65482268800346211</v>
      </c>
    </row>
    <row r="107" spans="1:6" x14ac:dyDescent="0.35">
      <c r="A107">
        <f t="shared" si="4"/>
        <v>104</v>
      </c>
      <c r="B107">
        <f t="shared" si="5"/>
        <v>0.8125</v>
      </c>
      <c r="F107">
        <f t="shared" si="3"/>
        <v>0.66654813162838333</v>
      </c>
    </row>
    <row r="108" spans="1:6" x14ac:dyDescent="0.35">
      <c r="A108">
        <f t="shared" si="4"/>
        <v>105</v>
      </c>
      <c r="B108">
        <f t="shared" si="5"/>
        <v>0.8203125</v>
      </c>
      <c r="F108">
        <f t="shared" si="3"/>
        <v>0.67842984086235925</v>
      </c>
    </row>
    <row r="109" spans="1:6" x14ac:dyDescent="0.35">
      <c r="A109">
        <f t="shared" si="4"/>
        <v>106</v>
      </c>
      <c r="B109">
        <f t="shared" si="5"/>
        <v>0.828125</v>
      </c>
      <c r="F109">
        <f t="shared" si="3"/>
        <v>0.69046989826545002</v>
      </c>
    </row>
    <row r="110" spans="1:6" x14ac:dyDescent="0.35">
      <c r="A110">
        <f t="shared" si="4"/>
        <v>107</v>
      </c>
      <c r="B110">
        <f t="shared" si="5"/>
        <v>0.8359375</v>
      </c>
      <c r="F110">
        <f t="shared" si="3"/>
        <v>0.70267041415210285</v>
      </c>
    </row>
    <row r="111" spans="1:6" x14ac:dyDescent="0.35">
      <c r="A111">
        <f t="shared" si="4"/>
        <v>108</v>
      </c>
      <c r="B111">
        <f t="shared" si="5"/>
        <v>0.84375</v>
      </c>
      <c r="F111">
        <f t="shared" si="3"/>
        <v>0.7150335269610385</v>
      </c>
    </row>
    <row r="112" spans="1:6" x14ac:dyDescent="0.35">
      <c r="A112">
        <f t="shared" si="4"/>
        <v>109</v>
      </c>
      <c r="B112">
        <f t="shared" si="5"/>
        <v>0.8515625</v>
      </c>
      <c r="F112">
        <f t="shared" si="3"/>
        <v>0.72756140363006361</v>
      </c>
    </row>
    <row r="113" spans="1:6" x14ac:dyDescent="0.35">
      <c r="A113">
        <f t="shared" si="4"/>
        <v>110</v>
      </c>
      <c r="B113">
        <f t="shared" si="5"/>
        <v>0.859375</v>
      </c>
      <c r="F113">
        <f t="shared" si="3"/>
        <v>0.74025623997587964</v>
      </c>
    </row>
    <row r="114" spans="1:6" x14ac:dyDescent="0.35">
      <c r="A114">
        <f t="shared" si="4"/>
        <v>111</v>
      </c>
      <c r="B114">
        <f t="shared" si="5"/>
        <v>0.8671875</v>
      </c>
      <c r="F114">
        <f t="shared" si="3"/>
        <v>0.75312026107895469</v>
      </c>
    </row>
    <row r="115" spans="1:6" x14ac:dyDescent="0.35">
      <c r="A115">
        <f t="shared" si="4"/>
        <v>112</v>
      </c>
      <c r="B115">
        <f t="shared" si="5"/>
        <v>0.875</v>
      </c>
      <c r="F115">
        <f t="shared" si="3"/>
        <v>0.76615572167352097</v>
      </c>
    </row>
    <row r="116" spans="1:6" x14ac:dyDescent="0.35">
      <c r="A116">
        <f t="shared" si="4"/>
        <v>113</v>
      </c>
      <c r="B116">
        <f t="shared" si="5"/>
        <v>0.8828125</v>
      </c>
      <c r="F116">
        <f t="shared" si="3"/>
        <v>0.77936490654277413</v>
      </c>
    </row>
    <row r="117" spans="1:6" x14ac:dyDescent="0.35">
      <c r="A117">
        <f t="shared" si="4"/>
        <v>114</v>
      </c>
      <c r="B117">
        <f t="shared" si="5"/>
        <v>0.890625</v>
      </c>
      <c r="F117">
        <f t="shared" si="3"/>
        <v>0.79275013091933644</v>
      </c>
    </row>
    <row r="118" spans="1:6" x14ac:dyDescent="0.35">
      <c r="A118">
        <f t="shared" si="4"/>
        <v>115</v>
      </c>
      <c r="B118">
        <f t="shared" si="5"/>
        <v>0.8984375</v>
      </c>
      <c r="F118">
        <f t="shared" si="3"/>
        <v>0.80631374089105801</v>
      </c>
    </row>
    <row r="119" spans="1:6" x14ac:dyDescent="0.35">
      <c r="A119">
        <f t="shared" si="4"/>
        <v>116</v>
      </c>
      <c r="B119">
        <f t="shared" si="5"/>
        <v>0.90625</v>
      </c>
      <c r="F119">
        <f t="shared" si="3"/>
        <v>0.82005811381222715</v>
      </c>
    </row>
    <row r="120" spans="1:6" x14ac:dyDescent="0.35">
      <c r="A120">
        <f t="shared" si="4"/>
        <v>117</v>
      </c>
      <c r="B120">
        <f t="shared" si="5"/>
        <v>0.9140625</v>
      </c>
      <c r="F120">
        <f t="shared" si="3"/>
        <v>0.83398565872025687</v>
      </c>
    </row>
    <row r="121" spans="1:6" x14ac:dyDescent="0.35">
      <c r="A121">
        <f t="shared" si="4"/>
        <v>118</v>
      </c>
      <c r="B121">
        <f t="shared" si="5"/>
        <v>0.921875</v>
      </c>
      <c r="F121">
        <f t="shared" si="3"/>
        <v>0.8480988167579312</v>
      </c>
    </row>
    <row r="122" spans="1:6" x14ac:dyDescent="0.35">
      <c r="A122">
        <f t="shared" si="4"/>
        <v>119</v>
      </c>
      <c r="B122">
        <f t="shared" si="5"/>
        <v>0.9296875</v>
      </c>
      <c r="F122">
        <f t="shared" si="3"/>
        <v>0.86240006160127314</v>
      </c>
    </row>
    <row r="123" spans="1:6" x14ac:dyDescent="0.35">
      <c r="A123">
        <f t="shared" si="4"/>
        <v>120</v>
      </c>
      <c r="B123">
        <f t="shared" si="5"/>
        <v>0.9375</v>
      </c>
      <c r="F123">
        <f t="shared" si="3"/>
        <v>0.87689189989311689</v>
      </c>
    </row>
    <row r="124" spans="1:6" x14ac:dyDescent="0.35">
      <c r="A124">
        <f t="shared" si="4"/>
        <v>121</v>
      </c>
      <c r="B124">
        <f t="shared" si="5"/>
        <v>0.9453125</v>
      </c>
      <c r="F124">
        <f t="shared" si="3"/>
        <v>0.89157687168245936</v>
      </c>
    </row>
    <row r="125" spans="1:6" x14ac:dyDescent="0.35">
      <c r="A125">
        <f t="shared" si="4"/>
        <v>122</v>
      </c>
      <c r="B125">
        <f t="shared" si="5"/>
        <v>0.953125</v>
      </c>
      <c r="F125">
        <f t="shared" si="3"/>
        <v>0.90645755086966384</v>
      </c>
    </row>
    <row r="126" spans="1:6" x14ac:dyDescent="0.35">
      <c r="A126">
        <f t="shared" si="4"/>
        <v>123</v>
      </c>
      <c r="B126">
        <f t="shared" si="5"/>
        <v>0.9609375</v>
      </c>
      <c r="F126">
        <f t="shared" si="3"/>
        <v>0.92153654565760168</v>
      </c>
    </row>
    <row r="127" spans="1:6" x14ac:dyDescent="0.35">
      <c r="A127">
        <f t="shared" si="4"/>
        <v>124</v>
      </c>
      <c r="B127">
        <f t="shared" si="5"/>
        <v>0.96875</v>
      </c>
      <c r="F127">
        <f t="shared" si="3"/>
        <v>0.93681649900880148</v>
      </c>
    </row>
    <row r="128" spans="1:6" x14ac:dyDescent="0.35">
      <c r="A128">
        <f t="shared" si="4"/>
        <v>125</v>
      </c>
      <c r="B128">
        <f t="shared" si="5"/>
        <v>0.9765625</v>
      </c>
      <c r="F128">
        <f t="shared" si="3"/>
        <v>0.95230008910869346</v>
      </c>
    </row>
    <row r="129" spans="1:6" x14ac:dyDescent="0.35">
      <c r="A129">
        <f t="shared" si="4"/>
        <v>126</v>
      </c>
      <c r="B129">
        <f t="shared" si="5"/>
        <v>0.984375</v>
      </c>
      <c r="F129">
        <f t="shared" si="3"/>
        <v>0.96799002983502835</v>
      </c>
    </row>
    <row r="130" spans="1:6" x14ac:dyDescent="0.35">
      <c r="A130">
        <f t="shared" si="4"/>
        <v>127</v>
      </c>
      <c r="B130">
        <f t="shared" si="5"/>
        <v>0.9921875</v>
      </c>
      <c r="C130">
        <v>0</v>
      </c>
      <c r="D130">
        <v>0</v>
      </c>
      <c r="E130">
        <v>0</v>
      </c>
      <c r="F130">
        <f t="shared" si="3"/>
        <v>0.98388907123354763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</vt:i4>
      </vt:variant>
    </vt:vector>
  </HeadingPairs>
  <TitlesOfParts>
    <vt:vector size="17" baseType="lpstr">
      <vt:lpstr>SweepTimeNoiseFilter</vt:lpstr>
      <vt:lpstr>NoiseTime</vt:lpstr>
      <vt:lpstr>FiltBC</vt:lpstr>
      <vt:lpstr>OscBC</vt:lpstr>
      <vt:lpstr>OscBC2</vt:lpstr>
      <vt:lpstr>OscBC3</vt:lpstr>
      <vt:lpstr>KnobCurveData</vt:lpstr>
      <vt:lpstr>sallenKey</vt:lpstr>
      <vt:lpstr>NoiseBreathCurve</vt:lpstr>
      <vt:lpstr>Osc1Level</vt:lpstr>
      <vt:lpstr>NoiseLevelCurve</vt:lpstr>
      <vt:lpstr>DlyLevel</vt:lpstr>
      <vt:lpstr>MIDI Seq</vt:lpstr>
      <vt:lpstr>Beat</vt:lpstr>
      <vt:lpstr>OscClipping</vt:lpstr>
      <vt:lpstr>log_pot_curve</vt:lpstr>
      <vt:lpstr>KnobCurveData!BC_noSysex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King</dc:creator>
  <cp:lastModifiedBy>Tim King</cp:lastModifiedBy>
  <dcterms:created xsi:type="dcterms:W3CDTF">2024-10-11T17:37:03Z</dcterms:created>
  <dcterms:modified xsi:type="dcterms:W3CDTF">2025-11-29T01:08:45Z</dcterms:modified>
</cp:coreProperties>
</file>